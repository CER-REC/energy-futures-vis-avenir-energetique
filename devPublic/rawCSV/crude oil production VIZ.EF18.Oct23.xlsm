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luxor\Energy Futures 2\E2020 Analysis - 2018\Visualizations\"/>
    </mc:Choice>
  </mc:AlternateContent>
  <bookViews>
    <workbookView xWindow="1575" yWindow="-75" windowWidth="19920" windowHeight="13500" firstSheet="1" activeTab="2"/>
  </bookViews>
  <sheets>
    <sheet name="Input" sheetId="9" state="hidden" r:id="rId1"/>
    <sheet name="Master Data" sheetId="16" r:id="rId2"/>
    <sheet name="FlatData" sheetId="18" r:id="rId3"/>
  </sheets>
  <externalReferences>
    <externalReference r:id="rId4"/>
  </externalReferences>
  <definedNames>
    <definedName name="_xlnm._FilterDatabase" localSheetId="0" hidden="1">Input!$A$1:$D$35</definedName>
    <definedName name="ExternalData_1" localSheetId="2" hidden="1">FlatData!$A$1:$F$9361</definedName>
  </definedNames>
  <calcPr calcId="152511"/>
</workbook>
</file>

<file path=xl/calcChain.xml><?xml version="1.0" encoding="utf-8"?>
<calcChain xmlns="http://schemas.openxmlformats.org/spreadsheetml/2006/main">
  <c r="E2" i="16" l="1"/>
  <c r="F2" i="16"/>
  <c r="G2" i="16"/>
  <c r="H2" i="16"/>
  <c r="I2" i="16"/>
  <c r="J2" i="16"/>
  <c r="K2" i="16"/>
  <c r="L2" i="16"/>
  <c r="M2" i="16"/>
  <c r="N2" i="16"/>
  <c r="O2" i="16"/>
  <c r="P2" i="16"/>
  <c r="Q2" i="16"/>
  <c r="R2" i="16"/>
  <c r="S2" i="16"/>
  <c r="T2" i="16"/>
  <c r="U2" i="16"/>
  <c r="V2" i="16"/>
  <c r="W2" i="16"/>
  <c r="X2" i="16"/>
  <c r="Y2" i="16"/>
  <c r="Z2" i="16"/>
  <c r="AA2" i="16"/>
  <c r="AB2" i="16"/>
  <c r="AC2" i="16"/>
  <c r="AD2" i="16"/>
  <c r="AE2" i="16"/>
  <c r="AF2" i="16"/>
  <c r="AG2" i="16"/>
  <c r="AH2" i="16"/>
  <c r="AI2" i="16"/>
  <c r="AJ2" i="16"/>
  <c r="AK2" i="16"/>
  <c r="AL2" i="16"/>
  <c r="AM2" i="16"/>
  <c r="E3" i="16"/>
  <c r="F3" i="16"/>
  <c r="G3" i="16"/>
  <c r="H3" i="16"/>
  <c r="I3" i="16"/>
  <c r="J3" i="16"/>
  <c r="K3" i="16"/>
  <c r="L3" i="16"/>
  <c r="M3" i="16"/>
  <c r="N3" i="16"/>
  <c r="O3" i="16"/>
  <c r="P3" i="16"/>
  <c r="Q3" i="16"/>
  <c r="R3" i="16"/>
  <c r="S3" i="16"/>
  <c r="T3" i="16"/>
  <c r="U3" i="16"/>
  <c r="V3" i="16"/>
  <c r="W3" i="16"/>
  <c r="X3" i="16"/>
  <c r="Y3" i="16"/>
  <c r="Z3" i="16"/>
  <c r="AA3" i="16"/>
  <c r="AB3" i="16"/>
  <c r="AC3" i="16"/>
  <c r="AD3" i="16"/>
  <c r="AE3" i="16"/>
  <c r="AF3" i="16"/>
  <c r="AG3" i="16"/>
  <c r="AH3" i="16"/>
  <c r="AI3" i="16"/>
  <c r="AJ3" i="16"/>
  <c r="AK3" i="16"/>
  <c r="AL3" i="16"/>
  <c r="AM3" i="16"/>
  <c r="E4" i="16"/>
  <c r="F4" i="16"/>
  <c r="G4" i="16"/>
  <c r="H4" i="16"/>
  <c r="I4" i="16"/>
  <c r="J4" i="16"/>
  <c r="K4" i="16"/>
  <c r="L4" i="16"/>
  <c r="M4" i="16"/>
  <c r="N4" i="16"/>
  <c r="O4" i="16"/>
  <c r="P4" i="16"/>
  <c r="Q4" i="16"/>
  <c r="R4" i="16"/>
  <c r="S4" i="16"/>
  <c r="T4" i="16"/>
  <c r="U4" i="16"/>
  <c r="V4" i="16"/>
  <c r="W4" i="16"/>
  <c r="X4" i="16"/>
  <c r="Y4" i="16"/>
  <c r="Z4" i="16"/>
  <c r="AA4" i="16"/>
  <c r="AB4" i="16"/>
  <c r="AC4" i="16"/>
  <c r="AD4" i="16"/>
  <c r="AE4" i="16"/>
  <c r="AF4" i="16"/>
  <c r="AG4" i="16"/>
  <c r="AH4" i="16"/>
  <c r="AI4" i="16"/>
  <c r="AJ4" i="16"/>
  <c r="AK4" i="16"/>
  <c r="AL4" i="16"/>
  <c r="AM4" i="16"/>
  <c r="E5" i="16"/>
  <c r="F5" i="16"/>
  <c r="G5" i="16"/>
  <c r="H5" i="16"/>
  <c r="I5" i="16"/>
  <c r="J5" i="16"/>
  <c r="K5" i="16"/>
  <c r="L5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M5" i="16"/>
  <c r="E6" i="16"/>
  <c r="F6" i="16"/>
  <c r="G6" i="16"/>
  <c r="H6" i="16"/>
  <c r="I6" i="16"/>
  <c r="J6" i="16"/>
  <c r="K6" i="16"/>
  <c r="L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M6" i="16"/>
  <c r="E7" i="16"/>
  <c r="F7" i="16"/>
  <c r="G7" i="16"/>
  <c r="H7" i="16"/>
  <c r="I7" i="16"/>
  <c r="J7" i="16"/>
  <c r="K7" i="16"/>
  <c r="L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E9" i="16"/>
  <c r="F9" i="16"/>
  <c r="G9" i="16"/>
  <c r="H9" i="16"/>
  <c r="I9" i="16"/>
  <c r="J9" i="16"/>
  <c r="K9" i="16"/>
  <c r="L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AJ9" i="16"/>
  <c r="AK9" i="16"/>
  <c r="AL9" i="16"/>
  <c r="AM9" i="16"/>
  <c r="E10" i="16"/>
  <c r="F10" i="16"/>
  <c r="G10" i="16"/>
  <c r="H10" i="16"/>
  <c r="I10" i="16"/>
  <c r="J10" i="16"/>
  <c r="K10" i="16"/>
  <c r="L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F10" i="16"/>
  <c r="AG10" i="16"/>
  <c r="AH10" i="16"/>
  <c r="AI10" i="16"/>
  <c r="AJ10" i="16"/>
  <c r="AK10" i="16"/>
  <c r="AL10" i="16"/>
  <c r="AM10" i="16"/>
  <c r="E11" i="16"/>
  <c r="F11" i="16"/>
  <c r="G11" i="16"/>
  <c r="H11" i="16"/>
  <c r="I11" i="16"/>
  <c r="J11" i="16"/>
  <c r="K11" i="16"/>
  <c r="L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F11" i="16"/>
  <c r="AG11" i="16"/>
  <c r="AH11" i="16"/>
  <c r="AI11" i="16"/>
  <c r="AJ11" i="16"/>
  <c r="AK11" i="16"/>
  <c r="AL11" i="16"/>
  <c r="AM11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F14" i="16"/>
  <c r="AG14" i="16"/>
  <c r="AH14" i="16"/>
  <c r="AI14" i="16"/>
  <c r="AJ14" i="16"/>
  <c r="AK14" i="16"/>
  <c r="AL14" i="16"/>
  <c r="AM14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AJ15" i="16"/>
  <c r="AK15" i="16"/>
  <c r="AL15" i="16"/>
  <c r="AM15" i="16"/>
  <c r="E16" i="16"/>
  <c r="F16" i="16"/>
  <c r="G16" i="16"/>
  <c r="H16" i="16"/>
  <c r="I16" i="16"/>
  <c r="J16" i="16"/>
  <c r="K16" i="16"/>
  <c r="L16" i="16"/>
  <c r="M16" i="16"/>
  <c r="N16" i="16"/>
  <c r="O16" i="16"/>
  <c r="P16" i="16"/>
  <c r="Q16" i="16"/>
  <c r="R16" i="16"/>
  <c r="S16" i="16"/>
  <c r="T16" i="16"/>
  <c r="U16" i="16"/>
  <c r="V16" i="16"/>
  <c r="W16" i="16"/>
  <c r="X16" i="16"/>
  <c r="Y16" i="16"/>
  <c r="Z16" i="16"/>
  <c r="AA16" i="16"/>
  <c r="AB16" i="16"/>
  <c r="AC16" i="16"/>
  <c r="AD16" i="16"/>
  <c r="AE16" i="16"/>
  <c r="AF16" i="16"/>
  <c r="AG16" i="16"/>
  <c r="AH16" i="16"/>
  <c r="AI16" i="16"/>
  <c r="AJ16" i="16"/>
  <c r="AK16" i="16"/>
  <c r="AL16" i="16"/>
  <c r="AM16" i="16"/>
  <c r="E17" i="16"/>
  <c r="F17" i="16"/>
  <c r="G17" i="16"/>
  <c r="H17" i="16"/>
  <c r="I17" i="16"/>
  <c r="J17" i="16"/>
  <c r="K17" i="16"/>
  <c r="L17" i="16"/>
  <c r="M17" i="16"/>
  <c r="N17" i="16"/>
  <c r="O17" i="16"/>
  <c r="P17" i="16"/>
  <c r="Q17" i="16"/>
  <c r="R17" i="16"/>
  <c r="S17" i="16"/>
  <c r="T17" i="16"/>
  <c r="U17" i="16"/>
  <c r="V17" i="16"/>
  <c r="W17" i="16"/>
  <c r="X17" i="16"/>
  <c r="Y17" i="16"/>
  <c r="Z17" i="16"/>
  <c r="AA17" i="16"/>
  <c r="AB17" i="16"/>
  <c r="AC17" i="16"/>
  <c r="AD17" i="16"/>
  <c r="AE17" i="16"/>
  <c r="AF17" i="16"/>
  <c r="AG17" i="16"/>
  <c r="AH17" i="16"/>
  <c r="AI17" i="16"/>
  <c r="AJ17" i="16"/>
  <c r="AK17" i="16"/>
  <c r="AL17" i="16"/>
  <c r="AM17" i="16"/>
  <c r="E18" i="16"/>
  <c r="F18" i="16"/>
  <c r="G18" i="16"/>
  <c r="H18" i="16"/>
  <c r="I18" i="16"/>
  <c r="J18" i="16"/>
  <c r="K18" i="16"/>
  <c r="L18" i="16"/>
  <c r="M18" i="16"/>
  <c r="N18" i="16"/>
  <c r="O18" i="16"/>
  <c r="P18" i="16"/>
  <c r="Q18" i="16"/>
  <c r="R18" i="16"/>
  <c r="S18" i="16"/>
  <c r="T18" i="16"/>
  <c r="U18" i="16"/>
  <c r="V18" i="16"/>
  <c r="W18" i="16"/>
  <c r="X18" i="16"/>
  <c r="Y18" i="16"/>
  <c r="Z18" i="16"/>
  <c r="AA18" i="16"/>
  <c r="AB18" i="16"/>
  <c r="AC18" i="16"/>
  <c r="AD18" i="16"/>
  <c r="AE18" i="16"/>
  <c r="AF18" i="16"/>
  <c r="AG18" i="16"/>
  <c r="AH18" i="16"/>
  <c r="AI18" i="16"/>
  <c r="AJ18" i="16"/>
  <c r="AK18" i="16"/>
  <c r="AL18" i="16"/>
  <c r="AM18" i="16"/>
  <c r="E19" i="16"/>
  <c r="F19" i="16"/>
  <c r="G19" i="16"/>
  <c r="H19" i="16"/>
  <c r="I19" i="16"/>
  <c r="J19" i="16"/>
  <c r="K19" i="16"/>
  <c r="L19" i="16"/>
  <c r="M19" i="16"/>
  <c r="N19" i="16"/>
  <c r="O19" i="16"/>
  <c r="P19" i="16"/>
  <c r="Q19" i="16"/>
  <c r="R19" i="16"/>
  <c r="S19" i="16"/>
  <c r="T19" i="16"/>
  <c r="U19" i="16"/>
  <c r="V19" i="16"/>
  <c r="W19" i="16"/>
  <c r="X19" i="16"/>
  <c r="Y19" i="16"/>
  <c r="Z19" i="16"/>
  <c r="AA19" i="16"/>
  <c r="AB19" i="16"/>
  <c r="AC19" i="16"/>
  <c r="AD19" i="16"/>
  <c r="AE19" i="16"/>
  <c r="AF19" i="16"/>
  <c r="AG19" i="16"/>
  <c r="AH19" i="16"/>
  <c r="AI19" i="16"/>
  <c r="AJ19" i="16"/>
  <c r="AK19" i="16"/>
  <c r="AL19" i="16"/>
  <c r="AM19" i="16"/>
  <c r="E21" i="16"/>
  <c r="F21" i="16"/>
  <c r="G21" i="16"/>
  <c r="H21" i="16"/>
  <c r="I21" i="16"/>
  <c r="J21" i="16"/>
  <c r="K21" i="16"/>
  <c r="L21" i="16"/>
  <c r="M21" i="16"/>
  <c r="N21" i="16"/>
  <c r="O21" i="16"/>
  <c r="P21" i="16"/>
  <c r="Q21" i="16"/>
  <c r="R21" i="16"/>
  <c r="S21" i="16"/>
  <c r="T21" i="16"/>
  <c r="U21" i="16"/>
  <c r="V21" i="16"/>
  <c r="W21" i="16"/>
  <c r="X21" i="16"/>
  <c r="Y21" i="16"/>
  <c r="Z21" i="16"/>
  <c r="AA21" i="16"/>
  <c r="AB21" i="16"/>
  <c r="AC21" i="16"/>
  <c r="AD21" i="16"/>
  <c r="AE21" i="16"/>
  <c r="AF21" i="16"/>
  <c r="AG21" i="16"/>
  <c r="AH21" i="16"/>
  <c r="AI21" i="16"/>
  <c r="AJ21" i="16"/>
  <c r="AK21" i="16"/>
  <c r="AL21" i="16"/>
  <c r="AM21" i="16"/>
  <c r="E22" i="16"/>
  <c r="F22" i="16"/>
  <c r="G22" i="16"/>
  <c r="H22" i="16"/>
  <c r="I22" i="16"/>
  <c r="J22" i="16"/>
  <c r="K22" i="16"/>
  <c r="L22" i="16"/>
  <c r="M22" i="16"/>
  <c r="N22" i="16"/>
  <c r="O22" i="16"/>
  <c r="P22" i="16"/>
  <c r="Q22" i="16"/>
  <c r="R22" i="16"/>
  <c r="S22" i="16"/>
  <c r="T22" i="16"/>
  <c r="U22" i="16"/>
  <c r="V22" i="16"/>
  <c r="W22" i="16"/>
  <c r="X22" i="16"/>
  <c r="Y22" i="16"/>
  <c r="Z22" i="16"/>
  <c r="AA22" i="16"/>
  <c r="AB22" i="16"/>
  <c r="AC22" i="16"/>
  <c r="AD22" i="16"/>
  <c r="AE22" i="16"/>
  <c r="AF22" i="16"/>
  <c r="AG22" i="16"/>
  <c r="AH22" i="16"/>
  <c r="AI22" i="16"/>
  <c r="AJ22" i="16"/>
  <c r="AK22" i="16"/>
  <c r="AL22" i="16"/>
  <c r="AM22" i="16"/>
  <c r="E23" i="16"/>
  <c r="F23" i="16"/>
  <c r="G23" i="16"/>
  <c r="H23" i="16"/>
  <c r="I23" i="16"/>
  <c r="J23" i="16"/>
  <c r="K23" i="16"/>
  <c r="L23" i="16"/>
  <c r="M23" i="16"/>
  <c r="N23" i="16"/>
  <c r="O23" i="16"/>
  <c r="P23" i="16"/>
  <c r="Q23" i="16"/>
  <c r="R23" i="16"/>
  <c r="S23" i="16"/>
  <c r="T23" i="16"/>
  <c r="U23" i="16"/>
  <c r="V23" i="16"/>
  <c r="W23" i="16"/>
  <c r="X23" i="16"/>
  <c r="Y23" i="16"/>
  <c r="Z23" i="16"/>
  <c r="AA23" i="16"/>
  <c r="AB23" i="16"/>
  <c r="AC23" i="16"/>
  <c r="AD23" i="16"/>
  <c r="AE23" i="16"/>
  <c r="AF23" i="16"/>
  <c r="AG23" i="16"/>
  <c r="AH23" i="16"/>
  <c r="AI23" i="16"/>
  <c r="AJ23" i="16"/>
  <c r="AK23" i="16"/>
  <c r="AL23" i="16"/>
  <c r="AM23" i="16"/>
  <c r="E25" i="16"/>
  <c r="E26" i="16" s="1"/>
  <c r="F25" i="16"/>
  <c r="F26" i="16" s="1"/>
  <c r="G25" i="16"/>
  <c r="G26" i="16" s="1"/>
  <c r="H25" i="16"/>
  <c r="H26" i="16" s="1"/>
  <c r="I25" i="16"/>
  <c r="I26" i="16" s="1"/>
  <c r="J25" i="16"/>
  <c r="J26" i="16" s="1"/>
  <c r="K25" i="16"/>
  <c r="K26" i="16" s="1"/>
  <c r="L25" i="16"/>
  <c r="L26" i="16" s="1"/>
  <c r="M25" i="16"/>
  <c r="M26" i="16" s="1"/>
  <c r="N25" i="16"/>
  <c r="N26" i="16" s="1"/>
  <c r="O25" i="16"/>
  <c r="O26" i="16" s="1"/>
  <c r="P25" i="16"/>
  <c r="P26" i="16" s="1"/>
  <c r="Q25" i="16"/>
  <c r="Q26" i="16" s="1"/>
  <c r="R25" i="16"/>
  <c r="R26" i="16" s="1"/>
  <c r="S25" i="16"/>
  <c r="S26" i="16" s="1"/>
  <c r="T25" i="16"/>
  <c r="T26" i="16" s="1"/>
  <c r="U25" i="16"/>
  <c r="U26" i="16" s="1"/>
  <c r="V25" i="16"/>
  <c r="V26" i="16" s="1"/>
  <c r="W25" i="16"/>
  <c r="W26" i="16" s="1"/>
  <c r="X25" i="16"/>
  <c r="X26" i="16" s="1"/>
  <c r="Y25" i="16"/>
  <c r="Y26" i="16" s="1"/>
  <c r="Z25" i="16"/>
  <c r="Z26" i="16" s="1"/>
  <c r="AA25" i="16"/>
  <c r="AA26" i="16" s="1"/>
  <c r="AB25" i="16"/>
  <c r="AB26" i="16" s="1"/>
  <c r="AC25" i="16"/>
  <c r="AC26" i="16" s="1"/>
  <c r="AD25" i="16"/>
  <c r="AD26" i="16" s="1"/>
  <c r="AE25" i="16"/>
  <c r="AE26" i="16" s="1"/>
  <c r="AF25" i="16"/>
  <c r="AF26" i="16" s="1"/>
  <c r="AG25" i="16"/>
  <c r="AG26" i="16" s="1"/>
  <c r="AH25" i="16"/>
  <c r="AH26" i="16" s="1"/>
  <c r="AI25" i="16"/>
  <c r="AI26" i="16" s="1"/>
  <c r="AJ25" i="16"/>
  <c r="AJ26" i="16" s="1"/>
  <c r="AK25" i="16"/>
  <c r="AK26" i="16" s="1"/>
  <c r="AL25" i="16"/>
  <c r="AL26" i="16" s="1"/>
  <c r="AM25" i="16"/>
  <c r="AM26" i="16" s="1"/>
  <c r="E27" i="16"/>
  <c r="E28" i="16" s="1"/>
  <c r="F27" i="16"/>
  <c r="F28" i="16" s="1"/>
  <c r="G27" i="16"/>
  <c r="G28" i="16" s="1"/>
  <c r="H27" i="16"/>
  <c r="H28" i="16" s="1"/>
  <c r="I27" i="16"/>
  <c r="I28" i="16" s="1"/>
  <c r="J27" i="16"/>
  <c r="J28" i="16" s="1"/>
  <c r="K27" i="16"/>
  <c r="K28" i="16" s="1"/>
  <c r="L27" i="16"/>
  <c r="L28" i="16" s="1"/>
  <c r="M27" i="16"/>
  <c r="M28" i="16" s="1"/>
  <c r="N27" i="16"/>
  <c r="N28" i="16" s="1"/>
  <c r="O27" i="16"/>
  <c r="O28" i="16" s="1"/>
  <c r="P27" i="16"/>
  <c r="P28" i="16" s="1"/>
  <c r="Q27" i="16"/>
  <c r="Q28" i="16" s="1"/>
  <c r="R27" i="16"/>
  <c r="R28" i="16" s="1"/>
  <c r="S27" i="16"/>
  <c r="S28" i="16" s="1"/>
  <c r="T27" i="16"/>
  <c r="T28" i="16" s="1"/>
  <c r="U27" i="16"/>
  <c r="U28" i="16" s="1"/>
  <c r="V27" i="16"/>
  <c r="V28" i="16" s="1"/>
  <c r="W27" i="16"/>
  <c r="W28" i="16" s="1"/>
  <c r="X27" i="16"/>
  <c r="X28" i="16" s="1"/>
  <c r="Y27" i="16"/>
  <c r="Y28" i="16" s="1"/>
  <c r="Z27" i="16"/>
  <c r="Z28" i="16" s="1"/>
  <c r="AA27" i="16"/>
  <c r="AA28" i="16" s="1"/>
  <c r="AB27" i="16"/>
  <c r="AB28" i="16" s="1"/>
  <c r="AC27" i="16"/>
  <c r="AC28" i="16" s="1"/>
  <c r="AD27" i="16"/>
  <c r="AD28" i="16" s="1"/>
  <c r="AE27" i="16"/>
  <c r="AE28" i="16" s="1"/>
  <c r="AF27" i="16"/>
  <c r="AF28" i="16" s="1"/>
  <c r="AG27" i="16"/>
  <c r="AG28" i="16" s="1"/>
  <c r="AH27" i="16"/>
  <c r="AH28" i="16" s="1"/>
  <c r="AI27" i="16"/>
  <c r="AI28" i="16" s="1"/>
  <c r="AJ27" i="16"/>
  <c r="AJ28" i="16" s="1"/>
  <c r="AK27" i="16"/>
  <c r="AK28" i="16" s="1"/>
  <c r="AL27" i="16"/>
  <c r="AL28" i="16" s="1"/>
  <c r="AM27" i="16"/>
  <c r="AM28" i="16" s="1"/>
  <c r="E29" i="16"/>
  <c r="E30" i="16" s="1"/>
  <c r="F29" i="16"/>
  <c r="F30" i="16" s="1"/>
  <c r="G29" i="16"/>
  <c r="G30" i="16" s="1"/>
  <c r="H29" i="16"/>
  <c r="H30" i="16" s="1"/>
  <c r="I29" i="16"/>
  <c r="I30" i="16" s="1"/>
  <c r="J29" i="16"/>
  <c r="J30" i="16" s="1"/>
  <c r="K29" i="16"/>
  <c r="K30" i="16" s="1"/>
  <c r="L29" i="16"/>
  <c r="L30" i="16" s="1"/>
  <c r="M29" i="16"/>
  <c r="M30" i="16" s="1"/>
  <c r="N29" i="16"/>
  <c r="N30" i="16" s="1"/>
  <c r="O29" i="16"/>
  <c r="O30" i="16" s="1"/>
  <c r="P29" i="16"/>
  <c r="P30" i="16" s="1"/>
  <c r="Q29" i="16"/>
  <c r="Q30" i="16" s="1"/>
  <c r="R29" i="16"/>
  <c r="R30" i="16" s="1"/>
  <c r="S29" i="16"/>
  <c r="S30" i="16" s="1"/>
  <c r="T29" i="16"/>
  <c r="T30" i="16" s="1"/>
  <c r="U29" i="16"/>
  <c r="U30" i="16" s="1"/>
  <c r="V29" i="16"/>
  <c r="V30" i="16" s="1"/>
  <c r="W29" i="16"/>
  <c r="W30" i="16" s="1"/>
  <c r="X29" i="16"/>
  <c r="X30" i="16" s="1"/>
  <c r="Y29" i="16"/>
  <c r="Y30" i="16" s="1"/>
  <c r="Z29" i="16"/>
  <c r="Z30" i="16" s="1"/>
  <c r="AA29" i="16"/>
  <c r="AA30" i="16" s="1"/>
  <c r="AB29" i="16"/>
  <c r="AB30" i="16" s="1"/>
  <c r="AC29" i="16"/>
  <c r="AC30" i="16" s="1"/>
  <c r="AD29" i="16"/>
  <c r="AD30" i="16" s="1"/>
  <c r="AE29" i="16"/>
  <c r="AE30" i="16" s="1"/>
  <c r="AF29" i="16"/>
  <c r="AF30" i="16" s="1"/>
  <c r="AG29" i="16"/>
  <c r="AG30" i="16" s="1"/>
  <c r="AH29" i="16"/>
  <c r="AH30" i="16" s="1"/>
  <c r="AI29" i="16"/>
  <c r="AI30" i="16" s="1"/>
  <c r="AJ29" i="16"/>
  <c r="AJ30" i="16" s="1"/>
  <c r="AK29" i="16"/>
  <c r="AK30" i="16" s="1"/>
  <c r="AL29" i="16"/>
  <c r="AL30" i="16" s="1"/>
  <c r="AM29" i="16"/>
  <c r="AM30" i="16" s="1"/>
  <c r="E31" i="16"/>
  <c r="F31" i="16"/>
  <c r="G31" i="16"/>
  <c r="H31" i="16"/>
  <c r="I31" i="16"/>
  <c r="J31" i="16"/>
  <c r="K31" i="16"/>
  <c r="L31" i="16"/>
  <c r="M31" i="16"/>
  <c r="N31" i="16"/>
  <c r="O31" i="16"/>
  <c r="P31" i="16"/>
  <c r="Q31" i="16"/>
  <c r="R31" i="16"/>
  <c r="S31" i="16"/>
  <c r="T31" i="16"/>
  <c r="U31" i="16"/>
  <c r="V31" i="16"/>
  <c r="W31" i="16"/>
  <c r="X31" i="16"/>
  <c r="Y31" i="16"/>
  <c r="Z31" i="16"/>
  <c r="AA31" i="16"/>
  <c r="AB31" i="16"/>
  <c r="AC31" i="16"/>
  <c r="AD31" i="16"/>
  <c r="AE31" i="16"/>
  <c r="AF31" i="16"/>
  <c r="AG31" i="16"/>
  <c r="AH31" i="16"/>
  <c r="AI31" i="16"/>
  <c r="AJ31" i="16"/>
  <c r="AK31" i="16"/>
  <c r="AL31" i="16"/>
  <c r="AM31" i="16"/>
  <c r="E32" i="16"/>
  <c r="F32" i="16"/>
  <c r="G32" i="16"/>
  <c r="H32" i="16"/>
  <c r="I32" i="16"/>
  <c r="J32" i="16"/>
  <c r="K32" i="16"/>
  <c r="L32" i="16"/>
  <c r="M32" i="16"/>
  <c r="N32" i="16"/>
  <c r="O32" i="16"/>
  <c r="P32" i="16"/>
  <c r="Q32" i="16"/>
  <c r="R32" i="16"/>
  <c r="R33" i="16" s="1"/>
  <c r="S32" i="16"/>
  <c r="T32" i="16"/>
  <c r="U32" i="16"/>
  <c r="V32" i="16"/>
  <c r="W32" i="16"/>
  <c r="X32" i="16"/>
  <c r="Y32" i="16"/>
  <c r="Z32" i="16"/>
  <c r="AA32" i="16"/>
  <c r="AB32" i="16"/>
  <c r="AC32" i="16"/>
  <c r="AD32" i="16"/>
  <c r="AD33" i="16" s="1"/>
  <c r="AE32" i="16"/>
  <c r="AF32" i="16"/>
  <c r="AG32" i="16"/>
  <c r="AH32" i="16"/>
  <c r="AI32" i="16"/>
  <c r="AJ32" i="16"/>
  <c r="AK32" i="16"/>
  <c r="AL32" i="16"/>
  <c r="AM32" i="16"/>
  <c r="E34" i="16"/>
  <c r="F34" i="16"/>
  <c r="G34" i="16"/>
  <c r="H34" i="16"/>
  <c r="I34" i="16"/>
  <c r="J34" i="16"/>
  <c r="K34" i="16"/>
  <c r="L34" i="16"/>
  <c r="M34" i="16"/>
  <c r="N34" i="16"/>
  <c r="O34" i="16"/>
  <c r="P34" i="16"/>
  <c r="Q34" i="16"/>
  <c r="R34" i="16"/>
  <c r="S34" i="16"/>
  <c r="T34" i="16"/>
  <c r="U34" i="16"/>
  <c r="V34" i="16"/>
  <c r="W34" i="16"/>
  <c r="X34" i="16"/>
  <c r="Y34" i="16"/>
  <c r="Z34" i="16"/>
  <c r="AA34" i="16"/>
  <c r="AB34" i="16"/>
  <c r="AC34" i="16"/>
  <c r="AD34" i="16"/>
  <c r="AE34" i="16"/>
  <c r="AF34" i="16"/>
  <c r="AG34" i="16"/>
  <c r="AH34" i="16"/>
  <c r="AI34" i="16"/>
  <c r="AJ34" i="16"/>
  <c r="AK34" i="16"/>
  <c r="AL34" i="16"/>
  <c r="AM34" i="16"/>
  <c r="E35" i="16"/>
  <c r="F35" i="16"/>
  <c r="G35" i="16"/>
  <c r="H35" i="16"/>
  <c r="I35" i="16"/>
  <c r="J35" i="16"/>
  <c r="K35" i="16"/>
  <c r="L35" i="16"/>
  <c r="M35" i="16"/>
  <c r="N35" i="16"/>
  <c r="O35" i="16"/>
  <c r="P35" i="16"/>
  <c r="Q35" i="16"/>
  <c r="R35" i="16"/>
  <c r="S35" i="16"/>
  <c r="T35" i="16"/>
  <c r="U35" i="16"/>
  <c r="V35" i="16"/>
  <c r="W35" i="16"/>
  <c r="X35" i="16"/>
  <c r="Y35" i="16"/>
  <c r="Z35" i="16"/>
  <c r="AA35" i="16"/>
  <c r="AB35" i="16"/>
  <c r="AC35" i="16"/>
  <c r="AD35" i="16"/>
  <c r="AE35" i="16"/>
  <c r="AF35" i="16"/>
  <c r="AG35" i="16"/>
  <c r="AH35" i="16"/>
  <c r="AI35" i="16"/>
  <c r="AJ35" i="16"/>
  <c r="AK35" i="16"/>
  <c r="AL35" i="16"/>
  <c r="AM35" i="16"/>
  <c r="E37" i="16"/>
  <c r="E38" i="16" s="1"/>
  <c r="F37" i="16"/>
  <c r="F38" i="16" s="1"/>
  <c r="G37" i="16"/>
  <c r="G38" i="16" s="1"/>
  <c r="H37" i="16"/>
  <c r="H38" i="16" s="1"/>
  <c r="I37" i="16"/>
  <c r="I38" i="16" s="1"/>
  <c r="J37" i="16"/>
  <c r="J38" i="16" s="1"/>
  <c r="K37" i="16"/>
  <c r="K38" i="16" s="1"/>
  <c r="L37" i="16"/>
  <c r="L38" i="16" s="1"/>
  <c r="M37" i="16"/>
  <c r="M38" i="16" s="1"/>
  <c r="N37" i="16"/>
  <c r="N38" i="16" s="1"/>
  <c r="O37" i="16"/>
  <c r="O38" i="16" s="1"/>
  <c r="P37" i="16"/>
  <c r="P38" i="16" s="1"/>
  <c r="Q37" i="16"/>
  <c r="Q38" i="16" s="1"/>
  <c r="R37" i="16"/>
  <c r="R38" i="16" s="1"/>
  <c r="S37" i="16"/>
  <c r="S38" i="16" s="1"/>
  <c r="T37" i="16"/>
  <c r="T38" i="16" s="1"/>
  <c r="U37" i="16"/>
  <c r="U38" i="16" s="1"/>
  <c r="V37" i="16"/>
  <c r="V38" i="16" s="1"/>
  <c r="W37" i="16"/>
  <c r="W38" i="16" s="1"/>
  <c r="X37" i="16"/>
  <c r="X38" i="16" s="1"/>
  <c r="Y37" i="16"/>
  <c r="Y38" i="16" s="1"/>
  <c r="Z37" i="16"/>
  <c r="Z38" i="16" s="1"/>
  <c r="AA37" i="16"/>
  <c r="AA38" i="16" s="1"/>
  <c r="AB37" i="16"/>
  <c r="AB38" i="16" s="1"/>
  <c r="AC37" i="16"/>
  <c r="AC38" i="16" s="1"/>
  <c r="AD37" i="16"/>
  <c r="AD38" i="16" s="1"/>
  <c r="AE37" i="16"/>
  <c r="AE38" i="16" s="1"/>
  <c r="AF37" i="16"/>
  <c r="AF38" i="16" s="1"/>
  <c r="AG37" i="16"/>
  <c r="AG38" i="16" s="1"/>
  <c r="AH37" i="16"/>
  <c r="AH38" i="16" s="1"/>
  <c r="AI37" i="16"/>
  <c r="AI38" i="16" s="1"/>
  <c r="AJ37" i="16"/>
  <c r="AJ38" i="16" s="1"/>
  <c r="AK37" i="16"/>
  <c r="AK38" i="16" s="1"/>
  <c r="AL37" i="16"/>
  <c r="AL38" i="16" s="1"/>
  <c r="AM37" i="16"/>
  <c r="AM38" i="16" s="1"/>
  <c r="E67" i="16"/>
  <c r="F67" i="16"/>
  <c r="G67" i="16"/>
  <c r="H67" i="16"/>
  <c r="I67" i="16"/>
  <c r="J67" i="16"/>
  <c r="K67" i="16"/>
  <c r="L67" i="16"/>
  <c r="M67" i="16"/>
  <c r="N67" i="16"/>
  <c r="O67" i="16"/>
  <c r="P67" i="16"/>
  <c r="Q67" i="16"/>
  <c r="R67" i="16"/>
  <c r="S67" i="16"/>
  <c r="T67" i="16"/>
  <c r="U67" i="16"/>
  <c r="V67" i="16"/>
  <c r="W67" i="16"/>
  <c r="X67" i="16"/>
  <c r="Y67" i="16"/>
  <c r="Z67" i="16"/>
  <c r="AA67" i="16"/>
  <c r="AB67" i="16"/>
  <c r="AC67" i="16"/>
  <c r="AD67" i="16"/>
  <c r="AE67" i="16"/>
  <c r="AF67" i="16"/>
  <c r="AG67" i="16"/>
  <c r="AH67" i="16"/>
  <c r="AI67" i="16"/>
  <c r="AJ67" i="16"/>
  <c r="AK67" i="16"/>
  <c r="AL67" i="16"/>
  <c r="AM67" i="16"/>
  <c r="E68" i="16"/>
  <c r="F68" i="16"/>
  <c r="G68" i="16"/>
  <c r="H68" i="16"/>
  <c r="I68" i="16"/>
  <c r="J68" i="16"/>
  <c r="K68" i="16"/>
  <c r="L68" i="16"/>
  <c r="M68" i="16"/>
  <c r="N68" i="16"/>
  <c r="O68" i="16"/>
  <c r="P68" i="16"/>
  <c r="Q68" i="16"/>
  <c r="R68" i="16"/>
  <c r="S68" i="16"/>
  <c r="T68" i="16"/>
  <c r="U68" i="16"/>
  <c r="V68" i="16"/>
  <c r="W68" i="16"/>
  <c r="X68" i="16"/>
  <c r="Y68" i="16"/>
  <c r="Z68" i="16"/>
  <c r="AA68" i="16"/>
  <c r="AB68" i="16"/>
  <c r="AC68" i="16"/>
  <c r="AD68" i="16"/>
  <c r="AE68" i="16"/>
  <c r="AF68" i="16"/>
  <c r="AG68" i="16"/>
  <c r="AH68" i="16"/>
  <c r="AI68" i="16"/>
  <c r="AJ68" i="16"/>
  <c r="AK68" i="16"/>
  <c r="AL68" i="16"/>
  <c r="AM68" i="16"/>
  <c r="E69" i="16"/>
  <c r="F69" i="16"/>
  <c r="G69" i="16"/>
  <c r="H69" i="16"/>
  <c r="I69" i="16"/>
  <c r="J69" i="16"/>
  <c r="K69" i="16"/>
  <c r="L69" i="16"/>
  <c r="M69" i="16"/>
  <c r="N69" i="16"/>
  <c r="O69" i="16"/>
  <c r="P69" i="16"/>
  <c r="Q69" i="16"/>
  <c r="R69" i="16"/>
  <c r="S69" i="16"/>
  <c r="T69" i="16"/>
  <c r="U69" i="16"/>
  <c r="V69" i="16"/>
  <c r="W69" i="16"/>
  <c r="X69" i="16"/>
  <c r="Y69" i="16"/>
  <c r="Z69" i="16"/>
  <c r="AA69" i="16"/>
  <c r="AB69" i="16"/>
  <c r="AC69" i="16"/>
  <c r="AD69" i="16"/>
  <c r="AE69" i="16"/>
  <c r="AF69" i="16"/>
  <c r="AG69" i="16"/>
  <c r="AH69" i="16"/>
  <c r="AI69" i="16"/>
  <c r="AJ69" i="16"/>
  <c r="AK69" i="16"/>
  <c r="AL69" i="16"/>
  <c r="AM69" i="16"/>
  <c r="E70" i="16"/>
  <c r="F70" i="16"/>
  <c r="G70" i="16"/>
  <c r="H70" i="16"/>
  <c r="I70" i="16"/>
  <c r="J70" i="16"/>
  <c r="K70" i="16"/>
  <c r="L70" i="16"/>
  <c r="M70" i="16"/>
  <c r="N70" i="16"/>
  <c r="O70" i="16"/>
  <c r="P70" i="16"/>
  <c r="Q70" i="16"/>
  <c r="R70" i="16"/>
  <c r="S70" i="16"/>
  <c r="T70" i="16"/>
  <c r="U70" i="16"/>
  <c r="V70" i="16"/>
  <c r="W70" i="16"/>
  <c r="X70" i="16"/>
  <c r="Y70" i="16"/>
  <c r="Z70" i="16"/>
  <c r="AA70" i="16"/>
  <c r="AB70" i="16"/>
  <c r="AC70" i="16"/>
  <c r="AD70" i="16"/>
  <c r="AE70" i="16"/>
  <c r="AF70" i="16"/>
  <c r="AG70" i="16"/>
  <c r="AH70" i="16"/>
  <c r="AI70" i="16"/>
  <c r="AJ70" i="16"/>
  <c r="AK70" i="16"/>
  <c r="AL70" i="16"/>
  <c r="AM70" i="16"/>
  <c r="E71" i="16"/>
  <c r="F71" i="16"/>
  <c r="G71" i="16"/>
  <c r="H71" i="16"/>
  <c r="I71" i="16"/>
  <c r="J71" i="16"/>
  <c r="K71" i="16"/>
  <c r="L71" i="16"/>
  <c r="M71" i="16"/>
  <c r="N71" i="16"/>
  <c r="O71" i="16"/>
  <c r="P71" i="16"/>
  <c r="Q71" i="16"/>
  <c r="R71" i="16"/>
  <c r="S71" i="16"/>
  <c r="T71" i="16"/>
  <c r="U71" i="16"/>
  <c r="V71" i="16"/>
  <c r="W71" i="16"/>
  <c r="X71" i="16"/>
  <c r="Y71" i="16"/>
  <c r="Z71" i="16"/>
  <c r="AA71" i="16"/>
  <c r="AB71" i="16"/>
  <c r="AC71" i="16"/>
  <c r="AD71" i="16"/>
  <c r="AE71" i="16"/>
  <c r="AF71" i="16"/>
  <c r="AG71" i="16"/>
  <c r="AH71" i="16"/>
  <c r="AI71" i="16"/>
  <c r="AJ71" i="16"/>
  <c r="AK71" i="16"/>
  <c r="AL71" i="16"/>
  <c r="AM71" i="16"/>
  <c r="E72" i="16"/>
  <c r="F72" i="16"/>
  <c r="G72" i="16"/>
  <c r="H72" i="16"/>
  <c r="I72" i="16"/>
  <c r="J72" i="16"/>
  <c r="K72" i="16"/>
  <c r="L72" i="16"/>
  <c r="M72" i="16"/>
  <c r="N72" i="16"/>
  <c r="O72" i="16"/>
  <c r="P72" i="16"/>
  <c r="Q72" i="16"/>
  <c r="R72" i="16"/>
  <c r="S72" i="16"/>
  <c r="T72" i="16"/>
  <c r="U72" i="16"/>
  <c r="V72" i="16"/>
  <c r="W72" i="16"/>
  <c r="X72" i="16"/>
  <c r="Y72" i="16"/>
  <c r="Z72" i="16"/>
  <c r="AA72" i="16"/>
  <c r="AB72" i="16"/>
  <c r="AC72" i="16"/>
  <c r="AD72" i="16"/>
  <c r="AE72" i="16"/>
  <c r="AF72" i="16"/>
  <c r="AG72" i="16"/>
  <c r="AH72" i="16"/>
  <c r="AI72" i="16"/>
  <c r="AJ72" i="16"/>
  <c r="AK72" i="16"/>
  <c r="AL72" i="16"/>
  <c r="AM72" i="16"/>
  <c r="E74" i="16"/>
  <c r="F74" i="16"/>
  <c r="G74" i="16"/>
  <c r="H74" i="16"/>
  <c r="I74" i="16"/>
  <c r="J74" i="16"/>
  <c r="K74" i="16"/>
  <c r="L74" i="16"/>
  <c r="M74" i="16"/>
  <c r="N74" i="16"/>
  <c r="O74" i="16"/>
  <c r="P74" i="16"/>
  <c r="Q74" i="16"/>
  <c r="R74" i="16"/>
  <c r="S74" i="16"/>
  <c r="T74" i="16"/>
  <c r="U74" i="16"/>
  <c r="V74" i="16"/>
  <c r="W74" i="16"/>
  <c r="X74" i="16"/>
  <c r="Y74" i="16"/>
  <c r="Z74" i="16"/>
  <c r="AA74" i="16"/>
  <c r="AB74" i="16"/>
  <c r="AC74" i="16"/>
  <c r="AD74" i="16"/>
  <c r="AE74" i="16"/>
  <c r="AF74" i="16"/>
  <c r="AG74" i="16"/>
  <c r="AH74" i="16"/>
  <c r="AI74" i="16"/>
  <c r="AJ74" i="16"/>
  <c r="AK74" i="16"/>
  <c r="AL74" i="16"/>
  <c r="AM74" i="16"/>
  <c r="E75" i="16"/>
  <c r="F75" i="16"/>
  <c r="G75" i="16"/>
  <c r="H75" i="16"/>
  <c r="I75" i="16"/>
  <c r="J75" i="16"/>
  <c r="K75" i="16"/>
  <c r="L75" i="16"/>
  <c r="M75" i="16"/>
  <c r="N75" i="16"/>
  <c r="O75" i="16"/>
  <c r="P75" i="16"/>
  <c r="Q75" i="16"/>
  <c r="R75" i="16"/>
  <c r="S75" i="16"/>
  <c r="T75" i="16"/>
  <c r="U75" i="16"/>
  <c r="V75" i="16"/>
  <c r="W75" i="16"/>
  <c r="X75" i="16"/>
  <c r="Y75" i="16"/>
  <c r="Z75" i="16"/>
  <c r="AA75" i="16"/>
  <c r="AB75" i="16"/>
  <c r="AC75" i="16"/>
  <c r="AD75" i="16"/>
  <c r="AE75" i="16"/>
  <c r="AF75" i="16"/>
  <c r="AG75" i="16"/>
  <c r="AH75" i="16"/>
  <c r="AI75" i="16"/>
  <c r="AJ75" i="16"/>
  <c r="AK75" i="16"/>
  <c r="AL75" i="16"/>
  <c r="AM75" i="16"/>
  <c r="E76" i="16"/>
  <c r="F76" i="16"/>
  <c r="G76" i="16"/>
  <c r="H76" i="16"/>
  <c r="I76" i="16"/>
  <c r="J76" i="16"/>
  <c r="K76" i="16"/>
  <c r="L76" i="16"/>
  <c r="M76" i="16"/>
  <c r="N76" i="16"/>
  <c r="O76" i="16"/>
  <c r="P76" i="16"/>
  <c r="Q76" i="16"/>
  <c r="R76" i="16"/>
  <c r="S76" i="16"/>
  <c r="T76" i="16"/>
  <c r="U76" i="16"/>
  <c r="V76" i="16"/>
  <c r="W76" i="16"/>
  <c r="X76" i="16"/>
  <c r="Y76" i="16"/>
  <c r="Z76" i="16"/>
  <c r="AA76" i="16"/>
  <c r="AB76" i="16"/>
  <c r="AC76" i="16"/>
  <c r="AD76" i="16"/>
  <c r="AE76" i="16"/>
  <c r="AF76" i="16"/>
  <c r="AG76" i="16"/>
  <c r="AH76" i="16"/>
  <c r="AI76" i="16"/>
  <c r="AJ76" i="16"/>
  <c r="AK76" i="16"/>
  <c r="AL76" i="16"/>
  <c r="AM76" i="16"/>
  <c r="E77" i="16"/>
  <c r="F77" i="16"/>
  <c r="G77" i="16"/>
  <c r="H77" i="16"/>
  <c r="I77" i="16"/>
  <c r="J77" i="16"/>
  <c r="K77" i="16"/>
  <c r="L77" i="16"/>
  <c r="M77" i="16"/>
  <c r="N77" i="16"/>
  <c r="O77" i="16"/>
  <c r="P77" i="16"/>
  <c r="Q77" i="16"/>
  <c r="R77" i="16"/>
  <c r="S77" i="16"/>
  <c r="T77" i="16"/>
  <c r="U77" i="16"/>
  <c r="V77" i="16"/>
  <c r="W77" i="16"/>
  <c r="X77" i="16"/>
  <c r="Y77" i="16"/>
  <c r="Z77" i="16"/>
  <c r="AA77" i="16"/>
  <c r="AB77" i="16"/>
  <c r="AC77" i="16"/>
  <c r="AD77" i="16"/>
  <c r="AE77" i="16"/>
  <c r="AF77" i="16"/>
  <c r="AG77" i="16"/>
  <c r="AH77" i="16"/>
  <c r="AI77" i="16"/>
  <c r="AJ77" i="16"/>
  <c r="AK77" i="16"/>
  <c r="AL77" i="16"/>
  <c r="AM77" i="16"/>
  <c r="E79" i="16"/>
  <c r="F79" i="16"/>
  <c r="G79" i="16"/>
  <c r="H79" i="16"/>
  <c r="I79" i="16"/>
  <c r="J79" i="16"/>
  <c r="K79" i="16"/>
  <c r="L79" i="16"/>
  <c r="M79" i="16"/>
  <c r="N79" i="16"/>
  <c r="O79" i="16"/>
  <c r="P79" i="16"/>
  <c r="Q79" i="16"/>
  <c r="R79" i="16"/>
  <c r="S79" i="16"/>
  <c r="T79" i="16"/>
  <c r="U79" i="16"/>
  <c r="V79" i="16"/>
  <c r="W79" i="16"/>
  <c r="X79" i="16"/>
  <c r="Y79" i="16"/>
  <c r="Z79" i="16"/>
  <c r="AA79" i="16"/>
  <c r="AB79" i="16"/>
  <c r="AC79" i="16"/>
  <c r="AD79" i="16"/>
  <c r="AE79" i="16"/>
  <c r="AF79" i="16"/>
  <c r="AG79" i="16"/>
  <c r="AH79" i="16"/>
  <c r="AI79" i="16"/>
  <c r="AJ79" i="16"/>
  <c r="AK79" i="16"/>
  <c r="AL79" i="16"/>
  <c r="AM79" i="16"/>
  <c r="E80" i="16"/>
  <c r="F80" i="16"/>
  <c r="G80" i="16"/>
  <c r="H80" i="16"/>
  <c r="I80" i="16"/>
  <c r="J80" i="16"/>
  <c r="K80" i="16"/>
  <c r="L80" i="16"/>
  <c r="M80" i="16"/>
  <c r="N80" i="16"/>
  <c r="O80" i="16"/>
  <c r="P80" i="16"/>
  <c r="Q80" i="16"/>
  <c r="R80" i="16"/>
  <c r="S80" i="16"/>
  <c r="T80" i="16"/>
  <c r="U80" i="16"/>
  <c r="V80" i="16"/>
  <c r="W80" i="16"/>
  <c r="X80" i="16"/>
  <c r="Y80" i="16"/>
  <c r="Z80" i="16"/>
  <c r="AA80" i="16"/>
  <c r="AB80" i="16"/>
  <c r="AC80" i="16"/>
  <c r="AD80" i="16"/>
  <c r="AE80" i="16"/>
  <c r="AF80" i="16"/>
  <c r="AG80" i="16"/>
  <c r="AH80" i="16"/>
  <c r="AI80" i="16"/>
  <c r="AJ80" i="16"/>
  <c r="AK80" i="16"/>
  <c r="AL80" i="16"/>
  <c r="AM80" i="16"/>
  <c r="E81" i="16"/>
  <c r="F81" i="16"/>
  <c r="G81" i="16"/>
  <c r="H81" i="16"/>
  <c r="I81" i="16"/>
  <c r="J81" i="16"/>
  <c r="K81" i="16"/>
  <c r="L81" i="16"/>
  <c r="M81" i="16"/>
  <c r="N81" i="16"/>
  <c r="O81" i="16"/>
  <c r="P81" i="16"/>
  <c r="Q81" i="16"/>
  <c r="R81" i="16"/>
  <c r="S81" i="16"/>
  <c r="T81" i="16"/>
  <c r="U81" i="16"/>
  <c r="V81" i="16"/>
  <c r="W81" i="16"/>
  <c r="X81" i="16"/>
  <c r="Y81" i="16"/>
  <c r="Z81" i="16"/>
  <c r="AA81" i="16"/>
  <c r="AB81" i="16"/>
  <c r="AC81" i="16"/>
  <c r="AD81" i="16"/>
  <c r="AE81" i="16"/>
  <c r="AF81" i="16"/>
  <c r="AG81" i="16"/>
  <c r="AH81" i="16"/>
  <c r="AI81" i="16"/>
  <c r="AJ81" i="16"/>
  <c r="AK81" i="16"/>
  <c r="AL81" i="16"/>
  <c r="AM81" i="16"/>
  <c r="E82" i="16"/>
  <c r="F82" i="16"/>
  <c r="G82" i="16"/>
  <c r="H82" i="16"/>
  <c r="I82" i="16"/>
  <c r="J82" i="16"/>
  <c r="K82" i="16"/>
  <c r="L82" i="16"/>
  <c r="M82" i="16"/>
  <c r="N82" i="16"/>
  <c r="O82" i="16"/>
  <c r="P82" i="16"/>
  <c r="Q82" i="16"/>
  <c r="R82" i="16"/>
  <c r="S82" i="16"/>
  <c r="T82" i="16"/>
  <c r="U82" i="16"/>
  <c r="V82" i="16"/>
  <c r="W82" i="16"/>
  <c r="X82" i="16"/>
  <c r="Y82" i="16"/>
  <c r="Z82" i="16"/>
  <c r="AA82" i="16"/>
  <c r="AB82" i="16"/>
  <c r="AC82" i="16"/>
  <c r="AD82" i="16"/>
  <c r="AE82" i="16"/>
  <c r="AF82" i="16"/>
  <c r="AG82" i="16"/>
  <c r="AH82" i="16"/>
  <c r="AI82" i="16"/>
  <c r="AJ82" i="16"/>
  <c r="AK82" i="16"/>
  <c r="AL82" i="16"/>
  <c r="AM82" i="16"/>
  <c r="E83" i="16"/>
  <c r="F83" i="16"/>
  <c r="G83" i="16"/>
  <c r="H83" i="16"/>
  <c r="I83" i="16"/>
  <c r="J83" i="16"/>
  <c r="K83" i="16"/>
  <c r="L83" i="16"/>
  <c r="M83" i="16"/>
  <c r="N83" i="16"/>
  <c r="O83" i="16"/>
  <c r="P83" i="16"/>
  <c r="Q83" i="16"/>
  <c r="R83" i="16"/>
  <c r="S83" i="16"/>
  <c r="T83" i="16"/>
  <c r="U83" i="16"/>
  <c r="V83" i="16"/>
  <c r="W83" i="16"/>
  <c r="X83" i="16"/>
  <c r="Y83" i="16"/>
  <c r="Z83" i="16"/>
  <c r="AA83" i="16"/>
  <c r="AB83" i="16"/>
  <c r="AC83" i="16"/>
  <c r="AD83" i="16"/>
  <c r="AE83" i="16"/>
  <c r="AF83" i="16"/>
  <c r="AG83" i="16"/>
  <c r="AH83" i="16"/>
  <c r="AI83" i="16"/>
  <c r="AJ83" i="16"/>
  <c r="AK83" i="16"/>
  <c r="AL83" i="16"/>
  <c r="AM83" i="16"/>
  <c r="E84" i="16"/>
  <c r="F84" i="16"/>
  <c r="G84" i="16"/>
  <c r="H84" i="16"/>
  <c r="I84" i="16"/>
  <c r="J84" i="16"/>
  <c r="K84" i="16"/>
  <c r="L84" i="16"/>
  <c r="M84" i="16"/>
  <c r="N84" i="16"/>
  <c r="O84" i="16"/>
  <c r="P84" i="16"/>
  <c r="Q84" i="16"/>
  <c r="R84" i="16"/>
  <c r="S84" i="16"/>
  <c r="T84" i="16"/>
  <c r="U84" i="16"/>
  <c r="V84" i="16"/>
  <c r="W84" i="16"/>
  <c r="X84" i="16"/>
  <c r="Y84" i="16"/>
  <c r="Z84" i="16"/>
  <c r="AA84" i="16"/>
  <c r="AB84" i="16"/>
  <c r="AC84" i="16"/>
  <c r="AD84" i="16"/>
  <c r="AE84" i="16"/>
  <c r="AF84" i="16"/>
  <c r="AG84" i="16"/>
  <c r="AH84" i="16"/>
  <c r="AI84" i="16"/>
  <c r="AJ84" i="16"/>
  <c r="AK84" i="16"/>
  <c r="AL84" i="16"/>
  <c r="AM84" i="16"/>
  <c r="E86" i="16"/>
  <c r="F86" i="16"/>
  <c r="G86" i="16"/>
  <c r="H86" i="16"/>
  <c r="I86" i="16"/>
  <c r="J86" i="16"/>
  <c r="K86" i="16"/>
  <c r="L86" i="16"/>
  <c r="M86" i="16"/>
  <c r="N86" i="16"/>
  <c r="O86" i="16"/>
  <c r="P86" i="16"/>
  <c r="Q86" i="16"/>
  <c r="R86" i="16"/>
  <c r="S86" i="16"/>
  <c r="T86" i="16"/>
  <c r="U86" i="16"/>
  <c r="V86" i="16"/>
  <c r="W86" i="16"/>
  <c r="X86" i="16"/>
  <c r="Y86" i="16"/>
  <c r="Z86" i="16"/>
  <c r="AA86" i="16"/>
  <c r="AB86" i="16"/>
  <c r="AC86" i="16"/>
  <c r="AD86" i="16"/>
  <c r="AE86" i="16"/>
  <c r="AF86" i="16"/>
  <c r="AG86" i="16"/>
  <c r="AH86" i="16"/>
  <c r="AI86" i="16"/>
  <c r="AJ86" i="16"/>
  <c r="AK86" i="16"/>
  <c r="AL86" i="16"/>
  <c r="AM86" i="16"/>
  <c r="E87" i="16"/>
  <c r="F87" i="16"/>
  <c r="G87" i="16"/>
  <c r="H87" i="16"/>
  <c r="I87" i="16"/>
  <c r="J87" i="16"/>
  <c r="K87" i="16"/>
  <c r="L87" i="16"/>
  <c r="M87" i="16"/>
  <c r="N87" i="16"/>
  <c r="O87" i="16"/>
  <c r="P87" i="16"/>
  <c r="Q87" i="16"/>
  <c r="R87" i="16"/>
  <c r="S87" i="16"/>
  <c r="T87" i="16"/>
  <c r="U87" i="16"/>
  <c r="V87" i="16"/>
  <c r="W87" i="16"/>
  <c r="X87" i="16"/>
  <c r="Y87" i="16"/>
  <c r="Z87" i="16"/>
  <c r="AA87" i="16"/>
  <c r="AB87" i="16"/>
  <c r="AC87" i="16"/>
  <c r="AD87" i="16"/>
  <c r="AE87" i="16"/>
  <c r="AF87" i="16"/>
  <c r="AG87" i="16"/>
  <c r="AH87" i="16"/>
  <c r="AI87" i="16"/>
  <c r="AJ87" i="16"/>
  <c r="AK87" i="16"/>
  <c r="AL87" i="16"/>
  <c r="AM87" i="16"/>
  <c r="E88" i="16"/>
  <c r="F88" i="16"/>
  <c r="G88" i="16"/>
  <c r="H88" i="16"/>
  <c r="I88" i="16"/>
  <c r="J88" i="16"/>
  <c r="K88" i="16"/>
  <c r="L88" i="16"/>
  <c r="M88" i="16"/>
  <c r="N88" i="16"/>
  <c r="O88" i="16"/>
  <c r="P88" i="16"/>
  <c r="Q88" i="16"/>
  <c r="R88" i="16"/>
  <c r="S88" i="16"/>
  <c r="T88" i="16"/>
  <c r="U88" i="16"/>
  <c r="V88" i="16"/>
  <c r="W88" i="16"/>
  <c r="X88" i="16"/>
  <c r="Y88" i="16"/>
  <c r="Z88" i="16"/>
  <c r="AA88" i="16"/>
  <c r="AB88" i="16"/>
  <c r="AC88" i="16"/>
  <c r="AD88" i="16"/>
  <c r="AE88" i="16"/>
  <c r="AF88" i="16"/>
  <c r="AG88" i="16"/>
  <c r="AH88" i="16"/>
  <c r="AI88" i="16"/>
  <c r="AJ88" i="16"/>
  <c r="AK88" i="16"/>
  <c r="AL88" i="16"/>
  <c r="AM88" i="16"/>
  <c r="E90" i="16"/>
  <c r="E91" i="16" s="1"/>
  <c r="F90" i="16"/>
  <c r="F91" i="16" s="1"/>
  <c r="G90" i="16"/>
  <c r="G91" i="16" s="1"/>
  <c r="H90" i="16"/>
  <c r="H91" i="16" s="1"/>
  <c r="I90" i="16"/>
  <c r="I91" i="16" s="1"/>
  <c r="J90" i="16"/>
  <c r="J91" i="16" s="1"/>
  <c r="K90" i="16"/>
  <c r="K91" i="16" s="1"/>
  <c r="L90" i="16"/>
  <c r="L91" i="16" s="1"/>
  <c r="M90" i="16"/>
  <c r="M91" i="16" s="1"/>
  <c r="N90" i="16"/>
  <c r="N91" i="16" s="1"/>
  <c r="O90" i="16"/>
  <c r="O91" i="16" s="1"/>
  <c r="P90" i="16"/>
  <c r="P91" i="16" s="1"/>
  <c r="Q90" i="16"/>
  <c r="Q91" i="16" s="1"/>
  <c r="R90" i="16"/>
  <c r="R91" i="16" s="1"/>
  <c r="S90" i="16"/>
  <c r="S91" i="16" s="1"/>
  <c r="T90" i="16"/>
  <c r="T91" i="16" s="1"/>
  <c r="U90" i="16"/>
  <c r="U91" i="16" s="1"/>
  <c r="V90" i="16"/>
  <c r="V91" i="16" s="1"/>
  <c r="W90" i="16"/>
  <c r="W91" i="16" s="1"/>
  <c r="X90" i="16"/>
  <c r="X91" i="16" s="1"/>
  <c r="Y90" i="16"/>
  <c r="Y91" i="16" s="1"/>
  <c r="Z90" i="16"/>
  <c r="Z91" i="16" s="1"/>
  <c r="AA90" i="16"/>
  <c r="AA91" i="16" s="1"/>
  <c r="AB90" i="16"/>
  <c r="AB91" i="16" s="1"/>
  <c r="AC90" i="16"/>
  <c r="AC91" i="16" s="1"/>
  <c r="AD90" i="16"/>
  <c r="AD91" i="16" s="1"/>
  <c r="AE90" i="16"/>
  <c r="AE91" i="16" s="1"/>
  <c r="AF90" i="16"/>
  <c r="AF91" i="16" s="1"/>
  <c r="AG90" i="16"/>
  <c r="AG91" i="16" s="1"/>
  <c r="AH90" i="16"/>
  <c r="AH91" i="16" s="1"/>
  <c r="AI90" i="16"/>
  <c r="AI91" i="16" s="1"/>
  <c r="AJ90" i="16"/>
  <c r="AJ91" i="16" s="1"/>
  <c r="AK90" i="16"/>
  <c r="AK91" i="16" s="1"/>
  <c r="AL90" i="16"/>
  <c r="AL91" i="16" s="1"/>
  <c r="AM90" i="16"/>
  <c r="AM91" i="16" s="1"/>
  <c r="E92" i="16"/>
  <c r="E93" i="16" s="1"/>
  <c r="F92" i="16"/>
  <c r="F93" i="16" s="1"/>
  <c r="G92" i="16"/>
  <c r="G93" i="16" s="1"/>
  <c r="H92" i="16"/>
  <c r="H93" i="16" s="1"/>
  <c r="I92" i="16"/>
  <c r="I93" i="16" s="1"/>
  <c r="J92" i="16"/>
  <c r="J93" i="16" s="1"/>
  <c r="K92" i="16"/>
  <c r="K93" i="16" s="1"/>
  <c r="L92" i="16"/>
  <c r="L93" i="16" s="1"/>
  <c r="M92" i="16"/>
  <c r="M93" i="16" s="1"/>
  <c r="N92" i="16"/>
  <c r="N93" i="16" s="1"/>
  <c r="O92" i="16"/>
  <c r="O93" i="16" s="1"/>
  <c r="P92" i="16"/>
  <c r="P93" i="16" s="1"/>
  <c r="Q92" i="16"/>
  <c r="Q93" i="16" s="1"/>
  <c r="R92" i="16"/>
  <c r="R93" i="16" s="1"/>
  <c r="S92" i="16"/>
  <c r="S93" i="16" s="1"/>
  <c r="T92" i="16"/>
  <c r="T93" i="16" s="1"/>
  <c r="U92" i="16"/>
  <c r="U93" i="16" s="1"/>
  <c r="V92" i="16"/>
  <c r="V93" i="16" s="1"/>
  <c r="W92" i="16"/>
  <c r="W93" i="16" s="1"/>
  <c r="X92" i="16"/>
  <c r="X93" i="16" s="1"/>
  <c r="Y92" i="16"/>
  <c r="Y93" i="16" s="1"/>
  <c r="Z92" i="16"/>
  <c r="Z93" i="16" s="1"/>
  <c r="AA92" i="16"/>
  <c r="AA93" i="16" s="1"/>
  <c r="AB92" i="16"/>
  <c r="AB93" i="16" s="1"/>
  <c r="AC92" i="16"/>
  <c r="AC93" i="16" s="1"/>
  <c r="AD92" i="16"/>
  <c r="AD93" i="16" s="1"/>
  <c r="AE92" i="16"/>
  <c r="AE93" i="16" s="1"/>
  <c r="AF92" i="16"/>
  <c r="AF93" i="16" s="1"/>
  <c r="AG92" i="16"/>
  <c r="AG93" i="16" s="1"/>
  <c r="AH92" i="16"/>
  <c r="AH93" i="16" s="1"/>
  <c r="AI92" i="16"/>
  <c r="AI93" i="16" s="1"/>
  <c r="AJ92" i="16"/>
  <c r="AJ93" i="16" s="1"/>
  <c r="AK92" i="16"/>
  <c r="AK93" i="16" s="1"/>
  <c r="AL92" i="16"/>
  <c r="AL93" i="16" s="1"/>
  <c r="AM92" i="16"/>
  <c r="AM93" i="16" s="1"/>
  <c r="E94" i="16"/>
  <c r="E95" i="16" s="1"/>
  <c r="F94" i="16"/>
  <c r="F95" i="16" s="1"/>
  <c r="G94" i="16"/>
  <c r="G95" i="16" s="1"/>
  <c r="H94" i="16"/>
  <c r="H95" i="16" s="1"/>
  <c r="I94" i="16"/>
  <c r="I95" i="16" s="1"/>
  <c r="J94" i="16"/>
  <c r="J95" i="16" s="1"/>
  <c r="K94" i="16"/>
  <c r="K95" i="16" s="1"/>
  <c r="L94" i="16"/>
  <c r="L95" i="16" s="1"/>
  <c r="M94" i="16"/>
  <c r="M95" i="16" s="1"/>
  <c r="N94" i="16"/>
  <c r="N95" i="16" s="1"/>
  <c r="O94" i="16"/>
  <c r="O95" i="16" s="1"/>
  <c r="P94" i="16"/>
  <c r="P95" i="16" s="1"/>
  <c r="Q94" i="16"/>
  <c r="Q95" i="16" s="1"/>
  <c r="R94" i="16"/>
  <c r="R95" i="16" s="1"/>
  <c r="S94" i="16"/>
  <c r="S95" i="16" s="1"/>
  <c r="T94" i="16"/>
  <c r="T95" i="16" s="1"/>
  <c r="U94" i="16"/>
  <c r="U95" i="16" s="1"/>
  <c r="V94" i="16"/>
  <c r="V95" i="16" s="1"/>
  <c r="W94" i="16"/>
  <c r="W95" i="16" s="1"/>
  <c r="X94" i="16"/>
  <c r="X95" i="16" s="1"/>
  <c r="Y94" i="16"/>
  <c r="Y95" i="16" s="1"/>
  <c r="Z94" i="16"/>
  <c r="Z95" i="16" s="1"/>
  <c r="AA94" i="16"/>
  <c r="AA95" i="16" s="1"/>
  <c r="AB94" i="16"/>
  <c r="AB95" i="16" s="1"/>
  <c r="AC94" i="16"/>
  <c r="AC95" i="16" s="1"/>
  <c r="AD94" i="16"/>
  <c r="AD95" i="16" s="1"/>
  <c r="AE94" i="16"/>
  <c r="AE95" i="16" s="1"/>
  <c r="AF94" i="16"/>
  <c r="AF95" i="16" s="1"/>
  <c r="AG94" i="16"/>
  <c r="AG95" i="16" s="1"/>
  <c r="AH94" i="16"/>
  <c r="AH95" i="16" s="1"/>
  <c r="AI94" i="16"/>
  <c r="AI95" i="16" s="1"/>
  <c r="AJ94" i="16"/>
  <c r="AJ95" i="16" s="1"/>
  <c r="AK94" i="16"/>
  <c r="AK95" i="16" s="1"/>
  <c r="AL94" i="16"/>
  <c r="AL95" i="16" s="1"/>
  <c r="AM94" i="16"/>
  <c r="AM95" i="16" s="1"/>
  <c r="E96" i="16"/>
  <c r="F96" i="16"/>
  <c r="G96" i="16"/>
  <c r="H96" i="16"/>
  <c r="I96" i="16"/>
  <c r="J96" i="16"/>
  <c r="K96" i="16"/>
  <c r="L96" i="16"/>
  <c r="M96" i="16"/>
  <c r="N96" i="16"/>
  <c r="O96" i="16"/>
  <c r="P96" i="16"/>
  <c r="Q96" i="16"/>
  <c r="R96" i="16"/>
  <c r="S96" i="16"/>
  <c r="T96" i="16"/>
  <c r="U96" i="16"/>
  <c r="V96" i="16"/>
  <c r="W96" i="16"/>
  <c r="X96" i="16"/>
  <c r="Y96" i="16"/>
  <c r="Z96" i="16"/>
  <c r="AA96" i="16"/>
  <c r="AB96" i="16"/>
  <c r="AC96" i="16"/>
  <c r="AD96" i="16"/>
  <c r="AE96" i="16"/>
  <c r="AF96" i="16"/>
  <c r="AG96" i="16"/>
  <c r="AH96" i="16"/>
  <c r="AI96" i="16"/>
  <c r="AJ96" i="16"/>
  <c r="AK96" i="16"/>
  <c r="AL96" i="16"/>
  <c r="AM96" i="16"/>
  <c r="E97" i="16"/>
  <c r="F97" i="16"/>
  <c r="G97" i="16"/>
  <c r="H97" i="16"/>
  <c r="I97" i="16"/>
  <c r="J97" i="16"/>
  <c r="K97" i="16"/>
  <c r="L97" i="16"/>
  <c r="L98" i="16" s="1"/>
  <c r="M97" i="16"/>
  <c r="N97" i="16"/>
  <c r="O97" i="16"/>
  <c r="P97" i="16"/>
  <c r="Q97" i="16"/>
  <c r="R97" i="16"/>
  <c r="S97" i="16"/>
  <c r="T97" i="16"/>
  <c r="U97" i="16"/>
  <c r="V97" i="16"/>
  <c r="W97" i="16"/>
  <c r="X97" i="16"/>
  <c r="X98" i="16" s="1"/>
  <c r="Y97" i="16"/>
  <c r="Z97" i="16"/>
  <c r="AA97" i="16"/>
  <c r="AB97" i="16"/>
  <c r="AC97" i="16"/>
  <c r="AD97" i="16"/>
  <c r="AE97" i="16"/>
  <c r="AF97" i="16"/>
  <c r="AG97" i="16"/>
  <c r="AH97" i="16"/>
  <c r="AI97" i="16"/>
  <c r="AJ97" i="16"/>
  <c r="AJ98" i="16" s="1"/>
  <c r="AK97" i="16"/>
  <c r="AL97" i="16"/>
  <c r="AM97" i="16"/>
  <c r="E99" i="16"/>
  <c r="F99" i="16"/>
  <c r="G99" i="16"/>
  <c r="H99" i="16"/>
  <c r="I99" i="16"/>
  <c r="J99" i="16"/>
  <c r="K99" i="16"/>
  <c r="L99" i="16"/>
  <c r="M99" i="16"/>
  <c r="N99" i="16"/>
  <c r="O99" i="16"/>
  <c r="P99" i="16"/>
  <c r="Q99" i="16"/>
  <c r="R99" i="16"/>
  <c r="S99" i="16"/>
  <c r="T99" i="16"/>
  <c r="U99" i="16"/>
  <c r="V99" i="16"/>
  <c r="W99" i="16"/>
  <c r="X99" i="16"/>
  <c r="Y99" i="16"/>
  <c r="Z99" i="16"/>
  <c r="AA99" i="16"/>
  <c r="AB99" i="16"/>
  <c r="AC99" i="16"/>
  <c r="AD99" i="16"/>
  <c r="AE99" i="16"/>
  <c r="AF99" i="16"/>
  <c r="AG99" i="16"/>
  <c r="AH99" i="16"/>
  <c r="AI99" i="16"/>
  <c r="AJ99" i="16"/>
  <c r="AK99" i="16"/>
  <c r="AL99" i="16"/>
  <c r="AM99" i="16"/>
  <c r="E100" i="16"/>
  <c r="F100" i="16"/>
  <c r="G100" i="16"/>
  <c r="H100" i="16"/>
  <c r="I100" i="16"/>
  <c r="J100" i="16"/>
  <c r="K100" i="16"/>
  <c r="L100" i="16"/>
  <c r="M100" i="16"/>
  <c r="N100" i="16"/>
  <c r="O100" i="16"/>
  <c r="P100" i="16"/>
  <c r="Q100" i="16"/>
  <c r="R100" i="16"/>
  <c r="S100" i="16"/>
  <c r="T100" i="16"/>
  <c r="U100" i="16"/>
  <c r="V100" i="16"/>
  <c r="W100" i="16"/>
  <c r="X100" i="16"/>
  <c r="Y100" i="16"/>
  <c r="Z100" i="16"/>
  <c r="AA100" i="16"/>
  <c r="AB100" i="16"/>
  <c r="AC100" i="16"/>
  <c r="AD100" i="16"/>
  <c r="AE100" i="16"/>
  <c r="AF100" i="16"/>
  <c r="AG100" i="16"/>
  <c r="AH100" i="16"/>
  <c r="AI100" i="16"/>
  <c r="AJ100" i="16"/>
  <c r="AK100" i="16"/>
  <c r="AL100" i="16"/>
  <c r="AM100" i="16"/>
  <c r="E102" i="16"/>
  <c r="E103" i="16" s="1"/>
  <c r="F102" i="16"/>
  <c r="F103" i="16" s="1"/>
  <c r="G102" i="16"/>
  <c r="G103" i="16" s="1"/>
  <c r="H102" i="16"/>
  <c r="H103" i="16" s="1"/>
  <c r="I102" i="16"/>
  <c r="I103" i="16" s="1"/>
  <c r="J102" i="16"/>
  <c r="J103" i="16" s="1"/>
  <c r="K102" i="16"/>
  <c r="K103" i="16" s="1"/>
  <c r="L102" i="16"/>
  <c r="L103" i="16" s="1"/>
  <c r="M102" i="16"/>
  <c r="M103" i="16" s="1"/>
  <c r="N102" i="16"/>
  <c r="N103" i="16" s="1"/>
  <c r="O102" i="16"/>
  <c r="O103" i="16" s="1"/>
  <c r="P102" i="16"/>
  <c r="P103" i="16" s="1"/>
  <c r="Q102" i="16"/>
  <c r="Q103" i="16" s="1"/>
  <c r="R102" i="16"/>
  <c r="R103" i="16" s="1"/>
  <c r="S102" i="16"/>
  <c r="S103" i="16" s="1"/>
  <c r="T102" i="16"/>
  <c r="T103" i="16" s="1"/>
  <c r="U102" i="16"/>
  <c r="U103" i="16" s="1"/>
  <c r="V102" i="16"/>
  <c r="V103" i="16" s="1"/>
  <c r="W102" i="16"/>
  <c r="W103" i="16" s="1"/>
  <c r="X102" i="16"/>
  <c r="X103" i="16" s="1"/>
  <c r="Y102" i="16"/>
  <c r="Y103" i="16" s="1"/>
  <c r="Z102" i="16"/>
  <c r="Z103" i="16" s="1"/>
  <c r="AA102" i="16"/>
  <c r="AA103" i="16" s="1"/>
  <c r="AB102" i="16"/>
  <c r="AB103" i="16" s="1"/>
  <c r="AC102" i="16"/>
  <c r="AC103" i="16" s="1"/>
  <c r="AD102" i="16"/>
  <c r="AD103" i="16" s="1"/>
  <c r="AE102" i="16"/>
  <c r="AE103" i="16" s="1"/>
  <c r="AF102" i="16"/>
  <c r="AF103" i="16" s="1"/>
  <c r="AG102" i="16"/>
  <c r="AG103" i="16" s="1"/>
  <c r="AH102" i="16"/>
  <c r="AH103" i="16" s="1"/>
  <c r="AI102" i="16"/>
  <c r="AI103" i="16" s="1"/>
  <c r="AJ102" i="16"/>
  <c r="AJ103" i="16" s="1"/>
  <c r="AK102" i="16"/>
  <c r="AK103" i="16" s="1"/>
  <c r="AL102" i="16"/>
  <c r="AL103" i="16" s="1"/>
  <c r="AM102" i="16"/>
  <c r="AM103" i="16" s="1"/>
  <c r="E132" i="16"/>
  <c r="F132" i="16"/>
  <c r="G132" i="16"/>
  <c r="H132" i="16"/>
  <c r="I132" i="16"/>
  <c r="J132" i="16"/>
  <c r="K132" i="16"/>
  <c r="L132" i="16"/>
  <c r="M132" i="16"/>
  <c r="N132" i="16"/>
  <c r="O132" i="16"/>
  <c r="P132" i="16"/>
  <c r="Q132" i="16"/>
  <c r="R132" i="16"/>
  <c r="S132" i="16"/>
  <c r="T132" i="16"/>
  <c r="U132" i="16"/>
  <c r="V132" i="16"/>
  <c r="W132" i="16"/>
  <c r="X132" i="16"/>
  <c r="Y132" i="16"/>
  <c r="Z132" i="16"/>
  <c r="AA132" i="16"/>
  <c r="AB132" i="16"/>
  <c r="AC132" i="16"/>
  <c r="AD132" i="16"/>
  <c r="AE132" i="16"/>
  <c r="AF132" i="16"/>
  <c r="AG132" i="16"/>
  <c r="AH132" i="16"/>
  <c r="AI132" i="16"/>
  <c r="AJ132" i="16"/>
  <c r="AK132" i="16"/>
  <c r="AL132" i="16"/>
  <c r="AM132" i="16"/>
  <c r="E133" i="16"/>
  <c r="F133" i="16"/>
  <c r="G133" i="16"/>
  <c r="H133" i="16"/>
  <c r="I133" i="16"/>
  <c r="J133" i="16"/>
  <c r="K133" i="16"/>
  <c r="L133" i="16"/>
  <c r="M133" i="16"/>
  <c r="N133" i="16"/>
  <c r="O133" i="16"/>
  <c r="P133" i="16"/>
  <c r="Q133" i="16"/>
  <c r="R133" i="16"/>
  <c r="S133" i="16"/>
  <c r="T133" i="16"/>
  <c r="U133" i="16"/>
  <c r="V133" i="16"/>
  <c r="W133" i="16"/>
  <c r="X133" i="16"/>
  <c r="Y133" i="16"/>
  <c r="Z133" i="16"/>
  <c r="AA133" i="16"/>
  <c r="AB133" i="16"/>
  <c r="AC133" i="16"/>
  <c r="AD133" i="16"/>
  <c r="AE133" i="16"/>
  <c r="AF133" i="16"/>
  <c r="AG133" i="16"/>
  <c r="AH133" i="16"/>
  <c r="AI133" i="16"/>
  <c r="AJ133" i="16"/>
  <c r="AK133" i="16"/>
  <c r="AL133" i="16"/>
  <c r="AM133" i="16"/>
  <c r="E134" i="16"/>
  <c r="F134" i="16"/>
  <c r="G134" i="16"/>
  <c r="H134" i="16"/>
  <c r="I134" i="16"/>
  <c r="J134" i="16"/>
  <c r="K134" i="16"/>
  <c r="L134" i="16"/>
  <c r="M134" i="16"/>
  <c r="N134" i="16"/>
  <c r="O134" i="16"/>
  <c r="P134" i="16"/>
  <c r="Q134" i="16"/>
  <c r="R134" i="16"/>
  <c r="S134" i="16"/>
  <c r="T134" i="16"/>
  <c r="U134" i="16"/>
  <c r="V134" i="16"/>
  <c r="W134" i="16"/>
  <c r="X134" i="16"/>
  <c r="Y134" i="16"/>
  <c r="Z134" i="16"/>
  <c r="AA134" i="16"/>
  <c r="AB134" i="16"/>
  <c r="AC134" i="16"/>
  <c r="AD134" i="16"/>
  <c r="AE134" i="16"/>
  <c r="AF134" i="16"/>
  <c r="AG134" i="16"/>
  <c r="AH134" i="16"/>
  <c r="AI134" i="16"/>
  <c r="AJ134" i="16"/>
  <c r="AK134" i="16"/>
  <c r="AL134" i="16"/>
  <c r="AM134" i="16"/>
  <c r="E135" i="16"/>
  <c r="F135" i="16"/>
  <c r="G135" i="16"/>
  <c r="H135" i="16"/>
  <c r="I135" i="16"/>
  <c r="J135" i="16"/>
  <c r="K135" i="16"/>
  <c r="L135" i="16"/>
  <c r="M135" i="16"/>
  <c r="N135" i="16"/>
  <c r="O135" i="16"/>
  <c r="P135" i="16"/>
  <c r="Q135" i="16"/>
  <c r="R135" i="16"/>
  <c r="S135" i="16"/>
  <c r="T135" i="16"/>
  <c r="U135" i="16"/>
  <c r="V135" i="16"/>
  <c r="W135" i="16"/>
  <c r="X135" i="16"/>
  <c r="Y135" i="16"/>
  <c r="Z135" i="16"/>
  <c r="AA135" i="16"/>
  <c r="AB135" i="16"/>
  <c r="AC135" i="16"/>
  <c r="AD135" i="16"/>
  <c r="AE135" i="16"/>
  <c r="AF135" i="16"/>
  <c r="AG135" i="16"/>
  <c r="AH135" i="16"/>
  <c r="AI135" i="16"/>
  <c r="AJ135" i="16"/>
  <c r="AK135" i="16"/>
  <c r="AL135" i="16"/>
  <c r="AM135" i="16"/>
  <c r="E136" i="16"/>
  <c r="F136" i="16"/>
  <c r="G136" i="16"/>
  <c r="H136" i="16"/>
  <c r="I136" i="16"/>
  <c r="J136" i="16"/>
  <c r="K136" i="16"/>
  <c r="L136" i="16"/>
  <c r="M136" i="16"/>
  <c r="N136" i="16"/>
  <c r="O136" i="16"/>
  <c r="P136" i="16"/>
  <c r="Q136" i="16"/>
  <c r="R136" i="16"/>
  <c r="S136" i="16"/>
  <c r="T136" i="16"/>
  <c r="U136" i="16"/>
  <c r="V136" i="16"/>
  <c r="W136" i="16"/>
  <c r="X136" i="16"/>
  <c r="Y136" i="16"/>
  <c r="Z136" i="16"/>
  <c r="AA136" i="16"/>
  <c r="AB136" i="16"/>
  <c r="AC136" i="16"/>
  <c r="AD136" i="16"/>
  <c r="AE136" i="16"/>
  <c r="AF136" i="16"/>
  <c r="AG136" i="16"/>
  <c r="AH136" i="16"/>
  <c r="AI136" i="16"/>
  <c r="AJ136" i="16"/>
  <c r="AK136" i="16"/>
  <c r="AL136" i="16"/>
  <c r="AM136" i="16"/>
  <c r="E137" i="16"/>
  <c r="F137" i="16"/>
  <c r="G137" i="16"/>
  <c r="H137" i="16"/>
  <c r="I137" i="16"/>
  <c r="J137" i="16"/>
  <c r="K137" i="16"/>
  <c r="L137" i="16"/>
  <c r="M137" i="16"/>
  <c r="N137" i="16"/>
  <c r="O137" i="16"/>
  <c r="P137" i="16"/>
  <c r="Q137" i="16"/>
  <c r="R137" i="16"/>
  <c r="S137" i="16"/>
  <c r="T137" i="16"/>
  <c r="U137" i="16"/>
  <c r="V137" i="16"/>
  <c r="W137" i="16"/>
  <c r="X137" i="16"/>
  <c r="Y137" i="16"/>
  <c r="Z137" i="16"/>
  <c r="AA137" i="16"/>
  <c r="AB137" i="16"/>
  <c r="AC137" i="16"/>
  <c r="AD137" i="16"/>
  <c r="AE137" i="16"/>
  <c r="AF137" i="16"/>
  <c r="AG137" i="16"/>
  <c r="AH137" i="16"/>
  <c r="AI137" i="16"/>
  <c r="AJ137" i="16"/>
  <c r="AK137" i="16"/>
  <c r="AL137" i="16"/>
  <c r="AM137" i="16"/>
  <c r="E139" i="16"/>
  <c r="F139" i="16"/>
  <c r="G139" i="16"/>
  <c r="H139" i="16"/>
  <c r="I139" i="16"/>
  <c r="J139" i="16"/>
  <c r="K139" i="16"/>
  <c r="L139" i="16"/>
  <c r="M139" i="16"/>
  <c r="N139" i="16"/>
  <c r="O139" i="16"/>
  <c r="P139" i="16"/>
  <c r="Q139" i="16"/>
  <c r="R139" i="16"/>
  <c r="S139" i="16"/>
  <c r="T139" i="16"/>
  <c r="U139" i="16"/>
  <c r="V139" i="16"/>
  <c r="W139" i="16"/>
  <c r="X139" i="16"/>
  <c r="Y139" i="16"/>
  <c r="Z139" i="16"/>
  <c r="AA139" i="16"/>
  <c r="AB139" i="16"/>
  <c r="AC139" i="16"/>
  <c r="AD139" i="16"/>
  <c r="AE139" i="16"/>
  <c r="AF139" i="16"/>
  <c r="AG139" i="16"/>
  <c r="AH139" i="16"/>
  <c r="AI139" i="16"/>
  <c r="AJ139" i="16"/>
  <c r="AK139" i="16"/>
  <c r="AL139" i="16"/>
  <c r="AM139" i="16"/>
  <c r="E140" i="16"/>
  <c r="F140" i="16"/>
  <c r="G140" i="16"/>
  <c r="H140" i="16"/>
  <c r="I140" i="16"/>
  <c r="J140" i="16"/>
  <c r="K140" i="16"/>
  <c r="L140" i="16"/>
  <c r="M140" i="16"/>
  <c r="N140" i="16"/>
  <c r="O140" i="16"/>
  <c r="P140" i="16"/>
  <c r="Q140" i="16"/>
  <c r="R140" i="16"/>
  <c r="S140" i="16"/>
  <c r="T140" i="16"/>
  <c r="U140" i="16"/>
  <c r="V140" i="16"/>
  <c r="W140" i="16"/>
  <c r="X140" i="16"/>
  <c r="Y140" i="16"/>
  <c r="Z140" i="16"/>
  <c r="AA140" i="16"/>
  <c r="AB140" i="16"/>
  <c r="AC140" i="16"/>
  <c r="AD140" i="16"/>
  <c r="AE140" i="16"/>
  <c r="AF140" i="16"/>
  <c r="AG140" i="16"/>
  <c r="AH140" i="16"/>
  <c r="AI140" i="16"/>
  <c r="AJ140" i="16"/>
  <c r="AK140" i="16"/>
  <c r="AL140" i="16"/>
  <c r="AM140" i="16"/>
  <c r="E141" i="16"/>
  <c r="F141" i="16"/>
  <c r="G141" i="16"/>
  <c r="H141" i="16"/>
  <c r="I141" i="16"/>
  <c r="J141" i="16"/>
  <c r="K141" i="16"/>
  <c r="L141" i="16"/>
  <c r="M141" i="16"/>
  <c r="N141" i="16"/>
  <c r="O141" i="16"/>
  <c r="P141" i="16"/>
  <c r="Q141" i="16"/>
  <c r="R141" i="16"/>
  <c r="S141" i="16"/>
  <c r="T141" i="16"/>
  <c r="U141" i="16"/>
  <c r="V141" i="16"/>
  <c r="W141" i="16"/>
  <c r="X141" i="16"/>
  <c r="Y141" i="16"/>
  <c r="Z141" i="16"/>
  <c r="AA141" i="16"/>
  <c r="AB141" i="16"/>
  <c r="AC141" i="16"/>
  <c r="AD141" i="16"/>
  <c r="AE141" i="16"/>
  <c r="AF141" i="16"/>
  <c r="AG141" i="16"/>
  <c r="AH141" i="16"/>
  <c r="AI141" i="16"/>
  <c r="AJ141" i="16"/>
  <c r="AK141" i="16"/>
  <c r="AL141" i="16"/>
  <c r="AM141" i="16"/>
  <c r="E142" i="16"/>
  <c r="F142" i="16"/>
  <c r="G142" i="16"/>
  <c r="H142" i="16"/>
  <c r="I142" i="16"/>
  <c r="J142" i="16"/>
  <c r="K142" i="16"/>
  <c r="L142" i="16"/>
  <c r="M142" i="16"/>
  <c r="N142" i="16"/>
  <c r="O142" i="16"/>
  <c r="P142" i="16"/>
  <c r="Q142" i="16"/>
  <c r="R142" i="16"/>
  <c r="S142" i="16"/>
  <c r="T142" i="16"/>
  <c r="U142" i="16"/>
  <c r="V142" i="16"/>
  <c r="W142" i="16"/>
  <c r="X142" i="16"/>
  <c r="Y142" i="16"/>
  <c r="Z142" i="16"/>
  <c r="AA142" i="16"/>
  <c r="AB142" i="16"/>
  <c r="AC142" i="16"/>
  <c r="AD142" i="16"/>
  <c r="AE142" i="16"/>
  <c r="AF142" i="16"/>
  <c r="AG142" i="16"/>
  <c r="AH142" i="16"/>
  <c r="AI142" i="16"/>
  <c r="AJ142" i="16"/>
  <c r="AK142" i="16"/>
  <c r="AL142" i="16"/>
  <c r="AM142" i="16"/>
  <c r="E144" i="16"/>
  <c r="F144" i="16"/>
  <c r="G144" i="16"/>
  <c r="H144" i="16"/>
  <c r="I144" i="16"/>
  <c r="J144" i="16"/>
  <c r="K144" i="16"/>
  <c r="L144" i="16"/>
  <c r="M144" i="16"/>
  <c r="N144" i="16"/>
  <c r="O144" i="16"/>
  <c r="P144" i="16"/>
  <c r="Q144" i="16"/>
  <c r="R144" i="16"/>
  <c r="S144" i="16"/>
  <c r="T144" i="16"/>
  <c r="U144" i="16"/>
  <c r="V144" i="16"/>
  <c r="W144" i="16"/>
  <c r="X144" i="16"/>
  <c r="Y144" i="16"/>
  <c r="Z144" i="16"/>
  <c r="AA144" i="16"/>
  <c r="AB144" i="16"/>
  <c r="AC144" i="16"/>
  <c r="AD144" i="16"/>
  <c r="AE144" i="16"/>
  <c r="AF144" i="16"/>
  <c r="AG144" i="16"/>
  <c r="AH144" i="16"/>
  <c r="AI144" i="16"/>
  <c r="AJ144" i="16"/>
  <c r="AK144" i="16"/>
  <c r="AL144" i="16"/>
  <c r="AM144" i="16"/>
  <c r="E145" i="16"/>
  <c r="F145" i="16"/>
  <c r="G145" i="16"/>
  <c r="H145" i="16"/>
  <c r="I145" i="16"/>
  <c r="J145" i="16"/>
  <c r="K145" i="16"/>
  <c r="L145" i="16"/>
  <c r="M145" i="16"/>
  <c r="N145" i="16"/>
  <c r="O145" i="16"/>
  <c r="P145" i="16"/>
  <c r="Q145" i="16"/>
  <c r="R145" i="16"/>
  <c r="S145" i="16"/>
  <c r="T145" i="16"/>
  <c r="U145" i="16"/>
  <c r="V145" i="16"/>
  <c r="W145" i="16"/>
  <c r="X145" i="16"/>
  <c r="Y145" i="16"/>
  <c r="Z145" i="16"/>
  <c r="AA145" i="16"/>
  <c r="AB145" i="16"/>
  <c r="AC145" i="16"/>
  <c r="AD145" i="16"/>
  <c r="AE145" i="16"/>
  <c r="AF145" i="16"/>
  <c r="AG145" i="16"/>
  <c r="AH145" i="16"/>
  <c r="AI145" i="16"/>
  <c r="AJ145" i="16"/>
  <c r="AK145" i="16"/>
  <c r="AL145" i="16"/>
  <c r="AM145" i="16"/>
  <c r="E146" i="16"/>
  <c r="F146" i="16"/>
  <c r="G146" i="16"/>
  <c r="H146" i="16"/>
  <c r="I146" i="16"/>
  <c r="J146" i="16"/>
  <c r="K146" i="16"/>
  <c r="L146" i="16"/>
  <c r="M146" i="16"/>
  <c r="N146" i="16"/>
  <c r="O146" i="16"/>
  <c r="P146" i="16"/>
  <c r="Q146" i="16"/>
  <c r="R146" i="16"/>
  <c r="S146" i="16"/>
  <c r="T146" i="16"/>
  <c r="U146" i="16"/>
  <c r="V146" i="16"/>
  <c r="W146" i="16"/>
  <c r="X146" i="16"/>
  <c r="Y146" i="16"/>
  <c r="Z146" i="16"/>
  <c r="AA146" i="16"/>
  <c r="AB146" i="16"/>
  <c r="AC146" i="16"/>
  <c r="AD146" i="16"/>
  <c r="AE146" i="16"/>
  <c r="AF146" i="16"/>
  <c r="AG146" i="16"/>
  <c r="AH146" i="16"/>
  <c r="AI146" i="16"/>
  <c r="AJ146" i="16"/>
  <c r="AK146" i="16"/>
  <c r="AL146" i="16"/>
  <c r="AM146" i="16"/>
  <c r="E147" i="16"/>
  <c r="F147" i="16"/>
  <c r="G147" i="16"/>
  <c r="H147" i="16"/>
  <c r="I147" i="16"/>
  <c r="J147" i="16"/>
  <c r="K147" i="16"/>
  <c r="L147" i="16"/>
  <c r="M147" i="16"/>
  <c r="N147" i="16"/>
  <c r="O147" i="16"/>
  <c r="P147" i="16"/>
  <c r="Q147" i="16"/>
  <c r="R147" i="16"/>
  <c r="S147" i="16"/>
  <c r="T147" i="16"/>
  <c r="U147" i="16"/>
  <c r="V147" i="16"/>
  <c r="W147" i="16"/>
  <c r="X147" i="16"/>
  <c r="Y147" i="16"/>
  <c r="Z147" i="16"/>
  <c r="AA147" i="16"/>
  <c r="AB147" i="16"/>
  <c r="AC147" i="16"/>
  <c r="AD147" i="16"/>
  <c r="AE147" i="16"/>
  <c r="AF147" i="16"/>
  <c r="AG147" i="16"/>
  <c r="AH147" i="16"/>
  <c r="AI147" i="16"/>
  <c r="AJ147" i="16"/>
  <c r="AK147" i="16"/>
  <c r="AL147" i="16"/>
  <c r="AM147" i="16"/>
  <c r="E148" i="16"/>
  <c r="F148" i="16"/>
  <c r="G148" i="16"/>
  <c r="H148" i="16"/>
  <c r="I148" i="16"/>
  <c r="J148" i="16"/>
  <c r="K148" i="16"/>
  <c r="L148" i="16"/>
  <c r="M148" i="16"/>
  <c r="N148" i="16"/>
  <c r="O148" i="16"/>
  <c r="P148" i="16"/>
  <c r="Q148" i="16"/>
  <c r="R148" i="16"/>
  <c r="S148" i="16"/>
  <c r="T148" i="16"/>
  <c r="U148" i="16"/>
  <c r="V148" i="16"/>
  <c r="W148" i="16"/>
  <c r="X148" i="16"/>
  <c r="Y148" i="16"/>
  <c r="Z148" i="16"/>
  <c r="AA148" i="16"/>
  <c r="AB148" i="16"/>
  <c r="AC148" i="16"/>
  <c r="AD148" i="16"/>
  <c r="AE148" i="16"/>
  <c r="AF148" i="16"/>
  <c r="AG148" i="16"/>
  <c r="AH148" i="16"/>
  <c r="AI148" i="16"/>
  <c r="AJ148" i="16"/>
  <c r="AK148" i="16"/>
  <c r="AL148" i="16"/>
  <c r="AM148" i="16"/>
  <c r="E149" i="16"/>
  <c r="F149" i="16"/>
  <c r="G149" i="16"/>
  <c r="H149" i="16"/>
  <c r="I149" i="16"/>
  <c r="J149" i="16"/>
  <c r="K149" i="16"/>
  <c r="L149" i="16"/>
  <c r="M149" i="16"/>
  <c r="N149" i="16"/>
  <c r="O149" i="16"/>
  <c r="P149" i="16"/>
  <c r="Q149" i="16"/>
  <c r="R149" i="16"/>
  <c r="S149" i="16"/>
  <c r="T149" i="16"/>
  <c r="U149" i="16"/>
  <c r="V149" i="16"/>
  <c r="W149" i="16"/>
  <c r="X149" i="16"/>
  <c r="Y149" i="16"/>
  <c r="Z149" i="16"/>
  <c r="AA149" i="16"/>
  <c r="AB149" i="16"/>
  <c r="AC149" i="16"/>
  <c r="AD149" i="16"/>
  <c r="AE149" i="16"/>
  <c r="AF149" i="16"/>
  <c r="AG149" i="16"/>
  <c r="AH149" i="16"/>
  <c r="AI149" i="16"/>
  <c r="AJ149" i="16"/>
  <c r="AK149" i="16"/>
  <c r="AL149" i="16"/>
  <c r="AM149" i="16"/>
  <c r="E151" i="16"/>
  <c r="F151" i="16"/>
  <c r="G151" i="16"/>
  <c r="H151" i="16"/>
  <c r="I151" i="16"/>
  <c r="J151" i="16"/>
  <c r="K151" i="16"/>
  <c r="L151" i="16"/>
  <c r="M151" i="16"/>
  <c r="N151" i="16"/>
  <c r="O151" i="16"/>
  <c r="P151" i="16"/>
  <c r="Q151" i="16"/>
  <c r="R151" i="16"/>
  <c r="S151" i="16"/>
  <c r="T151" i="16"/>
  <c r="U151" i="16"/>
  <c r="V151" i="16"/>
  <c r="W151" i="16"/>
  <c r="X151" i="16"/>
  <c r="Y151" i="16"/>
  <c r="Z151" i="16"/>
  <c r="AA151" i="16"/>
  <c r="AB151" i="16"/>
  <c r="AC151" i="16"/>
  <c r="AD151" i="16"/>
  <c r="AE151" i="16"/>
  <c r="AF151" i="16"/>
  <c r="AG151" i="16"/>
  <c r="AH151" i="16"/>
  <c r="AI151" i="16"/>
  <c r="AJ151" i="16"/>
  <c r="AK151" i="16"/>
  <c r="AL151" i="16"/>
  <c r="AM151" i="16"/>
  <c r="E152" i="16"/>
  <c r="F152" i="16"/>
  <c r="G152" i="16"/>
  <c r="H152" i="16"/>
  <c r="I152" i="16"/>
  <c r="J152" i="16"/>
  <c r="K152" i="16"/>
  <c r="L152" i="16"/>
  <c r="M152" i="16"/>
  <c r="N152" i="16"/>
  <c r="O152" i="16"/>
  <c r="P152" i="16"/>
  <c r="Q152" i="16"/>
  <c r="R152" i="16"/>
  <c r="S152" i="16"/>
  <c r="T152" i="16"/>
  <c r="U152" i="16"/>
  <c r="V152" i="16"/>
  <c r="W152" i="16"/>
  <c r="X152" i="16"/>
  <c r="Y152" i="16"/>
  <c r="Z152" i="16"/>
  <c r="AA152" i="16"/>
  <c r="AB152" i="16"/>
  <c r="AC152" i="16"/>
  <c r="AD152" i="16"/>
  <c r="AE152" i="16"/>
  <c r="AF152" i="16"/>
  <c r="AG152" i="16"/>
  <c r="AH152" i="16"/>
  <c r="AI152" i="16"/>
  <c r="AJ152" i="16"/>
  <c r="AK152" i="16"/>
  <c r="AL152" i="16"/>
  <c r="AM152" i="16"/>
  <c r="E153" i="16"/>
  <c r="F153" i="16"/>
  <c r="G153" i="16"/>
  <c r="H153" i="16"/>
  <c r="I153" i="16"/>
  <c r="J153" i="16"/>
  <c r="K153" i="16"/>
  <c r="L153" i="16"/>
  <c r="M153" i="16"/>
  <c r="N153" i="16"/>
  <c r="O153" i="16"/>
  <c r="P153" i="16"/>
  <c r="Q153" i="16"/>
  <c r="R153" i="16"/>
  <c r="S153" i="16"/>
  <c r="T153" i="16"/>
  <c r="U153" i="16"/>
  <c r="V153" i="16"/>
  <c r="W153" i="16"/>
  <c r="X153" i="16"/>
  <c r="Y153" i="16"/>
  <c r="Z153" i="16"/>
  <c r="AA153" i="16"/>
  <c r="AB153" i="16"/>
  <c r="AC153" i="16"/>
  <c r="AD153" i="16"/>
  <c r="AE153" i="16"/>
  <c r="AF153" i="16"/>
  <c r="AG153" i="16"/>
  <c r="AH153" i="16"/>
  <c r="AI153" i="16"/>
  <c r="AJ153" i="16"/>
  <c r="AK153" i="16"/>
  <c r="AL153" i="16"/>
  <c r="AM153" i="16"/>
  <c r="E155" i="16"/>
  <c r="E156" i="16" s="1"/>
  <c r="F155" i="16"/>
  <c r="F156" i="16" s="1"/>
  <c r="G155" i="16"/>
  <c r="G156" i="16" s="1"/>
  <c r="H155" i="16"/>
  <c r="H156" i="16" s="1"/>
  <c r="I155" i="16"/>
  <c r="I156" i="16" s="1"/>
  <c r="J155" i="16"/>
  <c r="J156" i="16" s="1"/>
  <c r="K155" i="16"/>
  <c r="K156" i="16" s="1"/>
  <c r="L155" i="16"/>
  <c r="L156" i="16" s="1"/>
  <c r="M155" i="16"/>
  <c r="M156" i="16" s="1"/>
  <c r="N155" i="16"/>
  <c r="N156" i="16" s="1"/>
  <c r="O155" i="16"/>
  <c r="O156" i="16" s="1"/>
  <c r="P155" i="16"/>
  <c r="P156" i="16" s="1"/>
  <c r="Q155" i="16"/>
  <c r="Q156" i="16" s="1"/>
  <c r="R155" i="16"/>
  <c r="R156" i="16" s="1"/>
  <c r="S155" i="16"/>
  <c r="S156" i="16" s="1"/>
  <c r="T155" i="16"/>
  <c r="T156" i="16" s="1"/>
  <c r="U155" i="16"/>
  <c r="U156" i="16" s="1"/>
  <c r="V155" i="16"/>
  <c r="V156" i="16" s="1"/>
  <c r="W155" i="16"/>
  <c r="W156" i="16" s="1"/>
  <c r="X155" i="16"/>
  <c r="X156" i="16" s="1"/>
  <c r="Y155" i="16"/>
  <c r="Y156" i="16" s="1"/>
  <c r="Z155" i="16"/>
  <c r="Z156" i="16" s="1"/>
  <c r="AA155" i="16"/>
  <c r="AA156" i="16" s="1"/>
  <c r="AB155" i="16"/>
  <c r="AB156" i="16" s="1"/>
  <c r="AC155" i="16"/>
  <c r="AC156" i="16" s="1"/>
  <c r="AD155" i="16"/>
  <c r="AD156" i="16" s="1"/>
  <c r="AE155" i="16"/>
  <c r="AE156" i="16" s="1"/>
  <c r="AF155" i="16"/>
  <c r="AF156" i="16" s="1"/>
  <c r="AG155" i="16"/>
  <c r="AG156" i="16" s="1"/>
  <c r="AH155" i="16"/>
  <c r="AH156" i="16" s="1"/>
  <c r="AI155" i="16"/>
  <c r="AI156" i="16" s="1"/>
  <c r="AJ155" i="16"/>
  <c r="AJ156" i="16" s="1"/>
  <c r="AK155" i="16"/>
  <c r="AK156" i="16" s="1"/>
  <c r="AL155" i="16"/>
  <c r="AL156" i="16" s="1"/>
  <c r="AM155" i="16"/>
  <c r="AM156" i="16" s="1"/>
  <c r="E157" i="16"/>
  <c r="E158" i="16" s="1"/>
  <c r="F157" i="16"/>
  <c r="F158" i="16" s="1"/>
  <c r="G157" i="16"/>
  <c r="G158" i="16" s="1"/>
  <c r="H157" i="16"/>
  <c r="H158" i="16" s="1"/>
  <c r="I157" i="16"/>
  <c r="I158" i="16" s="1"/>
  <c r="J157" i="16"/>
  <c r="J158" i="16" s="1"/>
  <c r="K157" i="16"/>
  <c r="K158" i="16" s="1"/>
  <c r="L157" i="16"/>
  <c r="L158" i="16" s="1"/>
  <c r="M157" i="16"/>
  <c r="M158" i="16" s="1"/>
  <c r="N157" i="16"/>
  <c r="N158" i="16" s="1"/>
  <c r="O157" i="16"/>
  <c r="O158" i="16" s="1"/>
  <c r="P157" i="16"/>
  <c r="P158" i="16" s="1"/>
  <c r="Q157" i="16"/>
  <c r="Q158" i="16" s="1"/>
  <c r="R157" i="16"/>
  <c r="R158" i="16" s="1"/>
  <c r="S157" i="16"/>
  <c r="S158" i="16" s="1"/>
  <c r="T157" i="16"/>
  <c r="T158" i="16" s="1"/>
  <c r="U157" i="16"/>
  <c r="U158" i="16" s="1"/>
  <c r="V157" i="16"/>
  <c r="V158" i="16" s="1"/>
  <c r="W157" i="16"/>
  <c r="W158" i="16" s="1"/>
  <c r="X157" i="16"/>
  <c r="X158" i="16" s="1"/>
  <c r="Y157" i="16"/>
  <c r="Y158" i="16" s="1"/>
  <c r="Z157" i="16"/>
  <c r="Z158" i="16" s="1"/>
  <c r="AA157" i="16"/>
  <c r="AA158" i="16" s="1"/>
  <c r="AB157" i="16"/>
  <c r="AB158" i="16" s="1"/>
  <c r="AC157" i="16"/>
  <c r="AC158" i="16" s="1"/>
  <c r="AD157" i="16"/>
  <c r="AD158" i="16" s="1"/>
  <c r="AE157" i="16"/>
  <c r="AE158" i="16" s="1"/>
  <c r="AF157" i="16"/>
  <c r="AF158" i="16" s="1"/>
  <c r="AG157" i="16"/>
  <c r="AG158" i="16" s="1"/>
  <c r="AH157" i="16"/>
  <c r="AH158" i="16" s="1"/>
  <c r="AI157" i="16"/>
  <c r="AI158" i="16" s="1"/>
  <c r="AJ157" i="16"/>
  <c r="AJ158" i="16" s="1"/>
  <c r="AK157" i="16"/>
  <c r="AK158" i="16" s="1"/>
  <c r="AL157" i="16"/>
  <c r="AL158" i="16" s="1"/>
  <c r="AM157" i="16"/>
  <c r="AM158" i="16" s="1"/>
  <c r="E159" i="16"/>
  <c r="E160" i="16" s="1"/>
  <c r="F159" i="16"/>
  <c r="F160" i="16" s="1"/>
  <c r="G159" i="16"/>
  <c r="G160" i="16" s="1"/>
  <c r="H159" i="16"/>
  <c r="H160" i="16" s="1"/>
  <c r="I159" i="16"/>
  <c r="I160" i="16" s="1"/>
  <c r="J159" i="16"/>
  <c r="J160" i="16" s="1"/>
  <c r="K159" i="16"/>
  <c r="K160" i="16" s="1"/>
  <c r="L159" i="16"/>
  <c r="L160" i="16" s="1"/>
  <c r="M159" i="16"/>
  <c r="M160" i="16" s="1"/>
  <c r="N159" i="16"/>
  <c r="N160" i="16" s="1"/>
  <c r="O159" i="16"/>
  <c r="O160" i="16" s="1"/>
  <c r="P159" i="16"/>
  <c r="P160" i="16" s="1"/>
  <c r="Q159" i="16"/>
  <c r="Q160" i="16" s="1"/>
  <c r="R159" i="16"/>
  <c r="R160" i="16" s="1"/>
  <c r="S159" i="16"/>
  <c r="S160" i="16" s="1"/>
  <c r="T159" i="16"/>
  <c r="T160" i="16" s="1"/>
  <c r="U159" i="16"/>
  <c r="U160" i="16" s="1"/>
  <c r="V159" i="16"/>
  <c r="V160" i="16" s="1"/>
  <c r="W159" i="16"/>
  <c r="W160" i="16" s="1"/>
  <c r="X159" i="16"/>
  <c r="X160" i="16" s="1"/>
  <c r="Y159" i="16"/>
  <c r="Y160" i="16" s="1"/>
  <c r="Z159" i="16"/>
  <c r="Z160" i="16" s="1"/>
  <c r="AA159" i="16"/>
  <c r="AA160" i="16" s="1"/>
  <c r="AB159" i="16"/>
  <c r="AB160" i="16" s="1"/>
  <c r="AC159" i="16"/>
  <c r="AC160" i="16" s="1"/>
  <c r="AD159" i="16"/>
  <c r="AD160" i="16" s="1"/>
  <c r="AE159" i="16"/>
  <c r="AE160" i="16" s="1"/>
  <c r="AF159" i="16"/>
  <c r="AF160" i="16" s="1"/>
  <c r="AG159" i="16"/>
  <c r="AG160" i="16" s="1"/>
  <c r="AH159" i="16"/>
  <c r="AH160" i="16" s="1"/>
  <c r="AI159" i="16"/>
  <c r="AI160" i="16" s="1"/>
  <c r="AJ159" i="16"/>
  <c r="AJ160" i="16" s="1"/>
  <c r="AK159" i="16"/>
  <c r="AK160" i="16" s="1"/>
  <c r="AL159" i="16"/>
  <c r="AL160" i="16" s="1"/>
  <c r="AM159" i="16"/>
  <c r="AM160" i="16" s="1"/>
  <c r="E161" i="16"/>
  <c r="F161" i="16"/>
  <c r="G161" i="16"/>
  <c r="H161" i="16"/>
  <c r="I161" i="16"/>
  <c r="J161" i="16"/>
  <c r="K161" i="16"/>
  <c r="L161" i="16"/>
  <c r="M161" i="16"/>
  <c r="N161" i="16"/>
  <c r="O161" i="16"/>
  <c r="P161" i="16"/>
  <c r="Q161" i="16"/>
  <c r="R161" i="16"/>
  <c r="S161" i="16"/>
  <c r="T161" i="16"/>
  <c r="U161" i="16"/>
  <c r="V161" i="16"/>
  <c r="W161" i="16"/>
  <c r="X161" i="16"/>
  <c r="Y161" i="16"/>
  <c r="Z161" i="16"/>
  <c r="AA161" i="16"/>
  <c r="AB161" i="16"/>
  <c r="AC161" i="16"/>
  <c r="AD161" i="16"/>
  <c r="AE161" i="16"/>
  <c r="AF161" i="16"/>
  <c r="AG161" i="16"/>
  <c r="AH161" i="16"/>
  <c r="AI161" i="16"/>
  <c r="AJ161" i="16"/>
  <c r="AK161" i="16"/>
  <c r="AL161" i="16"/>
  <c r="AM161" i="16"/>
  <c r="E162" i="16"/>
  <c r="F162" i="16"/>
  <c r="G162" i="16"/>
  <c r="H162" i="16"/>
  <c r="I162" i="16"/>
  <c r="J162" i="16"/>
  <c r="K162" i="16"/>
  <c r="L162" i="16"/>
  <c r="M162" i="16"/>
  <c r="N162" i="16"/>
  <c r="O162" i="16"/>
  <c r="P162" i="16"/>
  <c r="Q162" i="16"/>
  <c r="R162" i="16"/>
  <c r="S162" i="16"/>
  <c r="T162" i="16"/>
  <c r="U162" i="16"/>
  <c r="V162" i="16"/>
  <c r="W162" i="16"/>
  <c r="X162" i="16"/>
  <c r="Y162" i="16"/>
  <c r="Z162" i="16"/>
  <c r="AA162" i="16"/>
  <c r="AB162" i="16"/>
  <c r="AC162" i="16"/>
  <c r="AD162" i="16"/>
  <c r="AE162" i="16"/>
  <c r="AF162" i="16"/>
  <c r="AG162" i="16"/>
  <c r="AH162" i="16"/>
  <c r="AI162" i="16"/>
  <c r="AJ162" i="16"/>
  <c r="AK162" i="16"/>
  <c r="AL162" i="16"/>
  <c r="AM162" i="16"/>
  <c r="E164" i="16"/>
  <c r="F164" i="16"/>
  <c r="G164" i="16"/>
  <c r="H164" i="16"/>
  <c r="I164" i="16"/>
  <c r="J164" i="16"/>
  <c r="K164" i="16"/>
  <c r="L164" i="16"/>
  <c r="M164" i="16"/>
  <c r="N164" i="16"/>
  <c r="O164" i="16"/>
  <c r="P164" i="16"/>
  <c r="Q164" i="16"/>
  <c r="R164" i="16"/>
  <c r="S164" i="16"/>
  <c r="T164" i="16"/>
  <c r="U164" i="16"/>
  <c r="V164" i="16"/>
  <c r="W164" i="16"/>
  <c r="X164" i="16"/>
  <c r="Y164" i="16"/>
  <c r="Z164" i="16"/>
  <c r="AA164" i="16"/>
  <c r="AB164" i="16"/>
  <c r="AC164" i="16"/>
  <c r="AD164" i="16"/>
  <c r="AE164" i="16"/>
  <c r="AF164" i="16"/>
  <c r="AG164" i="16"/>
  <c r="AH164" i="16"/>
  <c r="AI164" i="16"/>
  <c r="AJ164" i="16"/>
  <c r="AK164" i="16"/>
  <c r="AL164" i="16"/>
  <c r="AM164" i="16"/>
  <c r="E165" i="16"/>
  <c r="F165" i="16"/>
  <c r="G165" i="16"/>
  <c r="H165" i="16"/>
  <c r="I165" i="16"/>
  <c r="J165" i="16"/>
  <c r="K165" i="16"/>
  <c r="L165" i="16"/>
  <c r="M165" i="16"/>
  <c r="N165" i="16"/>
  <c r="O165" i="16"/>
  <c r="P165" i="16"/>
  <c r="Q165" i="16"/>
  <c r="R165" i="16"/>
  <c r="S165" i="16"/>
  <c r="T165" i="16"/>
  <c r="U165" i="16"/>
  <c r="V165" i="16"/>
  <c r="W165" i="16"/>
  <c r="X165" i="16"/>
  <c r="Y165" i="16"/>
  <c r="Z165" i="16"/>
  <c r="AA165" i="16"/>
  <c r="AB165" i="16"/>
  <c r="AC165" i="16"/>
  <c r="AD165" i="16"/>
  <c r="AE165" i="16"/>
  <c r="AF165" i="16"/>
  <c r="AG165" i="16"/>
  <c r="AH165" i="16"/>
  <c r="AI165" i="16"/>
  <c r="AJ165" i="16"/>
  <c r="AK165" i="16"/>
  <c r="AL165" i="16"/>
  <c r="AM165" i="16"/>
  <c r="E167" i="16"/>
  <c r="E168" i="16" s="1"/>
  <c r="F167" i="16"/>
  <c r="F168" i="16" s="1"/>
  <c r="G167" i="16"/>
  <c r="G168" i="16" s="1"/>
  <c r="H167" i="16"/>
  <c r="H168" i="16" s="1"/>
  <c r="I167" i="16"/>
  <c r="I168" i="16" s="1"/>
  <c r="J167" i="16"/>
  <c r="J168" i="16" s="1"/>
  <c r="K167" i="16"/>
  <c r="K168" i="16" s="1"/>
  <c r="L167" i="16"/>
  <c r="L168" i="16" s="1"/>
  <c r="M167" i="16"/>
  <c r="M168" i="16" s="1"/>
  <c r="N167" i="16"/>
  <c r="N168" i="16" s="1"/>
  <c r="O167" i="16"/>
  <c r="O168" i="16" s="1"/>
  <c r="P167" i="16"/>
  <c r="P168" i="16" s="1"/>
  <c r="Q167" i="16"/>
  <c r="Q168" i="16" s="1"/>
  <c r="R167" i="16"/>
  <c r="R168" i="16" s="1"/>
  <c r="S167" i="16"/>
  <c r="S168" i="16" s="1"/>
  <c r="T167" i="16"/>
  <c r="T168" i="16" s="1"/>
  <c r="U167" i="16"/>
  <c r="U168" i="16" s="1"/>
  <c r="V167" i="16"/>
  <c r="V168" i="16" s="1"/>
  <c r="W167" i="16"/>
  <c r="W168" i="16" s="1"/>
  <c r="X167" i="16"/>
  <c r="X168" i="16" s="1"/>
  <c r="Y167" i="16"/>
  <c r="Y168" i="16" s="1"/>
  <c r="Z167" i="16"/>
  <c r="Z168" i="16" s="1"/>
  <c r="AA167" i="16"/>
  <c r="AA168" i="16" s="1"/>
  <c r="AB167" i="16"/>
  <c r="AB168" i="16" s="1"/>
  <c r="AC167" i="16"/>
  <c r="AC168" i="16" s="1"/>
  <c r="AD167" i="16"/>
  <c r="AD168" i="16" s="1"/>
  <c r="AE167" i="16"/>
  <c r="AE168" i="16" s="1"/>
  <c r="AF167" i="16"/>
  <c r="AF168" i="16" s="1"/>
  <c r="AG167" i="16"/>
  <c r="AG168" i="16" s="1"/>
  <c r="AH167" i="16"/>
  <c r="AH168" i="16" s="1"/>
  <c r="AI167" i="16"/>
  <c r="AI168" i="16" s="1"/>
  <c r="AJ167" i="16"/>
  <c r="AJ168" i="16" s="1"/>
  <c r="AK167" i="16"/>
  <c r="AK168" i="16" s="1"/>
  <c r="AL167" i="16"/>
  <c r="AL168" i="16" s="1"/>
  <c r="AM167" i="16"/>
  <c r="AM168" i="16" s="1"/>
  <c r="E197" i="16"/>
  <c r="F197" i="16"/>
  <c r="G197" i="16"/>
  <c r="H197" i="16"/>
  <c r="I197" i="16"/>
  <c r="J197" i="16"/>
  <c r="K197" i="16"/>
  <c r="L197" i="16"/>
  <c r="M197" i="16"/>
  <c r="N197" i="16"/>
  <c r="O197" i="16"/>
  <c r="P197" i="16"/>
  <c r="Q197" i="16"/>
  <c r="R197" i="16"/>
  <c r="S197" i="16"/>
  <c r="T197" i="16"/>
  <c r="U197" i="16"/>
  <c r="V197" i="16"/>
  <c r="W197" i="16"/>
  <c r="X197" i="16"/>
  <c r="Y197" i="16"/>
  <c r="Z197" i="16"/>
  <c r="AA197" i="16"/>
  <c r="AB197" i="16"/>
  <c r="AC197" i="16"/>
  <c r="AD197" i="16"/>
  <c r="AE197" i="16"/>
  <c r="AF197" i="16"/>
  <c r="AG197" i="16"/>
  <c r="AH197" i="16"/>
  <c r="AI197" i="16"/>
  <c r="AJ197" i="16"/>
  <c r="AK197" i="16"/>
  <c r="AL197" i="16"/>
  <c r="AM197" i="16"/>
  <c r="E198" i="16"/>
  <c r="F198" i="16"/>
  <c r="G198" i="16"/>
  <c r="H198" i="16"/>
  <c r="I198" i="16"/>
  <c r="J198" i="16"/>
  <c r="K198" i="16"/>
  <c r="L198" i="16"/>
  <c r="M198" i="16"/>
  <c r="N198" i="16"/>
  <c r="O198" i="16"/>
  <c r="P198" i="16"/>
  <c r="Q198" i="16"/>
  <c r="R198" i="16"/>
  <c r="S198" i="16"/>
  <c r="T198" i="16"/>
  <c r="U198" i="16"/>
  <c r="V198" i="16"/>
  <c r="W198" i="16"/>
  <c r="X198" i="16"/>
  <c r="Y198" i="16"/>
  <c r="Z198" i="16"/>
  <c r="AA198" i="16"/>
  <c r="AB198" i="16"/>
  <c r="AC198" i="16"/>
  <c r="AD198" i="16"/>
  <c r="AE198" i="16"/>
  <c r="AF198" i="16"/>
  <c r="AG198" i="16"/>
  <c r="AH198" i="16"/>
  <c r="AI198" i="16"/>
  <c r="AJ198" i="16"/>
  <c r="AK198" i="16"/>
  <c r="AL198" i="16"/>
  <c r="AM198" i="16"/>
  <c r="E199" i="16"/>
  <c r="F199" i="16"/>
  <c r="G199" i="16"/>
  <c r="H199" i="16"/>
  <c r="I199" i="16"/>
  <c r="J199" i="16"/>
  <c r="K199" i="16"/>
  <c r="L199" i="16"/>
  <c r="M199" i="16"/>
  <c r="N199" i="16"/>
  <c r="O199" i="16"/>
  <c r="P199" i="16"/>
  <c r="Q199" i="16"/>
  <c r="R199" i="16"/>
  <c r="S199" i="16"/>
  <c r="T199" i="16"/>
  <c r="U199" i="16"/>
  <c r="V199" i="16"/>
  <c r="W199" i="16"/>
  <c r="X199" i="16"/>
  <c r="Y199" i="16"/>
  <c r="Z199" i="16"/>
  <c r="AA199" i="16"/>
  <c r="AB199" i="16"/>
  <c r="AC199" i="16"/>
  <c r="AD199" i="16"/>
  <c r="AE199" i="16"/>
  <c r="AF199" i="16"/>
  <c r="AG199" i="16"/>
  <c r="AH199" i="16"/>
  <c r="AI199" i="16"/>
  <c r="AJ199" i="16"/>
  <c r="AK199" i="16"/>
  <c r="AL199" i="16"/>
  <c r="AM199" i="16"/>
  <c r="E200" i="16"/>
  <c r="F200" i="16"/>
  <c r="G200" i="16"/>
  <c r="H200" i="16"/>
  <c r="I200" i="16"/>
  <c r="J200" i="16"/>
  <c r="K200" i="16"/>
  <c r="L200" i="16"/>
  <c r="M200" i="16"/>
  <c r="N200" i="16"/>
  <c r="O200" i="16"/>
  <c r="P200" i="16"/>
  <c r="Q200" i="16"/>
  <c r="R200" i="16"/>
  <c r="S200" i="16"/>
  <c r="T200" i="16"/>
  <c r="U200" i="16"/>
  <c r="V200" i="16"/>
  <c r="W200" i="16"/>
  <c r="X200" i="16"/>
  <c r="Y200" i="16"/>
  <c r="Z200" i="16"/>
  <c r="AA200" i="16"/>
  <c r="AB200" i="16"/>
  <c r="AC200" i="16"/>
  <c r="AD200" i="16"/>
  <c r="AE200" i="16"/>
  <c r="AF200" i="16"/>
  <c r="AG200" i="16"/>
  <c r="AH200" i="16"/>
  <c r="AI200" i="16"/>
  <c r="AJ200" i="16"/>
  <c r="AK200" i="16"/>
  <c r="AL200" i="16"/>
  <c r="AM200" i="16"/>
  <c r="E201" i="16"/>
  <c r="F201" i="16"/>
  <c r="G201" i="16"/>
  <c r="H201" i="16"/>
  <c r="I201" i="16"/>
  <c r="J201" i="16"/>
  <c r="K201" i="16"/>
  <c r="L201" i="16"/>
  <c r="M201" i="16"/>
  <c r="N201" i="16"/>
  <c r="O201" i="16"/>
  <c r="P201" i="16"/>
  <c r="Q201" i="16"/>
  <c r="R201" i="16"/>
  <c r="S201" i="16"/>
  <c r="T201" i="16"/>
  <c r="U201" i="16"/>
  <c r="V201" i="16"/>
  <c r="W201" i="16"/>
  <c r="X201" i="16"/>
  <c r="Y201" i="16"/>
  <c r="Z201" i="16"/>
  <c r="AA201" i="16"/>
  <c r="AB201" i="16"/>
  <c r="AC201" i="16"/>
  <c r="AD201" i="16"/>
  <c r="AE201" i="16"/>
  <c r="AF201" i="16"/>
  <c r="AG201" i="16"/>
  <c r="AH201" i="16"/>
  <c r="AI201" i="16"/>
  <c r="AJ201" i="16"/>
  <c r="AK201" i="16"/>
  <c r="AL201" i="16"/>
  <c r="AM201" i="16"/>
  <c r="E202" i="16"/>
  <c r="F202" i="16"/>
  <c r="G202" i="16"/>
  <c r="H202" i="16"/>
  <c r="I202" i="16"/>
  <c r="J202" i="16"/>
  <c r="K202" i="16"/>
  <c r="L202" i="16"/>
  <c r="M202" i="16"/>
  <c r="N202" i="16"/>
  <c r="O202" i="16"/>
  <c r="P202" i="16"/>
  <c r="Q202" i="16"/>
  <c r="R202" i="16"/>
  <c r="S202" i="16"/>
  <c r="T202" i="16"/>
  <c r="U202" i="16"/>
  <c r="V202" i="16"/>
  <c r="W202" i="16"/>
  <c r="X202" i="16"/>
  <c r="Y202" i="16"/>
  <c r="Z202" i="16"/>
  <c r="AA202" i="16"/>
  <c r="AB202" i="16"/>
  <c r="AC202" i="16"/>
  <c r="AD202" i="16"/>
  <c r="AE202" i="16"/>
  <c r="AF202" i="16"/>
  <c r="AG202" i="16"/>
  <c r="AH202" i="16"/>
  <c r="AI202" i="16"/>
  <c r="AJ202" i="16"/>
  <c r="AK202" i="16"/>
  <c r="AL202" i="16"/>
  <c r="AM202" i="16"/>
  <c r="E204" i="16"/>
  <c r="F204" i="16"/>
  <c r="G204" i="16"/>
  <c r="H204" i="16"/>
  <c r="I204" i="16"/>
  <c r="J204" i="16"/>
  <c r="K204" i="16"/>
  <c r="L204" i="16"/>
  <c r="M204" i="16"/>
  <c r="N204" i="16"/>
  <c r="O204" i="16"/>
  <c r="P204" i="16"/>
  <c r="Q204" i="16"/>
  <c r="R204" i="16"/>
  <c r="S204" i="16"/>
  <c r="T204" i="16"/>
  <c r="U204" i="16"/>
  <c r="V204" i="16"/>
  <c r="W204" i="16"/>
  <c r="X204" i="16"/>
  <c r="Y204" i="16"/>
  <c r="Z204" i="16"/>
  <c r="AA204" i="16"/>
  <c r="AB204" i="16"/>
  <c r="AC204" i="16"/>
  <c r="AD204" i="16"/>
  <c r="AE204" i="16"/>
  <c r="AF204" i="16"/>
  <c r="AG204" i="16"/>
  <c r="AH204" i="16"/>
  <c r="AI204" i="16"/>
  <c r="AJ204" i="16"/>
  <c r="AK204" i="16"/>
  <c r="AL204" i="16"/>
  <c r="AM204" i="16"/>
  <c r="E205" i="16"/>
  <c r="F205" i="16"/>
  <c r="G205" i="16"/>
  <c r="H205" i="16"/>
  <c r="I205" i="16"/>
  <c r="J205" i="16"/>
  <c r="K205" i="16"/>
  <c r="L205" i="16"/>
  <c r="M205" i="16"/>
  <c r="N205" i="16"/>
  <c r="O205" i="16"/>
  <c r="P205" i="16"/>
  <c r="Q205" i="16"/>
  <c r="R205" i="16"/>
  <c r="S205" i="16"/>
  <c r="T205" i="16"/>
  <c r="U205" i="16"/>
  <c r="V205" i="16"/>
  <c r="W205" i="16"/>
  <c r="X205" i="16"/>
  <c r="Y205" i="16"/>
  <c r="Z205" i="16"/>
  <c r="AA205" i="16"/>
  <c r="AB205" i="16"/>
  <c r="AC205" i="16"/>
  <c r="AD205" i="16"/>
  <c r="AE205" i="16"/>
  <c r="AF205" i="16"/>
  <c r="AG205" i="16"/>
  <c r="AH205" i="16"/>
  <c r="AI205" i="16"/>
  <c r="AJ205" i="16"/>
  <c r="AK205" i="16"/>
  <c r="AL205" i="16"/>
  <c r="AM205" i="16"/>
  <c r="E206" i="16"/>
  <c r="F206" i="16"/>
  <c r="G206" i="16"/>
  <c r="H206" i="16"/>
  <c r="I206" i="16"/>
  <c r="J206" i="16"/>
  <c r="K206" i="16"/>
  <c r="L206" i="16"/>
  <c r="M206" i="16"/>
  <c r="N206" i="16"/>
  <c r="O206" i="16"/>
  <c r="P206" i="16"/>
  <c r="Q206" i="16"/>
  <c r="R206" i="16"/>
  <c r="S206" i="16"/>
  <c r="T206" i="16"/>
  <c r="U206" i="16"/>
  <c r="V206" i="16"/>
  <c r="W206" i="16"/>
  <c r="X206" i="16"/>
  <c r="Y206" i="16"/>
  <c r="Z206" i="16"/>
  <c r="AA206" i="16"/>
  <c r="AB206" i="16"/>
  <c r="AC206" i="16"/>
  <c r="AD206" i="16"/>
  <c r="AE206" i="16"/>
  <c r="AF206" i="16"/>
  <c r="AG206" i="16"/>
  <c r="AH206" i="16"/>
  <c r="AI206" i="16"/>
  <c r="AJ206" i="16"/>
  <c r="AK206" i="16"/>
  <c r="AL206" i="16"/>
  <c r="AM206" i="16"/>
  <c r="E207" i="16"/>
  <c r="F207" i="16"/>
  <c r="G207" i="16"/>
  <c r="H207" i="16"/>
  <c r="I207" i="16"/>
  <c r="J207" i="16"/>
  <c r="K207" i="16"/>
  <c r="L207" i="16"/>
  <c r="M207" i="16"/>
  <c r="N207" i="16"/>
  <c r="O207" i="16"/>
  <c r="P207" i="16"/>
  <c r="Q207" i="16"/>
  <c r="R207" i="16"/>
  <c r="S207" i="16"/>
  <c r="T207" i="16"/>
  <c r="U207" i="16"/>
  <c r="V207" i="16"/>
  <c r="W207" i="16"/>
  <c r="X207" i="16"/>
  <c r="Y207" i="16"/>
  <c r="Z207" i="16"/>
  <c r="AA207" i="16"/>
  <c r="AB207" i="16"/>
  <c r="AC207" i="16"/>
  <c r="AD207" i="16"/>
  <c r="AE207" i="16"/>
  <c r="AF207" i="16"/>
  <c r="AG207" i="16"/>
  <c r="AH207" i="16"/>
  <c r="AI207" i="16"/>
  <c r="AJ207" i="16"/>
  <c r="AK207" i="16"/>
  <c r="AL207" i="16"/>
  <c r="AM207" i="16"/>
  <c r="E209" i="16"/>
  <c r="F209" i="16"/>
  <c r="G209" i="16"/>
  <c r="H209" i="16"/>
  <c r="I209" i="16"/>
  <c r="J209" i="16"/>
  <c r="K209" i="16"/>
  <c r="L209" i="16"/>
  <c r="M209" i="16"/>
  <c r="N209" i="16"/>
  <c r="O209" i="16"/>
  <c r="P209" i="16"/>
  <c r="Q209" i="16"/>
  <c r="R209" i="16"/>
  <c r="S209" i="16"/>
  <c r="T209" i="16"/>
  <c r="U209" i="16"/>
  <c r="V209" i="16"/>
  <c r="W209" i="16"/>
  <c r="X209" i="16"/>
  <c r="Y209" i="16"/>
  <c r="Z209" i="16"/>
  <c r="AA209" i="16"/>
  <c r="AB209" i="16"/>
  <c r="AC209" i="16"/>
  <c r="AD209" i="16"/>
  <c r="AE209" i="16"/>
  <c r="AF209" i="16"/>
  <c r="AG209" i="16"/>
  <c r="AH209" i="16"/>
  <c r="AI209" i="16"/>
  <c r="AJ209" i="16"/>
  <c r="AK209" i="16"/>
  <c r="AL209" i="16"/>
  <c r="AM209" i="16"/>
  <c r="E210" i="16"/>
  <c r="F210" i="16"/>
  <c r="G210" i="16"/>
  <c r="H210" i="16"/>
  <c r="I210" i="16"/>
  <c r="J210" i="16"/>
  <c r="K210" i="16"/>
  <c r="L210" i="16"/>
  <c r="M210" i="16"/>
  <c r="N210" i="16"/>
  <c r="O210" i="16"/>
  <c r="P210" i="16"/>
  <c r="Q210" i="16"/>
  <c r="R210" i="16"/>
  <c r="S210" i="16"/>
  <c r="T210" i="16"/>
  <c r="U210" i="16"/>
  <c r="V210" i="16"/>
  <c r="W210" i="16"/>
  <c r="X210" i="16"/>
  <c r="Y210" i="16"/>
  <c r="Z210" i="16"/>
  <c r="AA210" i="16"/>
  <c r="AB210" i="16"/>
  <c r="AC210" i="16"/>
  <c r="AD210" i="16"/>
  <c r="AE210" i="16"/>
  <c r="AF210" i="16"/>
  <c r="AG210" i="16"/>
  <c r="AH210" i="16"/>
  <c r="AI210" i="16"/>
  <c r="AJ210" i="16"/>
  <c r="AK210" i="16"/>
  <c r="AL210" i="16"/>
  <c r="AM210" i="16"/>
  <c r="E211" i="16"/>
  <c r="F211" i="16"/>
  <c r="G211" i="16"/>
  <c r="H211" i="16"/>
  <c r="I211" i="16"/>
  <c r="J211" i="16"/>
  <c r="K211" i="16"/>
  <c r="L211" i="16"/>
  <c r="M211" i="16"/>
  <c r="N211" i="16"/>
  <c r="O211" i="16"/>
  <c r="P211" i="16"/>
  <c r="Q211" i="16"/>
  <c r="R211" i="16"/>
  <c r="S211" i="16"/>
  <c r="T211" i="16"/>
  <c r="U211" i="16"/>
  <c r="V211" i="16"/>
  <c r="W211" i="16"/>
  <c r="X211" i="16"/>
  <c r="Y211" i="16"/>
  <c r="Z211" i="16"/>
  <c r="AA211" i="16"/>
  <c r="AB211" i="16"/>
  <c r="AC211" i="16"/>
  <c r="AD211" i="16"/>
  <c r="AE211" i="16"/>
  <c r="AF211" i="16"/>
  <c r="AG211" i="16"/>
  <c r="AH211" i="16"/>
  <c r="AI211" i="16"/>
  <c r="AJ211" i="16"/>
  <c r="AK211" i="16"/>
  <c r="AL211" i="16"/>
  <c r="AM211" i="16"/>
  <c r="E212" i="16"/>
  <c r="F212" i="16"/>
  <c r="G212" i="16"/>
  <c r="H212" i="16"/>
  <c r="I212" i="16"/>
  <c r="J212" i="16"/>
  <c r="K212" i="16"/>
  <c r="L212" i="16"/>
  <c r="M212" i="16"/>
  <c r="N212" i="16"/>
  <c r="O212" i="16"/>
  <c r="P212" i="16"/>
  <c r="Q212" i="16"/>
  <c r="R212" i="16"/>
  <c r="S212" i="16"/>
  <c r="T212" i="16"/>
  <c r="U212" i="16"/>
  <c r="V212" i="16"/>
  <c r="W212" i="16"/>
  <c r="X212" i="16"/>
  <c r="Y212" i="16"/>
  <c r="Z212" i="16"/>
  <c r="AA212" i="16"/>
  <c r="AB212" i="16"/>
  <c r="AC212" i="16"/>
  <c r="AD212" i="16"/>
  <c r="AE212" i="16"/>
  <c r="AF212" i="16"/>
  <c r="AG212" i="16"/>
  <c r="AH212" i="16"/>
  <c r="AI212" i="16"/>
  <c r="AJ212" i="16"/>
  <c r="AK212" i="16"/>
  <c r="AL212" i="16"/>
  <c r="AM212" i="16"/>
  <c r="E213" i="16"/>
  <c r="F213" i="16"/>
  <c r="G213" i="16"/>
  <c r="H213" i="16"/>
  <c r="I213" i="16"/>
  <c r="J213" i="16"/>
  <c r="K213" i="16"/>
  <c r="L213" i="16"/>
  <c r="M213" i="16"/>
  <c r="N213" i="16"/>
  <c r="O213" i="16"/>
  <c r="P213" i="16"/>
  <c r="Q213" i="16"/>
  <c r="R213" i="16"/>
  <c r="S213" i="16"/>
  <c r="T213" i="16"/>
  <c r="U213" i="16"/>
  <c r="V213" i="16"/>
  <c r="W213" i="16"/>
  <c r="X213" i="16"/>
  <c r="Y213" i="16"/>
  <c r="Z213" i="16"/>
  <c r="AA213" i="16"/>
  <c r="AB213" i="16"/>
  <c r="AC213" i="16"/>
  <c r="AD213" i="16"/>
  <c r="AE213" i="16"/>
  <c r="AF213" i="16"/>
  <c r="AG213" i="16"/>
  <c r="AH213" i="16"/>
  <c r="AI213" i="16"/>
  <c r="AJ213" i="16"/>
  <c r="AK213" i="16"/>
  <c r="AL213" i="16"/>
  <c r="AM213" i="16"/>
  <c r="E214" i="16"/>
  <c r="F214" i="16"/>
  <c r="G214" i="16"/>
  <c r="H214" i="16"/>
  <c r="I214" i="16"/>
  <c r="J214" i="16"/>
  <c r="K214" i="16"/>
  <c r="L214" i="16"/>
  <c r="M214" i="16"/>
  <c r="N214" i="16"/>
  <c r="O214" i="16"/>
  <c r="P214" i="16"/>
  <c r="Q214" i="16"/>
  <c r="R214" i="16"/>
  <c r="S214" i="16"/>
  <c r="T214" i="16"/>
  <c r="U214" i="16"/>
  <c r="V214" i="16"/>
  <c r="W214" i="16"/>
  <c r="X214" i="16"/>
  <c r="Y214" i="16"/>
  <c r="Z214" i="16"/>
  <c r="AA214" i="16"/>
  <c r="AB214" i="16"/>
  <c r="AC214" i="16"/>
  <c r="AD214" i="16"/>
  <c r="AE214" i="16"/>
  <c r="AF214" i="16"/>
  <c r="AG214" i="16"/>
  <c r="AH214" i="16"/>
  <c r="AI214" i="16"/>
  <c r="AJ214" i="16"/>
  <c r="AK214" i="16"/>
  <c r="AL214" i="16"/>
  <c r="AM214" i="16"/>
  <c r="E216" i="16"/>
  <c r="F216" i="16"/>
  <c r="G216" i="16"/>
  <c r="H216" i="16"/>
  <c r="I216" i="16"/>
  <c r="J216" i="16"/>
  <c r="K216" i="16"/>
  <c r="L216" i="16"/>
  <c r="M216" i="16"/>
  <c r="N216" i="16"/>
  <c r="O216" i="16"/>
  <c r="P216" i="16"/>
  <c r="Q216" i="16"/>
  <c r="R216" i="16"/>
  <c r="S216" i="16"/>
  <c r="T216" i="16"/>
  <c r="U216" i="16"/>
  <c r="V216" i="16"/>
  <c r="W216" i="16"/>
  <c r="X216" i="16"/>
  <c r="Y216" i="16"/>
  <c r="Z216" i="16"/>
  <c r="AA216" i="16"/>
  <c r="AB216" i="16"/>
  <c r="AC216" i="16"/>
  <c r="AD216" i="16"/>
  <c r="AE216" i="16"/>
  <c r="AF216" i="16"/>
  <c r="AG216" i="16"/>
  <c r="AH216" i="16"/>
  <c r="AI216" i="16"/>
  <c r="AJ216" i="16"/>
  <c r="AK216" i="16"/>
  <c r="AL216" i="16"/>
  <c r="AM216" i="16"/>
  <c r="E217" i="16"/>
  <c r="F217" i="16"/>
  <c r="G217" i="16"/>
  <c r="H217" i="16"/>
  <c r="I217" i="16"/>
  <c r="J217" i="16"/>
  <c r="K217" i="16"/>
  <c r="L217" i="16"/>
  <c r="M217" i="16"/>
  <c r="N217" i="16"/>
  <c r="O217" i="16"/>
  <c r="P217" i="16"/>
  <c r="Q217" i="16"/>
  <c r="R217" i="16"/>
  <c r="S217" i="16"/>
  <c r="T217" i="16"/>
  <c r="U217" i="16"/>
  <c r="V217" i="16"/>
  <c r="W217" i="16"/>
  <c r="X217" i="16"/>
  <c r="Y217" i="16"/>
  <c r="Z217" i="16"/>
  <c r="AA217" i="16"/>
  <c r="AB217" i="16"/>
  <c r="AC217" i="16"/>
  <c r="AD217" i="16"/>
  <c r="AE217" i="16"/>
  <c r="AF217" i="16"/>
  <c r="AG217" i="16"/>
  <c r="AH217" i="16"/>
  <c r="AI217" i="16"/>
  <c r="AJ217" i="16"/>
  <c r="AK217" i="16"/>
  <c r="AL217" i="16"/>
  <c r="AM217" i="16"/>
  <c r="E218" i="16"/>
  <c r="F218" i="16"/>
  <c r="G218" i="16"/>
  <c r="H218" i="16"/>
  <c r="I218" i="16"/>
  <c r="J218" i="16"/>
  <c r="K218" i="16"/>
  <c r="L218" i="16"/>
  <c r="M218" i="16"/>
  <c r="N218" i="16"/>
  <c r="O218" i="16"/>
  <c r="P218" i="16"/>
  <c r="Q218" i="16"/>
  <c r="R218" i="16"/>
  <c r="S218" i="16"/>
  <c r="T218" i="16"/>
  <c r="U218" i="16"/>
  <c r="V218" i="16"/>
  <c r="W218" i="16"/>
  <c r="X218" i="16"/>
  <c r="Y218" i="16"/>
  <c r="Z218" i="16"/>
  <c r="AA218" i="16"/>
  <c r="AB218" i="16"/>
  <c r="AC218" i="16"/>
  <c r="AD218" i="16"/>
  <c r="AE218" i="16"/>
  <c r="AF218" i="16"/>
  <c r="AG218" i="16"/>
  <c r="AH218" i="16"/>
  <c r="AI218" i="16"/>
  <c r="AJ218" i="16"/>
  <c r="AK218" i="16"/>
  <c r="AL218" i="16"/>
  <c r="AM218" i="16"/>
  <c r="E220" i="16"/>
  <c r="E221" i="16" s="1"/>
  <c r="F220" i="16"/>
  <c r="F221" i="16" s="1"/>
  <c r="G220" i="16"/>
  <c r="G221" i="16" s="1"/>
  <c r="H220" i="16"/>
  <c r="H221" i="16" s="1"/>
  <c r="I220" i="16"/>
  <c r="I221" i="16" s="1"/>
  <c r="J220" i="16"/>
  <c r="J221" i="16" s="1"/>
  <c r="K220" i="16"/>
  <c r="K221" i="16" s="1"/>
  <c r="L220" i="16"/>
  <c r="L221" i="16" s="1"/>
  <c r="M220" i="16"/>
  <c r="M221" i="16" s="1"/>
  <c r="N220" i="16"/>
  <c r="N221" i="16" s="1"/>
  <c r="O220" i="16"/>
  <c r="O221" i="16" s="1"/>
  <c r="P220" i="16"/>
  <c r="P221" i="16" s="1"/>
  <c r="Q220" i="16"/>
  <c r="Q221" i="16" s="1"/>
  <c r="R220" i="16"/>
  <c r="R221" i="16" s="1"/>
  <c r="S220" i="16"/>
  <c r="S221" i="16" s="1"/>
  <c r="T220" i="16"/>
  <c r="T221" i="16" s="1"/>
  <c r="U220" i="16"/>
  <c r="U221" i="16" s="1"/>
  <c r="V220" i="16"/>
  <c r="V221" i="16" s="1"/>
  <c r="W220" i="16"/>
  <c r="W221" i="16" s="1"/>
  <c r="X220" i="16"/>
  <c r="X221" i="16" s="1"/>
  <c r="Y220" i="16"/>
  <c r="Y221" i="16" s="1"/>
  <c r="Z220" i="16"/>
  <c r="Z221" i="16" s="1"/>
  <c r="AA220" i="16"/>
  <c r="AA221" i="16" s="1"/>
  <c r="AB220" i="16"/>
  <c r="AB221" i="16" s="1"/>
  <c r="AC220" i="16"/>
  <c r="AC221" i="16" s="1"/>
  <c r="AD220" i="16"/>
  <c r="AD221" i="16" s="1"/>
  <c r="AE220" i="16"/>
  <c r="AE221" i="16" s="1"/>
  <c r="AF220" i="16"/>
  <c r="AF221" i="16" s="1"/>
  <c r="AG220" i="16"/>
  <c r="AG221" i="16" s="1"/>
  <c r="AH220" i="16"/>
  <c r="AH221" i="16" s="1"/>
  <c r="AI220" i="16"/>
  <c r="AI221" i="16" s="1"/>
  <c r="AJ220" i="16"/>
  <c r="AJ221" i="16" s="1"/>
  <c r="AK220" i="16"/>
  <c r="AK221" i="16" s="1"/>
  <c r="AL220" i="16"/>
  <c r="AL221" i="16" s="1"/>
  <c r="AM220" i="16"/>
  <c r="AM221" i="16" s="1"/>
  <c r="E222" i="16"/>
  <c r="E223" i="16" s="1"/>
  <c r="F222" i="16"/>
  <c r="F223" i="16" s="1"/>
  <c r="G222" i="16"/>
  <c r="G223" i="16" s="1"/>
  <c r="H222" i="16"/>
  <c r="H223" i="16" s="1"/>
  <c r="I222" i="16"/>
  <c r="I223" i="16" s="1"/>
  <c r="J222" i="16"/>
  <c r="J223" i="16" s="1"/>
  <c r="K222" i="16"/>
  <c r="K223" i="16" s="1"/>
  <c r="L222" i="16"/>
  <c r="L223" i="16" s="1"/>
  <c r="M222" i="16"/>
  <c r="M223" i="16" s="1"/>
  <c r="N222" i="16"/>
  <c r="N223" i="16" s="1"/>
  <c r="O222" i="16"/>
  <c r="O223" i="16" s="1"/>
  <c r="P222" i="16"/>
  <c r="P223" i="16" s="1"/>
  <c r="Q222" i="16"/>
  <c r="Q223" i="16" s="1"/>
  <c r="R222" i="16"/>
  <c r="R223" i="16" s="1"/>
  <c r="S222" i="16"/>
  <c r="S223" i="16" s="1"/>
  <c r="T222" i="16"/>
  <c r="T223" i="16" s="1"/>
  <c r="U222" i="16"/>
  <c r="U223" i="16" s="1"/>
  <c r="V222" i="16"/>
  <c r="V223" i="16" s="1"/>
  <c r="W222" i="16"/>
  <c r="W223" i="16" s="1"/>
  <c r="X222" i="16"/>
  <c r="X223" i="16" s="1"/>
  <c r="Y222" i="16"/>
  <c r="Y223" i="16" s="1"/>
  <c r="Z222" i="16"/>
  <c r="Z223" i="16" s="1"/>
  <c r="AA222" i="16"/>
  <c r="AA223" i="16" s="1"/>
  <c r="AB222" i="16"/>
  <c r="AB223" i="16" s="1"/>
  <c r="AC222" i="16"/>
  <c r="AC223" i="16" s="1"/>
  <c r="AD222" i="16"/>
  <c r="AD223" i="16" s="1"/>
  <c r="AE222" i="16"/>
  <c r="AE223" i="16" s="1"/>
  <c r="AF222" i="16"/>
  <c r="AF223" i="16" s="1"/>
  <c r="AG222" i="16"/>
  <c r="AG223" i="16" s="1"/>
  <c r="AH222" i="16"/>
  <c r="AH223" i="16" s="1"/>
  <c r="AI222" i="16"/>
  <c r="AI223" i="16" s="1"/>
  <c r="AJ222" i="16"/>
  <c r="AJ223" i="16" s="1"/>
  <c r="AK222" i="16"/>
  <c r="AK223" i="16" s="1"/>
  <c r="AL222" i="16"/>
  <c r="AL223" i="16" s="1"/>
  <c r="AM222" i="16"/>
  <c r="AM223" i="16" s="1"/>
  <c r="E224" i="16"/>
  <c r="E225" i="16" s="1"/>
  <c r="F224" i="16"/>
  <c r="F225" i="16" s="1"/>
  <c r="G224" i="16"/>
  <c r="G225" i="16" s="1"/>
  <c r="H224" i="16"/>
  <c r="H225" i="16" s="1"/>
  <c r="I224" i="16"/>
  <c r="I225" i="16" s="1"/>
  <c r="J224" i="16"/>
  <c r="J225" i="16" s="1"/>
  <c r="K224" i="16"/>
  <c r="K225" i="16" s="1"/>
  <c r="L224" i="16"/>
  <c r="L225" i="16" s="1"/>
  <c r="M224" i="16"/>
  <c r="M225" i="16" s="1"/>
  <c r="N224" i="16"/>
  <c r="N225" i="16" s="1"/>
  <c r="O224" i="16"/>
  <c r="O225" i="16" s="1"/>
  <c r="P224" i="16"/>
  <c r="P225" i="16" s="1"/>
  <c r="Q224" i="16"/>
  <c r="Q225" i="16" s="1"/>
  <c r="R224" i="16"/>
  <c r="R225" i="16" s="1"/>
  <c r="S224" i="16"/>
  <c r="S225" i="16" s="1"/>
  <c r="T224" i="16"/>
  <c r="T225" i="16" s="1"/>
  <c r="U224" i="16"/>
  <c r="U225" i="16" s="1"/>
  <c r="V224" i="16"/>
  <c r="V225" i="16" s="1"/>
  <c r="W224" i="16"/>
  <c r="W225" i="16" s="1"/>
  <c r="X224" i="16"/>
  <c r="X225" i="16" s="1"/>
  <c r="Y224" i="16"/>
  <c r="Y225" i="16" s="1"/>
  <c r="Z224" i="16"/>
  <c r="Z225" i="16" s="1"/>
  <c r="AA224" i="16"/>
  <c r="AA225" i="16" s="1"/>
  <c r="AB224" i="16"/>
  <c r="AB225" i="16" s="1"/>
  <c r="AC224" i="16"/>
  <c r="AC225" i="16" s="1"/>
  <c r="AD224" i="16"/>
  <c r="AD225" i="16" s="1"/>
  <c r="AE224" i="16"/>
  <c r="AE225" i="16" s="1"/>
  <c r="AF224" i="16"/>
  <c r="AF225" i="16" s="1"/>
  <c r="AG224" i="16"/>
  <c r="AG225" i="16" s="1"/>
  <c r="AH224" i="16"/>
  <c r="AH225" i="16" s="1"/>
  <c r="AI224" i="16"/>
  <c r="AI225" i="16" s="1"/>
  <c r="AJ224" i="16"/>
  <c r="AJ225" i="16" s="1"/>
  <c r="AK224" i="16"/>
  <c r="AK225" i="16" s="1"/>
  <c r="AL224" i="16"/>
  <c r="AL225" i="16" s="1"/>
  <c r="AM224" i="16"/>
  <c r="AM225" i="16" s="1"/>
  <c r="E226" i="16"/>
  <c r="F226" i="16"/>
  <c r="G226" i="16"/>
  <c r="H226" i="16"/>
  <c r="I226" i="16"/>
  <c r="J226" i="16"/>
  <c r="K226" i="16"/>
  <c r="L226" i="16"/>
  <c r="M226" i="16"/>
  <c r="N226" i="16"/>
  <c r="O226" i="16"/>
  <c r="P226" i="16"/>
  <c r="Q226" i="16"/>
  <c r="R226" i="16"/>
  <c r="S226" i="16"/>
  <c r="T226" i="16"/>
  <c r="U226" i="16"/>
  <c r="V226" i="16"/>
  <c r="W226" i="16"/>
  <c r="X226" i="16"/>
  <c r="Y226" i="16"/>
  <c r="Z226" i="16"/>
  <c r="AA226" i="16"/>
  <c r="AB226" i="16"/>
  <c r="AC226" i="16"/>
  <c r="AD226" i="16"/>
  <c r="AE226" i="16"/>
  <c r="AF226" i="16"/>
  <c r="AG226" i="16"/>
  <c r="AH226" i="16"/>
  <c r="AI226" i="16"/>
  <c r="AJ226" i="16"/>
  <c r="AK226" i="16"/>
  <c r="AL226" i="16"/>
  <c r="AM226" i="16"/>
  <c r="E227" i="16"/>
  <c r="F227" i="16"/>
  <c r="G227" i="16"/>
  <c r="H227" i="16"/>
  <c r="I227" i="16"/>
  <c r="J227" i="16"/>
  <c r="K227" i="16"/>
  <c r="L227" i="16"/>
  <c r="M227" i="16"/>
  <c r="N227" i="16"/>
  <c r="O227" i="16"/>
  <c r="P227" i="16"/>
  <c r="Q227" i="16"/>
  <c r="R227" i="16"/>
  <c r="S227" i="16"/>
  <c r="T227" i="16"/>
  <c r="U227" i="16"/>
  <c r="V227" i="16"/>
  <c r="W227" i="16"/>
  <c r="X227" i="16"/>
  <c r="Y227" i="16"/>
  <c r="Z227" i="16"/>
  <c r="AA227" i="16"/>
  <c r="AB227" i="16"/>
  <c r="AC227" i="16"/>
  <c r="AD227" i="16"/>
  <c r="AE227" i="16"/>
  <c r="AF227" i="16"/>
  <c r="AG227" i="16"/>
  <c r="AH227" i="16"/>
  <c r="AI227" i="16"/>
  <c r="AJ227" i="16"/>
  <c r="AK227" i="16"/>
  <c r="AL227" i="16"/>
  <c r="AM227" i="16"/>
  <c r="E229" i="16"/>
  <c r="F229" i="16"/>
  <c r="G229" i="16"/>
  <c r="H229" i="16"/>
  <c r="I229" i="16"/>
  <c r="J229" i="16"/>
  <c r="K229" i="16"/>
  <c r="L229" i="16"/>
  <c r="M229" i="16"/>
  <c r="N229" i="16"/>
  <c r="O229" i="16"/>
  <c r="P229" i="16"/>
  <c r="Q229" i="16"/>
  <c r="R229" i="16"/>
  <c r="S229" i="16"/>
  <c r="T229" i="16"/>
  <c r="U229" i="16"/>
  <c r="V229" i="16"/>
  <c r="W229" i="16"/>
  <c r="X229" i="16"/>
  <c r="Y229" i="16"/>
  <c r="Z229" i="16"/>
  <c r="AA229" i="16"/>
  <c r="AB229" i="16"/>
  <c r="AC229" i="16"/>
  <c r="AD229" i="16"/>
  <c r="AE229" i="16"/>
  <c r="AF229" i="16"/>
  <c r="AG229" i="16"/>
  <c r="AH229" i="16"/>
  <c r="AI229" i="16"/>
  <c r="AJ229" i="16"/>
  <c r="AK229" i="16"/>
  <c r="AL229" i="16"/>
  <c r="AM229" i="16"/>
  <c r="E230" i="16"/>
  <c r="F230" i="16"/>
  <c r="G230" i="16"/>
  <c r="H230" i="16"/>
  <c r="I230" i="16"/>
  <c r="J230" i="16"/>
  <c r="K230" i="16"/>
  <c r="L230" i="16"/>
  <c r="M230" i="16"/>
  <c r="N230" i="16"/>
  <c r="O230" i="16"/>
  <c r="P230" i="16"/>
  <c r="Q230" i="16"/>
  <c r="R230" i="16"/>
  <c r="S230" i="16"/>
  <c r="T230" i="16"/>
  <c r="U230" i="16"/>
  <c r="V230" i="16"/>
  <c r="W230" i="16"/>
  <c r="X230" i="16"/>
  <c r="Y230" i="16"/>
  <c r="Z230" i="16"/>
  <c r="AA230" i="16"/>
  <c r="AB230" i="16"/>
  <c r="AC230" i="16"/>
  <c r="AD230" i="16"/>
  <c r="AE230" i="16"/>
  <c r="AF230" i="16"/>
  <c r="AG230" i="16"/>
  <c r="AH230" i="16"/>
  <c r="AI230" i="16"/>
  <c r="AJ230" i="16"/>
  <c r="AK230" i="16"/>
  <c r="AL230" i="16"/>
  <c r="AM230" i="16"/>
  <c r="E232" i="16"/>
  <c r="E233" i="16" s="1"/>
  <c r="F232" i="16"/>
  <c r="F233" i="16" s="1"/>
  <c r="G232" i="16"/>
  <c r="G233" i="16" s="1"/>
  <c r="H232" i="16"/>
  <c r="H233" i="16" s="1"/>
  <c r="I232" i="16"/>
  <c r="I233" i="16" s="1"/>
  <c r="J232" i="16"/>
  <c r="J233" i="16" s="1"/>
  <c r="K232" i="16"/>
  <c r="K233" i="16" s="1"/>
  <c r="L232" i="16"/>
  <c r="L233" i="16" s="1"/>
  <c r="M232" i="16"/>
  <c r="M233" i="16" s="1"/>
  <c r="N232" i="16"/>
  <c r="N233" i="16" s="1"/>
  <c r="O232" i="16"/>
  <c r="O233" i="16" s="1"/>
  <c r="P232" i="16"/>
  <c r="P233" i="16" s="1"/>
  <c r="Q232" i="16"/>
  <c r="Q233" i="16" s="1"/>
  <c r="R232" i="16"/>
  <c r="R233" i="16" s="1"/>
  <c r="S232" i="16"/>
  <c r="S233" i="16" s="1"/>
  <c r="T232" i="16"/>
  <c r="T233" i="16" s="1"/>
  <c r="U232" i="16"/>
  <c r="U233" i="16" s="1"/>
  <c r="V232" i="16"/>
  <c r="V233" i="16" s="1"/>
  <c r="W232" i="16"/>
  <c r="W233" i="16" s="1"/>
  <c r="X232" i="16"/>
  <c r="X233" i="16" s="1"/>
  <c r="Y232" i="16"/>
  <c r="Y233" i="16" s="1"/>
  <c r="Z232" i="16"/>
  <c r="Z233" i="16" s="1"/>
  <c r="AA232" i="16"/>
  <c r="AA233" i="16" s="1"/>
  <c r="AB232" i="16"/>
  <c r="AB233" i="16" s="1"/>
  <c r="AC232" i="16"/>
  <c r="AC233" i="16" s="1"/>
  <c r="AD232" i="16"/>
  <c r="AD233" i="16" s="1"/>
  <c r="AE232" i="16"/>
  <c r="AE233" i="16" s="1"/>
  <c r="AF232" i="16"/>
  <c r="AF233" i="16" s="1"/>
  <c r="AG232" i="16"/>
  <c r="AG233" i="16" s="1"/>
  <c r="AH232" i="16"/>
  <c r="AH233" i="16" s="1"/>
  <c r="AI232" i="16"/>
  <c r="AI233" i="16" s="1"/>
  <c r="AJ232" i="16"/>
  <c r="AJ233" i="16" s="1"/>
  <c r="AK232" i="16"/>
  <c r="AK233" i="16" s="1"/>
  <c r="AL232" i="16"/>
  <c r="AL233" i="16" s="1"/>
  <c r="AM232" i="16"/>
  <c r="AM233" i="16" s="1"/>
  <c r="C2" i="16"/>
  <c r="D2" i="16"/>
  <c r="C3" i="16"/>
  <c r="D3" i="16"/>
  <c r="C4" i="16"/>
  <c r="D4" i="16"/>
  <c r="C5" i="16"/>
  <c r="D5" i="16"/>
  <c r="C6" i="16"/>
  <c r="D6" i="16"/>
  <c r="C7" i="16"/>
  <c r="D7" i="16"/>
  <c r="C9" i="16"/>
  <c r="D9" i="16"/>
  <c r="C10" i="16"/>
  <c r="D10" i="16"/>
  <c r="C11" i="16"/>
  <c r="D11" i="16"/>
  <c r="C12" i="16"/>
  <c r="D12" i="16"/>
  <c r="C14" i="16"/>
  <c r="D14" i="16"/>
  <c r="C15" i="16"/>
  <c r="D15" i="16"/>
  <c r="C16" i="16"/>
  <c r="D16" i="16"/>
  <c r="C17" i="16"/>
  <c r="D17" i="16"/>
  <c r="C18" i="16"/>
  <c r="D18" i="16"/>
  <c r="C19" i="16"/>
  <c r="D19" i="16"/>
  <c r="C21" i="16"/>
  <c r="D21" i="16"/>
  <c r="C22" i="16"/>
  <c r="D22" i="16"/>
  <c r="C23" i="16"/>
  <c r="D23" i="16"/>
  <c r="C25" i="16"/>
  <c r="D25" i="16"/>
  <c r="D26" i="16" s="1"/>
  <c r="C27" i="16"/>
  <c r="D27" i="16"/>
  <c r="D28" i="16" s="1"/>
  <c r="C29" i="16"/>
  <c r="D29" i="16"/>
  <c r="D30" i="16" s="1"/>
  <c r="C31" i="16"/>
  <c r="D31" i="16"/>
  <c r="C32" i="16"/>
  <c r="D32" i="16"/>
  <c r="C34" i="16"/>
  <c r="D34" i="16"/>
  <c r="C35" i="16"/>
  <c r="D35" i="16"/>
  <c r="C37" i="16"/>
  <c r="D37" i="16"/>
  <c r="D38" i="16" s="1"/>
  <c r="C67" i="16"/>
  <c r="D67" i="16"/>
  <c r="C68" i="16"/>
  <c r="D68" i="16"/>
  <c r="C69" i="16"/>
  <c r="D69" i="16"/>
  <c r="C70" i="16"/>
  <c r="D70" i="16"/>
  <c r="C71" i="16"/>
  <c r="D71" i="16"/>
  <c r="C72" i="16"/>
  <c r="D72" i="16"/>
  <c r="C74" i="16"/>
  <c r="D74" i="16"/>
  <c r="C75" i="16"/>
  <c r="D75" i="16"/>
  <c r="C76" i="16"/>
  <c r="D76" i="16"/>
  <c r="C77" i="16"/>
  <c r="D77" i="16"/>
  <c r="C79" i="16"/>
  <c r="D79" i="16"/>
  <c r="C80" i="16"/>
  <c r="D80" i="16"/>
  <c r="C81" i="16"/>
  <c r="D81" i="16"/>
  <c r="C82" i="16"/>
  <c r="D82" i="16"/>
  <c r="C83" i="16"/>
  <c r="D83" i="16"/>
  <c r="C84" i="16"/>
  <c r="D84" i="16"/>
  <c r="C86" i="16"/>
  <c r="D86" i="16"/>
  <c r="C87" i="16"/>
  <c r="D87" i="16"/>
  <c r="C88" i="16"/>
  <c r="D88" i="16"/>
  <c r="C90" i="16"/>
  <c r="D90" i="16"/>
  <c r="D91" i="16" s="1"/>
  <c r="C92" i="16"/>
  <c r="D92" i="16"/>
  <c r="D93" i="16" s="1"/>
  <c r="C94" i="16"/>
  <c r="D94" i="16"/>
  <c r="D95" i="16" s="1"/>
  <c r="C96" i="16"/>
  <c r="D96" i="16"/>
  <c r="C97" i="16"/>
  <c r="D97" i="16"/>
  <c r="C99" i="16"/>
  <c r="D99" i="16"/>
  <c r="C100" i="16"/>
  <c r="D100" i="16"/>
  <c r="C102" i="16"/>
  <c r="D102" i="16"/>
  <c r="D103" i="16" s="1"/>
  <c r="C132" i="16"/>
  <c r="D132" i="16"/>
  <c r="C133" i="16"/>
  <c r="D133" i="16"/>
  <c r="C134" i="16"/>
  <c r="D134" i="16"/>
  <c r="C135" i="16"/>
  <c r="D135" i="16"/>
  <c r="C136" i="16"/>
  <c r="D136" i="16"/>
  <c r="C137" i="16"/>
  <c r="D137" i="16"/>
  <c r="C139" i="16"/>
  <c r="D139" i="16"/>
  <c r="C140" i="16"/>
  <c r="D140" i="16"/>
  <c r="C141" i="16"/>
  <c r="D141" i="16"/>
  <c r="C142" i="16"/>
  <c r="D142" i="16"/>
  <c r="C144" i="16"/>
  <c r="D144" i="16"/>
  <c r="C145" i="16"/>
  <c r="D145" i="16"/>
  <c r="C146" i="16"/>
  <c r="D146" i="16"/>
  <c r="C147" i="16"/>
  <c r="D147" i="16"/>
  <c r="C148" i="16"/>
  <c r="D148" i="16"/>
  <c r="C149" i="16"/>
  <c r="D149" i="16"/>
  <c r="C151" i="16"/>
  <c r="D151" i="16"/>
  <c r="C152" i="16"/>
  <c r="D152" i="16"/>
  <c r="C153" i="16"/>
  <c r="D153" i="16"/>
  <c r="C155" i="16"/>
  <c r="D155" i="16"/>
  <c r="D156" i="16" s="1"/>
  <c r="C157" i="16"/>
  <c r="D157" i="16"/>
  <c r="D158" i="16" s="1"/>
  <c r="C159" i="16"/>
  <c r="D159" i="16"/>
  <c r="D160" i="16" s="1"/>
  <c r="C161" i="16"/>
  <c r="D161" i="16"/>
  <c r="C162" i="16"/>
  <c r="D162" i="16"/>
  <c r="C164" i="16"/>
  <c r="D164" i="16"/>
  <c r="C165" i="16"/>
  <c r="D165" i="16"/>
  <c r="C167" i="16"/>
  <c r="D167" i="16"/>
  <c r="D168" i="16" s="1"/>
  <c r="C197" i="16"/>
  <c r="D197" i="16"/>
  <c r="C198" i="16"/>
  <c r="D198" i="16"/>
  <c r="C199" i="16"/>
  <c r="D199" i="16"/>
  <c r="C200" i="16"/>
  <c r="D200" i="16"/>
  <c r="C201" i="16"/>
  <c r="D201" i="16"/>
  <c r="C202" i="16"/>
  <c r="D202" i="16"/>
  <c r="C204" i="16"/>
  <c r="D204" i="16"/>
  <c r="C205" i="16"/>
  <c r="D205" i="16"/>
  <c r="C206" i="16"/>
  <c r="D206" i="16"/>
  <c r="C207" i="16"/>
  <c r="D207" i="16"/>
  <c r="C209" i="16"/>
  <c r="D209" i="16"/>
  <c r="C210" i="16"/>
  <c r="D210" i="16"/>
  <c r="C211" i="16"/>
  <c r="D211" i="16"/>
  <c r="C212" i="16"/>
  <c r="D212" i="16"/>
  <c r="C213" i="16"/>
  <c r="D213" i="16"/>
  <c r="C214" i="16"/>
  <c r="D214" i="16"/>
  <c r="C216" i="16"/>
  <c r="D216" i="16"/>
  <c r="C217" i="16"/>
  <c r="D217" i="16"/>
  <c r="C218" i="16"/>
  <c r="D218" i="16"/>
  <c r="C220" i="16"/>
  <c r="D220" i="16"/>
  <c r="D221" i="16" s="1"/>
  <c r="C222" i="16"/>
  <c r="D222" i="16"/>
  <c r="D223" i="16" s="1"/>
  <c r="C224" i="16"/>
  <c r="D224" i="16"/>
  <c r="D225" i="16" s="1"/>
  <c r="C226" i="16"/>
  <c r="D226" i="16"/>
  <c r="C227" i="16"/>
  <c r="D227" i="16"/>
  <c r="C229" i="16"/>
  <c r="D229" i="16"/>
  <c r="C230" i="16"/>
  <c r="D230" i="16"/>
  <c r="C232" i="16"/>
  <c r="D232" i="16"/>
  <c r="D233" i="16" s="1"/>
  <c r="B3" i="16"/>
  <c r="B4" i="16"/>
  <c r="B5" i="16"/>
  <c r="B6" i="16"/>
  <c r="B7" i="16"/>
  <c r="B8" i="16"/>
  <c r="B9" i="16"/>
  <c r="B10" i="16"/>
  <c r="B11" i="16"/>
  <c r="B12" i="16"/>
  <c r="B14" i="16"/>
  <c r="B15" i="16"/>
  <c r="B16" i="16"/>
  <c r="B17" i="16"/>
  <c r="B18" i="16"/>
  <c r="B19" i="16"/>
  <c r="B21" i="16"/>
  <c r="B22" i="16"/>
  <c r="B23" i="16"/>
  <c r="B25" i="16"/>
  <c r="B27" i="16"/>
  <c r="B29" i="16"/>
  <c r="B31" i="16"/>
  <c r="B32" i="16"/>
  <c r="B34" i="16"/>
  <c r="B35" i="16"/>
  <c r="B37" i="16"/>
  <c r="B2" i="16"/>
  <c r="AH33" i="16" l="1"/>
  <c r="V33" i="16"/>
  <c r="AK203" i="16"/>
  <c r="Y203" i="16"/>
  <c r="M203" i="16"/>
  <c r="AH138" i="16"/>
  <c r="V138" i="16"/>
  <c r="J138" i="16"/>
  <c r="AE73" i="16"/>
  <c r="S73" i="16"/>
  <c r="G73" i="16"/>
  <c r="AB8" i="16"/>
  <c r="P8" i="16"/>
  <c r="AL36" i="16"/>
  <c r="Z36" i="16"/>
  <c r="N36" i="16"/>
  <c r="AD24" i="16"/>
  <c r="R24" i="16"/>
  <c r="AI228" i="16"/>
  <c r="W228" i="16"/>
  <c r="K228" i="16"/>
  <c r="AJ203" i="16"/>
  <c r="X203" i="16"/>
  <c r="L203" i="16"/>
  <c r="AG138" i="16"/>
  <c r="U138" i="16"/>
  <c r="I138" i="16"/>
  <c r="AD73" i="16"/>
  <c r="R73" i="16"/>
  <c r="F73" i="16"/>
  <c r="AM8" i="16"/>
  <c r="AA8" i="16"/>
  <c r="O8" i="16"/>
  <c r="AI203" i="16"/>
  <c r="W203" i="16"/>
  <c r="K203" i="16"/>
  <c r="AF138" i="16"/>
  <c r="T138" i="16"/>
  <c r="H138" i="16"/>
  <c r="AC73" i="16"/>
  <c r="Q73" i="16"/>
  <c r="E73" i="16"/>
  <c r="F24" i="16"/>
  <c r="AJ20" i="16"/>
  <c r="X20" i="16"/>
  <c r="AF13" i="16"/>
  <c r="T13" i="16"/>
  <c r="H13" i="16"/>
  <c r="AL8" i="16"/>
  <c r="Z8" i="16"/>
  <c r="N8" i="16"/>
  <c r="AH203" i="16"/>
  <c r="V203" i="16"/>
  <c r="J203" i="16"/>
  <c r="AE138" i="16"/>
  <c r="S138" i="16"/>
  <c r="G138" i="16"/>
  <c r="AB73" i="16"/>
  <c r="P73" i="16"/>
  <c r="AK8" i="16"/>
  <c r="Y8" i="16"/>
  <c r="M8" i="16"/>
  <c r="D203" i="16"/>
  <c r="D73" i="16"/>
  <c r="AG203" i="16"/>
  <c r="U203" i="16"/>
  <c r="I203" i="16"/>
  <c r="AD138" i="16"/>
  <c r="R138" i="16"/>
  <c r="F138" i="16"/>
  <c r="AM73" i="16"/>
  <c r="AA73" i="16"/>
  <c r="O73" i="16"/>
  <c r="AJ8" i="16"/>
  <c r="X8" i="16"/>
  <c r="L8" i="16"/>
  <c r="AF203" i="16"/>
  <c r="T203" i="16"/>
  <c r="H203" i="16"/>
  <c r="AC138" i="16"/>
  <c r="Q138" i="16"/>
  <c r="E138" i="16"/>
  <c r="AL73" i="16"/>
  <c r="Z73" i="16"/>
  <c r="N73" i="16"/>
  <c r="AI8" i="16"/>
  <c r="W8" i="16"/>
  <c r="K8" i="16"/>
  <c r="AE203" i="16"/>
  <c r="S203" i="16"/>
  <c r="G203" i="16"/>
  <c r="AB138" i="16"/>
  <c r="P138" i="16"/>
  <c r="AK73" i="16"/>
  <c r="Y73" i="16"/>
  <c r="M73" i="16"/>
  <c r="AH8" i="16"/>
  <c r="V8" i="16"/>
  <c r="J8" i="16"/>
  <c r="AD203" i="16"/>
  <c r="F203" i="16"/>
  <c r="AM138" i="16"/>
  <c r="AA138" i="16"/>
  <c r="O138" i="16"/>
  <c r="AJ73" i="16"/>
  <c r="X73" i="16"/>
  <c r="L73" i="16"/>
  <c r="AG8" i="16"/>
  <c r="U8" i="16"/>
  <c r="I8" i="16"/>
  <c r="R203" i="16"/>
  <c r="AC231" i="16"/>
  <c r="Q231" i="16"/>
  <c r="E231" i="16"/>
  <c r="AC203" i="16"/>
  <c r="Q203" i="16"/>
  <c r="E203" i="16"/>
  <c r="AL138" i="16"/>
  <c r="Z138" i="16"/>
  <c r="N138" i="16"/>
  <c r="AI73" i="16"/>
  <c r="W73" i="16"/>
  <c r="K73" i="16"/>
  <c r="AF8" i="16"/>
  <c r="T8" i="16"/>
  <c r="H8" i="16"/>
  <c r="AB203" i="16"/>
  <c r="P203" i="16"/>
  <c r="AK138" i="16"/>
  <c r="Y138" i="16"/>
  <c r="M138" i="16"/>
  <c r="AH73" i="16"/>
  <c r="V73" i="16"/>
  <c r="J73" i="16"/>
  <c r="AE8" i="16"/>
  <c r="S8" i="16"/>
  <c r="G8" i="16"/>
  <c r="D138" i="16"/>
  <c r="D8" i="16"/>
  <c r="AM203" i="16"/>
  <c r="AA203" i="16"/>
  <c r="O203" i="16"/>
  <c r="AJ138" i="16"/>
  <c r="X138" i="16"/>
  <c r="L138" i="16"/>
  <c r="AG73" i="16"/>
  <c r="U73" i="16"/>
  <c r="I73" i="16"/>
  <c r="AD8" i="16"/>
  <c r="R8" i="16"/>
  <c r="F8" i="16"/>
  <c r="AL203" i="16"/>
  <c r="Z203" i="16"/>
  <c r="N203" i="16"/>
  <c r="AI138" i="16"/>
  <c r="W138" i="16"/>
  <c r="K138" i="16"/>
  <c r="AF73" i="16"/>
  <c r="T73" i="16"/>
  <c r="H73" i="16"/>
  <c r="AC8" i="16"/>
  <c r="Q8" i="16"/>
  <c r="E8" i="16"/>
  <c r="AK98" i="16"/>
  <c r="Y98" i="16"/>
  <c r="M98" i="16"/>
  <c r="D228" i="16"/>
  <c r="AL231" i="16"/>
  <c r="AF166" i="16"/>
  <c r="T166" i="16"/>
  <c r="H166" i="16"/>
  <c r="AE163" i="16"/>
  <c r="S163" i="16"/>
  <c r="G163" i="16"/>
  <c r="AL20" i="16"/>
  <c r="Z20" i="16"/>
  <c r="N20" i="16"/>
  <c r="AH13" i="16"/>
  <c r="V13" i="16"/>
  <c r="J13" i="16"/>
  <c r="AE231" i="16"/>
  <c r="S231" i="16"/>
  <c r="G231" i="16"/>
  <c r="AI219" i="16"/>
  <c r="W219" i="16"/>
  <c r="K219" i="16"/>
  <c r="AB98" i="16"/>
  <c r="P98" i="16"/>
  <c r="AL228" i="16"/>
  <c r="Z228" i="16"/>
  <c r="N228" i="16"/>
  <c r="AF163" i="16"/>
  <c r="T163" i="16"/>
  <c r="H163" i="16"/>
  <c r="AL98" i="16"/>
  <c r="Z98" i="16"/>
  <c r="N98" i="16"/>
  <c r="AI36" i="16"/>
  <c r="J33" i="16"/>
  <c r="AF33" i="16"/>
  <c r="T33" i="16"/>
  <c r="H33" i="16"/>
  <c r="F33" i="16"/>
  <c r="D208" i="16"/>
  <c r="D89" i="16"/>
  <c r="AL166" i="16"/>
  <c r="Z166" i="16"/>
  <c r="N166" i="16"/>
  <c r="AK163" i="16"/>
  <c r="Y163" i="16"/>
  <c r="M163" i="16"/>
  <c r="AE33" i="16"/>
  <c r="S33" i="16"/>
  <c r="G33" i="16"/>
  <c r="D20" i="16"/>
  <c r="AI231" i="16"/>
  <c r="W231" i="16"/>
  <c r="K231" i="16"/>
  <c r="AM219" i="16"/>
  <c r="AA219" i="16"/>
  <c r="O219" i="16"/>
  <c r="AF215" i="16"/>
  <c r="T215" i="16"/>
  <c r="H215" i="16"/>
  <c r="AB208" i="16"/>
  <c r="P208" i="16"/>
  <c r="AC166" i="16"/>
  <c r="Q166" i="16"/>
  <c r="E166" i="16"/>
  <c r="AG154" i="16"/>
  <c r="U154" i="16"/>
  <c r="I154" i="16"/>
  <c r="AL150" i="16"/>
  <c r="Z150" i="16"/>
  <c r="N150" i="16"/>
  <c r="AH143" i="16"/>
  <c r="V143" i="16"/>
  <c r="J143" i="16"/>
  <c r="AI101" i="16"/>
  <c r="W101" i="16"/>
  <c r="K101" i="16"/>
  <c r="AM89" i="16"/>
  <c r="AA89" i="16"/>
  <c r="O89" i="16"/>
  <c r="AF85" i="16"/>
  <c r="T85" i="16"/>
  <c r="H85" i="16"/>
  <c r="AB78" i="16"/>
  <c r="P78" i="16"/>
  <c r="AC36" i="16"/>
  <c r="Q36" i="16"/>
  <c r="E36" i="16"/>
  <c r="AG24" i="16"/>
  <c r="U24" i="16"/>
  <c r="I24" i="16"/>
  <c r="AM20" i="16"/>
  <c r="AA20" i="16"/>
  <c r="O20" i="16"/>
  <c r="AI13" i="16"/>
  <c r="W13" i="16"/>
  <c r="K13" i="16"/>
  <c r="D154" i="16"/>
  <c r="AG231" i="16"/>
  <c r="U231" i="16"/>
  <c r="I231" i="16"/>
  <c r="AF228" i="16"/>
  <c r="T228" i="16"/>
  <c r="H228" i="16"/>
  <c r="AL163" i="16"/>
  <c r="Z163" i="16"/>
  <c r="N163" i="16"/>
  <c r="AG101" i="16"/>
  <c r="U101" i="16"/>
  <c r="I101" i="16"/>
  <c r="AF98" i="16"/>
  <c r="T98" i="16"/>
  <c r="H98" i="16"/>
  <c r="AK89" i="16"/>
  <c r="Y89" i="16"/>
  <c r="M89" i="16"/>
  <c r="AL78" i="16"/>
  <c r="Z78" i="16"/>
  <c r="N78" i="16"/>
  <c r="AM36" i="16"/>
  <c r="AA36" i="16"/>
  <c r="O36" i="16"/>
  <c r="AL33" i="16"/>
  <c r="Z33" i="16"/>
  <c r="N33" i="16"/>
  <c r="AE24" i="16"/>
  <c r="S24" i="16"/>
  <c r="G24" i="16"/>
  <c r="AD228" i="16"/>
  <c r="R228" i="16"/>
  <c r="F228" i="16"/>
  <c r="AB215" i="16"/>
  <c r="AD98" i="16"/>
  <c r="R98" i="16"/>
  <c r="F98" i="16"/>
  <c r="AI163" i="16"/>
  <c r="W163" i="16"/>
  <c r="K163" i="16"/>
  <c r="AD101" i="16"/>
  <c r="R101" i="16"/>
  <c r="AC98" i="16"/>
  <c r="Q98" i="16"/>
  <c r="E98" i="16"/>
  <c r="AI33" i="16"/>
  <c r="W33" i="16"/>
  <c r="K33" i="16"/>
  <c r="AB228" i="16"/>
  <c r="P228" i="16"/>
  <c r="AH163" i="16"/>
  <c r="V163" i="16"/>
  <c r="J163" i="16"/>
  <c r="AG163" i="16"/>
  <c r="U163" i="16"/>
  <c r="I163" i="16"/>
  <c r="AM98" i="16"/>
  <c r="AA98" i="16"/>
  <c r="O98" i="16"/>
  <c r="AG33" i="16"/>
  <c r="U33" i="16"/>
  <c r="AB13" i="16"/>
  <c r="AM231" i="16"/>
  <c r="AA231" i="16"/>
  <c r="O231" i="16"/>
  <c r="AE219" i="16"/>
  <c r="S219" i="16"/>
  <c r="G219" i="16"/>
  <c r="AG166" i="16"/>
  <c r="U166" i="16"/>
  <c r="D33" i="16"/>
  <c r="D231" i="16"/>
  <c r="AJ231" i="16"/>
  <c r="X231" i="16"/>
  <c r="L231" i="16"/>
  <c r="AB219" i="16"/>
  <c r="P219" i="16"/>
  <c r="AG215" i="16"/>
  <c r="U215" i="16"/>
  <c r="I215" i="16"/>
  <c r="AC208" i="16"/>
  <c r="Q208" i="16"/>
  <c r="E208" i="16"/>
  <c r="AD166" i="16"/>
  <c r="R166" i="16"/>
  <c r="F166" i="16"/>
  <c r="AC163" i="16"/>
  <c r="Q163" i="16"/>
  <c r="E163" i="16"/>
  <c r="AH154" i="16"/>
  <c r="V154" i="16"/>
  <c r="J154" i="16"/>
  <c r="AM150" i="16"/>
  <c r="AA150" i="16"/>
  <c r="O150" i="16"/>
  <c r="AI143" i="16"/>
  <c r="W143" i="16"/>
  <c r="K143" i="16"/>
  <c r="AJ101" i="16"/>
  <c r="X101" i="16"/>
  <c r="L101" i="16"/>
  <c r="AI98" i="16"/>
  <c r="W98" i="16"/>
  <c r="K98" i="16"/>
  <c r="AB89" i="16"/>
  <c r="P89" i="16"/>
  <c r="AG85" i="16"/>
  <c r="U85" i="16"/>
  <c r="I85" i="16"/>
  <c r="AC78" i="16"/>
  <c r="Q78" i="16"/>
  <c r="E78" i="16"/>
  <c r="AD36" i="16"/>
  <c r="R36" i="16"/>
  <c r="F36" i="16"/>
  <c r="AC33" i="16"/>
  <c r="Q33" i="16"/>
  <c r="E33" i="16"/>
  <c r="AH24" i="16"/>
  <c r="V24" i="16"/>
  <c r="J24" i="16"/>
  <c r="J228" i="16"/>
  <c r="V98" i="16"/>
  <c r="D219" i="16"/>
  <c r="D85" i="16"/>
  <c r="AH231" i="16"/>
  <c r="V231" i="16"/>
  <c r="J231" i="16"/>
  <c r="AG228" i="16"/>
  <c r="U228" i="16"/>
  <c r="I228" i="16"/>
  <c r="AL219" i="16"/>
  <c r="Z219" i="16"/>
  <c r="N219" i="16"/>
  <c r="AE215" i="16"/>
  <c r="S215" i="16"/>
  <c r="G215" i="16"/>
  <c r="AM208" i="16"/>
  <c r="AA208" i="16"/>
  <c r="O208" i="16"/>
  <c r="AB166" i="16"/>
  <c r="P166" i="16"/>
  <c r="AM163" i="16"/>
  <c r="AA163" i="16"/>
  <c r="O163" i="16"/>
  <c r="AF154" i="16"/>
  <c r="T154" i="16"/>
  <c r="H154" i="16"/>
  <c r="AK150" i="16"/>
  <c r="Y150" i="16"/>
  <c r="M150" i="16"/>
  <c r="AG143" i="16"/>
  <c r="U143" i="16"/>
  <c r="I143" i="16"/>
  <c r="AH101" i="16"/>
  <c r="V101" i="16"/>
  <c r="J101" i="16"/>
  <c r="AG98" i="16"/>
  <c r="U98" i="16"/>
  <c r="I98" i="16"/>
  <c r="AL89" i="16"/>
  <c r="Z89" i="16"/>
  <c r="N89" i="16"/>
  <c r="AE85" i="16"/>
  <c r="S85" i="16"/>
  <c r="G85" i="16"/>
  <c r="AM78" i="16"/>
  <c r="AA78" i="16"/>
  <c r="O78" i="16"/>
  <c r="AB36" i="16"/>
  <c r="P36" i="16"/>
  <c r="AM33" i="16"/>
  <c r="AA33" i="16"/>
  <c r="O33" i="16"/>
  <c r="AF24" i="16"/>
  <c r="T24" i="16"/>
  <c r="H24" i="16"/>
  <c r="AK20" i="16"/>
  <c r="Y20" i="16"/>
  <c r="M20" i="16"/>
  <c r="AG13" i="16"/>
  <c r="U13" i="16"/>
  <c r="I13" i="16"/>
  <c r="AB163" i="16"/>
  <c r="AK219" i="16"/>
  <c r="Y219" i="16"/>
  <c r="M219" i="16"/>
  <c r="AD215" i="16"/>
  <c r="R215" i="16"/>
  <c r="F215" i="16"/>
  <c r="AL208" i="16"/>
  <c r="Z208" i="16"/>
  <c r="N208" i="16"/>
  <c r="AM166" i="16"/>
  <c r="AA166" i="16"/>
  <c r="O166" i="16"/>
  <c r="AE154" i="16"/>
  <c r="S154" i="16"/>
  <c r="G154" i="16"/>
  <c r="AJ150" i="16"/>
  <c r="X150" i="16"/>
  <c r="L150" i="16"/>
  <c r="AF143" i="16"/>
  <c r="T143" i="16"/>
  <c r="H143" i="16"/>
  <c r="AD85" i="16"/>
  <c r="R85" i="16"/>
  <c r="F85" i="16"/>
  <c r="L20" i="16"/>
  <c r="AF231" i="16"/>
  <c r="T231" i="16"/>
  <c r="H231" i="16"/>
  <c r="AE228" i="16"/>
  <c r="S228" i="16"/>
  <c r="G228" i="16"/>
  <c r="AJ219" i="16"/>
  <c r="X219" i="16"/>
  <c r="L219" i="16"/>
  <c r="AC215" i="16"/>
  <c r="Q215" i="16"/>
  <c r="E215" i="16"/>
  <c r="AK208" i="16"/>
  <c r="Y208" i="16"/>
  <c r="M208" i="16"/>
  <c r="AD154" i="16"/>
  <c r="R154" i="16"/>
  <c r="F154" i="16"/>
  <c r="AI150" i="16"/>
  <c r="W150" i="16"/>
  <c r="K150" i="16"/>
  <c r="AE143" i="16"/>
  <c r="S143" i="16"/>
  <c r="G143" i="16"/>
  <c r="AF101" i="16"/>
  <c r="T101" i="16"/>
  <c r="H101" i="16"/>
  <c r="AE98" i="16"/>
  <c r="S98" i="16"/>
  <c r="G98" i="16"/>
  <c r="AJ89" i="16"/>
  <c r="X89" i="16"/>
  <c r="L89" i="16"/>
  <c r="AC85" i="16"/>
  <c r="Q85" i="16"/>
  <c r="E85" i="16"/>
  <c r="AK78" i="16"/>
  <c r="Y78" i="16"/>
  <c r="M78" i="16"/>
  <c r="AK33" i="16"/>
  <c r="Y33" i="16"/>
  <c r="M33" i="16"/>
  <c r="AI20" i="16"/>
  <c r="W20" i="16"/>
  <c r="K20" i="16"/>
  <c r="AE13" i="16"/>
  <c r="S13" i="16"/>
  <c r="G13" i="16"/>
  <c r="P33" i="16"/>
  <c r="D150" i="16"/>
  <c r="P215" i="16"/>
  <c r="AJ208" i="16"/>
  <c r="X208" i="16"/>
  <c r="L208" i="16"/>
  <c r="AK166" i="16"/>
  <c r="Y166" i="16"/>
  <c r="M166" i="16"/>
  <c r="AJ163" i="16"/>
  <c r="X163" i="16"/>
  <c r="L163" i="16"/>
  <c r="AC154" i="16"/>
  <c r="Q154" i="16"/>
  <c r="E154" i="16"/>
  <c r="AH150" i="16"/>
  <c r="V150" i="16"/>
  <c r="J150" i="16"/>
  <c r="AD143" i="16"/>
  <c r="R143" i="16"/>
  <c r="F143" i="16"/>
  <c r="AE101" i="16"/>
  <c r="S101" i="16"/>
  <c r="G101" i="16"/>
  <c r="AI89" i="16"/>
  <c r="W89" i="16"/>
  <c r="K89" i="16"/>
  <c r="AB85" i="16"/>
  <c r="P85" i="16"/>
  <c r="AJ78" i="16"/>
  <c r="X78" i="16"/>
  <c r="L78" i="16"/>
  <c r="AK36" i="16"/>
  <c r="Y36" i="16"/>
  <c r="M36" i="16"/>
  <c r="AJ33" i="16"/>
  <c r="X33" i="16"/>
  <c r="L33" i="16"/>
  <c r="AC24" i="16"/>
  <c r="Q24" i="16"/>
  <c r="E24" i="16"/>
  <c r="AH20" i="16"/>
  <c r="V20" i="16"/>
  <c r="J20" i="16"/>
  <c r="AD13" i="16"/>
  <c r="R13" i="16"/>
  <c r="F13" i="16"/>
  <c r="AD231" i="16"/>
  <c r="R231" i="16"/>
  <c r="F231" i="16"/>
  <c r="AC228" i="16"/>
  <c r="Q228" i="16"/>
  <c r="E228" i="16"/>
  <c r="AH219" i="16"/>
  <c r="V219" i="16"/>
  <c r="J219" i="16"/>
  <c r="AM215" i="16"/>
  <c r="AA215" i="16"/>
  <c r="O215" i="16"/>
  <c r="AI208" i="16"/>
  <c r="W208" i="16"/>
  <c r="K208" i="16"/>
  <c r="AJ166" i="16"/>
  <c r="X166" i="16"/>
  <c r="L166" i="16"/>
  <c r="AB154" i="16"/>
  <c r="P154" i="16"/>
  <c r="AG150" i="16"/>
  <c r="U150" i="16"/>
  <c r="I150" i="16"/>
  <c r="AC143" i="16"/>
  <c r="Q143" i="16"/>
  <c r="E143" i="16"/>
  <c r="F101" i="16"/>
  <c r="AH89" i="16"/>
  <c r="V89" i="16"/>
  <c r="J89" i="16"/>
  <c r="AM85" i="16"/>
  <c r="AA85" i="16"/>
  <c r="O85" i="16"/>
  <c r="AI78" i="16"/>
  <c r="W78" i="16"/>
  <c r="K78" i="16"/>
  <c r="AJ36" i="16"/>
  <c r="X36" i="16"/>
  <c r="L36" i="16"/>
  <c r="AB24" i="16"/>
  <c r="P24" i="16"/>
  <c r="AG20" i="16"/>
  <c r="U20" i="16"/>
  <c r="I20" i="16"/>
  <c r="AC13" i="16"/>
  <c r="Q13" i="16"/>
  <c r="E13" i="16"/>
  <c r="V228" i="16"/>
  <c r="P163" i="16"/>
  <c r="D36" i="16"/>
  <c r="AG219" i="16"/>
  <c r="U219" i="16"/>
  <c r="I219" i="16"/>
  <c r="AL215" i="16"/>
  <c r="Z215" i="16"/>
  <c r="N215" i="16"/>
  <c r="AH208" i="16"/>
  <c r="V208" i="16"/>
  <c r="J208" i="16"/>
  <c r="AI166" i="16"/>
  <c r="W166" i="16"/>
  <c r="K166" i="16"/>
  <c r="AM154" i="16"/>
  <c r="AA154" i="16"/>
  <c r="O154" i="16"/>
  <c r="AF150" i="16"/>
  <c r="T150" i="16"/>
  <c r="H150" i="16"/>
  <c r="AB143" i="16"/>
  <c r="P143" i="16"/>
  <c r="AC101" i="16"/>
  <c r="Q101" i="16"/>
  <c r="E101" i="16"/>
  <c r="AG89" i="16"/>
  <c r="U89" i="16"/>
  <c r="I89" i="16"/>
  <c r="AL85" i="16"/>
  <c r="Z85" i="16"/>
  <c r="N85" i="16"/>
  <c r="AH78" i="16"/>
  <c r="V78" i="16"/>
  <c r="J78" i="16"/>
  <c r="W36" i="16"/>
  <c r="K36" i="16"/>
  <c r="AM24" i="16"/>
  <c r="AA24" i="16"/>
  <c r="O24" i="16"/>
  <c r="AF20" i="16"/>
  <c r="T20" i="16"/>
  <c r="H20" i="16"/>
  <c r="P13" i="16"/>
  <c r="AH228" i="16"/>
  <c r="J98" i="16"/>
  <c r="D215" i="16"/>
  <c r="D101" i="16"/>
  <c r="AB231" i="16"/>
  <c r="P231" i="16"/>
  <c r="AM228" i="16"/>
  <c r="AA228" i="16"/>
  <c r="O228" i="16"/>
  <c r="AF219" i="16"/>
  <c r="T219" i="16"/>
  <c r="H219" i="16"/>
  <c r="AK215" i="16"/>
  <c r="Y215" i="16"/>
  <c r="M215" i="16"/>
  <c r="AG208" i="16"/>
  <c r="U208" i="16"/>
  <c r="I208" i="16"/>
  <c r="AH166" i="16"/>
  <c r="V166" i="16"/>
  <c r="J166" i="16"/>
  <c r="AL154" i="16"/>
  <c r="Z154" i="16"/>
  <c r="N154" i="16"/>
  <c r="AE150" i="16"/>
  <c r="S150" i="16"/>
  <c r="G150" i="16"/>
  <c r="AM143" i="16"/>
  <c r="AA143" i="16"/>
  <c r="O143" i="16"/>
  <c r="AB101" i="16"/>
  <c r="P101" i="16"/>
  <c r="AF89" i="16"/>
  <c r="T89" i="16"/>
  <c r="H89" i="16"/>
  <c r="AK85" i="16"/>
  <c r="Y85" i="16"/>
  <c r="M85" i="16"/>
  <c r="AG78" i="16"/>
  <c r="U78" i="16"/>
  <c r="I78" i="16"/>
  <c r="AH36" i="16"/>
  <c r="V36" i="16"/>
  <c r="J36" i="16"/>
  <c r="I33" i="16"/>
  <c r="AL24" i="16"/>
  <c r="Z24" i="16"/>
  <c r="N24" i="16"/>
  <c r="AE20" i="16"/>
  <c r="S20" i="16"/>
  <c r="G20" i="16"/>
  <c r="AM13" i="16"/>
  <c r="AA13" i="16"/>
  <c r="O13" i="16"/>
  <c r="D166" i="16"/>
  <c r="D13" i="16"/>
  <c r="AJ215" i="16"/>
  <c r="X215" i="16"/>
  <c r="L215" i="16"/>
  <c r="AF208" i="16"/>
  <c r="T208" i="16"/>
  <c r="H208" i="16"/>
  <c r="I166" i="16"/>
  <c r="AK154" i="16"/>
  <c r="Y154" i="16"/>
  <c r="M154" i="16"/>
  <c r="AD150" i="16"/>
  <c r="R150" i="16"/>
  <c r="F150" i="16"/>
  <c r="AL143" i="16"/>
  <c r="Z143" i="16"/>
  <c r="N143" i="16"/>
  <c r="AM101" i="16"/>
  <c r="AA101" i="16"/>
  <c r="O101" i="16"/>
  <c r="AE89" i="16"/>
  <c r="S89" i="16"/>
  <c r="G89" i="16"/>
  <c r="AJ85" i="16"/>
  <c r="X85" i="16"/>
  <c r="L85" i="16"/>
  <c r="AF78" i="16"/>
  <c r="T78" i="16"/>
  <c r="H78" i="16"/>
  <c r="AG36" i="16"/>
  <c r="U36" i="16"/>
  <c r="I36" i="16"/>
  <c r="AK24" i="16"/>
  <c r="Y24" i="16"/>
  <c r="M24" i="16"/>
  <c r="AD20" i="16"/>
  <c r="R20" i="16"/>
  <c r="F20" i="16"/>
  <c r="AL13" i="16"/>
  <c r="Z13" i="16"/>
  <c r="N13" i="16"/>
  <c r="AB33" i="16"/>
  <c r="D98" i="16"/>
  <c r="D78" i="16"/>
  <c r="Z231" i="16"/>
  <c r="N231" i="16"/>
  <c r="AK228" i="16"/>
  <c r="Y228" i="16"/>
  <c r="M228" i="16"/>
  <c r="AD219" i="16"/>
  <c r="R219" i="16"/>
  <c r="F219" i="16"/>
  <c r="AI215" i="16"/>
  <c r="W215" i="16"/>
  <c r="K215" i="16"/>
  <c r="AE208" i="16"/>
  <c r="S208" i="16"/>
  <c r="G208" i="16"/>
  <c r="AJ154" i="16"/>
  <c r="X154" i="16"/>
  <c r="L154" i="16"/>
  <c r="AC150" i="16"/>
  <c r="Q150" i="16"/>
  <c r="E150" i="16"/>
  <c r="AK143" i="16"/>
  <c r="Y143" i="16"/>
  <c r="M143" i="16"/>
  <c r="AL101" i="16"/>
  <c r="Z101" i="16"/>
  <c r="N101" i="16"/>
  <c r="AD89" i="16"/>
  <c r="R89" i="16"/>
  <c r="F89" i="16"/>
  <c r="AI85" i="16"/>
  <c r="W85" i="16"/>
  <c r="K85" i="16"/>
  <c r="AE78" i="16"/>
  <c r="S78" i="16"/>
  <c r="G78" i="16"/>
  <c r="AF36" i="16"/>
  <c r="T36" i="16"/>
  <c r="H36" i="16"/>
  <c r="AJ24" i="16"/>
  <c r="X24" i="16"/>
  <c r="L24" i="16"/>
  <c r="AC20" i="16"/>
  <c r="Q20" i="16"/>
  <c r="E20" i="16"/>
  <c r="AK13" i="16"/>
  <c r="Y13" i="16"/>
  <c r="M13" i="16"/>
  <c r="AH98" i="16"/>
  <c r="D163" i="16"/>
  <c r="D143" i="16"/>
  <c r="D24" i="16"/>
  <c r="AK231" i="16"/>
  <c r="Y231" i="16"/>
  <c r="M231" i="16"/>
  <c r="AJ228" i="16"/>
  <c r="X228" i="16"/>
  <c r="L228" i="16"/>
  <c r="AC219" i="16"/>
  <c r="Q219" i="16"/>
  <c r="E219" i="16"/>
  <c r="AH215" i="16"/>
  <c r="V215" i="16"/>
  <c r="J215" i="16"/>
  <c r="AD208" i="16"/>
  <c r="R208" i="16"/>
  <c r="F208" i="16"/>
  <c r="AE166" i="16"/>
  <c r="S166" i="16"/>
  <c r="G166" i="16"/>
  <c r="AD163" i="16"/>
  <c r="R163" i="16"/>
  <c r="F163" i="16"/>
  <c r="AI154" i="16"/>
  <c r="W154" i="16"/>
  <c r="K154" i="16"/>
  <c r="AB150" i="16"/>
  <c r="P150" i="16"/>
  <c r="AJ143" i="16"/>
  <c r="X143" i="16"/>
  <c r="L143" i="16"/>
  <c r="AK101" i="16"/>
  <c r="Y101" i="16"/>
  <c r="M101" i="16"/>
  <c r="AC89" i="16"/>
  <c r="Q89" i="16"/>
  <c r="E89" i="16"/>
  <c r="AH85" i="16"/>
  <c r="V85" i="16"/>
  <c r="J85" i="16"/>
  <c r="AD78" i="16"/>
  <c r="R78" i="16"/>
  <c r="F78" i="16"/>
  <c r="AE36" i="16"/>
  <c r="S36" i="16"/>
  <c r="G36" i="16"/>
  <c r="AI24" i="16"/>
  <c r="W24" i="16"/>
  <c r="K24" i="16"/>
  <c r="AB20" i="16"/>
  <c r="P20" i="16"/>
  <c r="AJ13" i="16"/>
  <c r="X13" i="16"/>
  <c r="L13" i="16"/>
</calcChain>
</file>

<file path=xl/connections.xml><?xml version="1.0" encoding="utf-8"?>
<connections xmlns="http://schemas.openxmlformats.org/spreadsheetml/2006/main">
  <connection id="1" keepAlive="1" name="Query - Oil Production" description="Connection to the 'Oil Production' query in the workbook." type="5" refreshedVersion="5" background="1" saveData="1">
    <dbPr connection="provider=Microsoft.Mashup.OleDb.1;data source=$EmbeddedMashup(2c02cb78-1f05-47dc-9765-23e09512219a)$;location=&quot;Oil Production&quot;;extended properties=&quot;UEsDBBQAAgAIAFBMUE0WAeZPqAAAAPoAAAASABwAQ29uZmlnL1BhY2thZ2UueG1sIKIYACigFAAAAAAAAAAAAAAAAAAAAAAAAAAAAIVPPQ6CMBi9CulOW/5UyEcZXCUxIRrXplRohGJoEe7m4JG8giSKcXN7v8l7z/sDsqltnJvsjep0ijxMkSO16EqlqxQN9uxuUMZgz8WFV9KZw9okk1Epqq29JoSM44jHAHd9RXxKPXLKd4WoZctdpY3lWkj0bZX/W4jB8T2G+TgKcRivKQ58D8giQ670gj0czWa8whTIjwzbobFDL5nU7qEAslAgnx/sBVBLAwQUAAIACABQTFBN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ExQTR4MV7IKAgAARQcAABMAHABGb3JtdWxhcy9TZWN0aW9uMS5tIKIYACigFAAAAAAAAAAAAAAAAAAAAAAAAAAAAIWVUWvbMBSF3wP5D0J9ScCESMrajdJByfawl3U06coIeZDt21pUloosj46Q/17JdufEuaV+EZwrn3s+y9euIPPKGrJqV3Y5Ho1HVSEd5OSM3ihNfjmb102RkiuiwY9HJFwrW7sMgvL9JQM9W9bOgfH31j2l1j5NprvNT1nCFV3LVAOj2/1maY0PW7ZJa3BGl4U0j6HP+t8zRO9m62ztpKkerCuXVtelicVq0nZLdju6AiOdsjQhPlSIhxe/T8iO3sJjjDiUG++hyOfzT2+iqcsU3Jt8jssXuPwZl7+gMpvjMsNljssClxe4jFMynJLhlAynZDglxyk5TslxSo5TcpyS45Qcp+Q4JccpOU4pcEqBUwqcUuCUAqcUOKXAKQVOKXBKgVMuhpT76f/ZvTPP6q/1YXrbMa36Ae5KN74A1xUng2GP/v0g97PbjmtoT6+9dyqtfdxLf0tdA+2b34ZbS6x1W+ibnqaMn5Aj7z8gHT0kOwzKPvgsnUaJ/o1lQn4Yf76YxY2H9oMb2Pvhj4NE4/Y5hNDfpJf02NW6HBz+TJpS73uSINkNTyCsB8fT8XRd+6bXed7YmFzF34PUnWXfO+xopQkWMVjeGeXDCjIriHogm9hqS76S8BWdk/ACmRCosHUlTU6yOlUZKcE7CHigq/heao2fHP/w5N5NH590l6v/beyn45EyeKfLV1BLAQItABQAAgAIAFBMUE0WAeZPqAAAAPoAAAASAAAAAAAAAAAAAAAAAAAAAABDb25maWcvUGFja2FnZS54bWxQSwECLQAUAAIACABQTFBND8rpq6QAAADpAAAAEwAAAAAAAAAAAAAAAAD0AAAAW0NvbnRlbnRfVHlwZXNdLnhtbFBLAQItABQAAgAIAFBMUE0eDFeyCgIAAEUHAAATAAAAAAAAAAAAAAAAAOUBAABGb3JtdWxhcy9TZWN0aW9uMS5tUEsFBgAAAAADAAMAwgAAADwEAAAAAA==&quot;" command="SELECT * FROM [Oil Production]"/>
  </connection>
</connections>
</file>

<file path=xl/sharedStrings.xml><?xml version="1.0" encoding="utf-8"?>
<sst xmlns="http://schemas.openxmlformats.org/spreadsheetml/2006/main" count="38949" uniqueCount="86">
  <si>
    <t>Canada</t>
  </si>
  <si>
    <t>Conventional Light</t>
  </si>
  <si>
    <t>Conventional Heavy</t>
  </si>
  <si>
    <t>C5+</t>
  </si>
  <si>
    <t>Field Condensate</t>
  </si>
  <si>
    <t xml:space="preserve">Mined Bitumen </t>
  </si>
  <si>
    <t xml:space="preserve">In Situ Bitumen </t>
  </si>
  <si>
    <t xml:space="preserve">(Upgraded Bitumen) </t>
  </si>
  <si>
    <t>Alberta</t>
  </si>
  <si>
    <t>British Columbia</t>
  </si>
  <si>
    <t xml:space="preserve">   Field Condensate </t>
  </si>
  <si>
    <t>Manitoba</t>
  </si>
  <si>
    <t>Newfoundland and Labrador</t>
  </si>
  <si>
    <t>Northwest Territories</t>
  </si>
  <si>
    <t>Nova Scotia</t>
  </si>
  <si>
    <t>Ontario</t>
  </si>
  <si>
    <t>Saskatchewan</t>
  </si>
  <si>
    <t>Unit</t>
  </si>
  <si>
    <t>Case</t>
  </si>
  <si>
    <t>Region</t>
  </si>
  <si>
    <t>Variable</t>
  </si>
  <si>
    <t>Reference</t>
  </si>
  <si>
    <t>Thousand Cubic Metres per day</t>
  </si>
  <si>
    <t>Total</t>
  </si>
  <si>
    <t>High Price</t>
  </si>
  <si>
    <t>Low Price</t>
  </si>
  <si>
    <t>Constrained</t>
  </si>
  <si>
    <t>No LNG</t>
  </si>
  <si>
    <t>High LNG</t>
  </si>
  <si>
    <t>Thousand cubic metres</t>
  </si>
  <si>
    <t>Senario</t>
  </si>
  <si>
    <t>Year</t>
  </si>
  <si>
    <t>Data</t>
  </si>
  <si>
    <t>Type</t>
  </si>
  <si>
    <t>High</t>
  </si>
  <si>
    <t>Low</t>
  </si>
  <si>
    <t>Technology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</si>
  <si>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</si>
  <si>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</si>
  <si>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</si>
  <si>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</si>
  <si>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</si>
  <si>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</si>
  <si>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</si>
  <si>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</si>
  <si>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</si>
  <si>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</si>
  <si>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</si>
  <si>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</si>
  <si>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</si>
  <si>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</si>
  <si>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</si>
  <si>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</si>
  <si>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</si>
  <si>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</si>
  <si>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</si>
  <si>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</si>
  <si>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</si>
  <si>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</si>
  <si>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</si>
  <si>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</si>
  <si>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</si>
  <si>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</si>
  <si>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</si>
  <si>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</si>
  <si>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</si>
  <si>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</si>
  <si>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</si>
  <si>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</si>
  <si>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</si>
  <si>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</si>
  <si>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</si>
  <si>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</si>
  <si>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BC</t>
  </si>
  <si>
    <t>AB</t>
  </si>
  <si>
    <t>SK</t>
  </si>
  <si>
    <t>MB</t>
  </si>
  <si>
    <t>ON</t>
  </si>
  <si>
    <t>NB</t>
  </si>
  <si>
    <t>NS</t>
  </si>
  <si>
    <t>NL</t>
  </si>
  <si>
    <t>NWT</t>
  </si>
  <si>
    <t>QC</t>
  </si>
  <si>
    <t>PEI</t>
  </si>
  <si>
    <t>YK</t>
  </si>
  <si>
    <t>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</si>
</sst>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quotePrefix="1" applyNumberFormat="1" applyAlignment="1"/>
    <xf numFmtId="0" fontId="0" fillId="0" borderId="0" xfId="0" applyNumberFormat="1" applyAlignment="1"/>
  </cellXfs>
  <cellStyles count="1">
    <cellStyle name="Normal" xfId="0" builtinId="0"/>
  </cellStyles>
  <dxfs count="14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13"/>
      <tableStyleElement type="headerRow" dxfId="12"/>
      <tableStyleElement type="firstRowStripe" dxfId="11"/>
    </tableStyle>
    <tableStyle name="TableStyleQueryResult" pivot="0" count="3">
      <tableStyleElement type="wholeTable" dxfId="10"/>
      <tableStyleElement type="headerRow" dxfId="9"/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F%202018%20Oil%20Supply%20-%20Sep%207%20-%20No%20Link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8 Reference Case"/>
      <sheetName val="Sheet1"/>
      <sheetName val="Sheet2"/>
      <sheetName val="2018 High Price Case"/>
      <sheetName val="2018 Low Price Case"/>
      <sheetName val="2018 SDC"/>
      <sheetName val="REF"/>
      <sheetName val="High"/>
      <sheetName val="Low"/>
      <sheetName val="Tech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Canada</v>
          </cell>
          <cell r="B2" t="str">
            <v>Conventional Light</v>
          </cell>
          <cell r="C2">
            <v>120393.94465812801</v>
          </cell>
          <cell r="D2">
            <v>119335.10154082894</v>
          </cell>
          <cell r="E2">
            <v>128495.40715258461</v>
          </cell>
          <cell r="F2">
            <v>126621.04200308448</v>
          </cell>
          <cell r="G2">
            <v>113421.70271813478</v>
          </cell>
          <cell r="H2">
            <v>115275.72885841444</v>
          </cell>
          <cell r="I2">
            <v>119783.42174049366</v>
          </cell>
          <cell r="J2">
            <v>121609.88327665607</v>
          </cell>
          <cell r="K2">
            <v>130779.05255603722</v>
          </cell>
          <cell r="L2">
            <v>130908.71006835497</v>
          </cell>
          <cell r="M2">
            <v>114675.48064994118</v>
          </cell>
          <cell r="N2">
            <v>107569.05421700577</v>
          </cell>
          <cell r="O2">
            <v>106408.59598512293</v>
          </cell>
          <cell r="P2">
            <v>101814.92553308001</v>
          </cell>
          <cell r="Q2">
            <v>102625.25281617776</v>
          </cell>
          <cell r="R2">
            <v>95198.432704534265</v>
          </cell>
          <cell r="S2">
            <v>95025.264153319178</v>
          </cell>
          <cell r="T2">
            <v>94360.734100698464</v>
          </cell>
          <cell r="U2">
            <v>98349.671773215159</v>
          </cell>
          <cell r="V2">
            <v>99110.200118606022</v>
          </cell>
          <cell r="W2">
            <v>100345.64193310867</v>
          </cell>
          <cell r="X2">
            <v>100533.34281251438</v>
          </cell>
          <cell r="Y2">
            <v>101132.15775873269</v>
          </cell>
          <cell r="Z2">
            <v>103849.11839192938</v>
          </cell>
          <cell r="AA2">
            <v>107752.88103156401</v>
          </cell>
          <cell r="AB2">
            <v>110714.24334392061</v>
          </cell>
          <cell r="AC2">
            <v>111903.70864121815</v>
          </cell>
          <cell r="AD2">
            <v>111930.15736818955</v>
          </cell>
          <cell r="AE2">
            <v>113890.67790831999</v>
          </cell>
          <cell r="AF2">
            <v>116704.67924882157</v>
          </cell>
          <cell r="AG2">
            <v>119671.18681605303</v>
          </cell>
          <cell r="AH2">
            <v>121472.86027533459</v>
          </cell>
          <cell r="AI2">
            <v>122127.3916092432</v>
          </cell>
          <cell r="AJ2">
            <v>122450.61094816882</v>
          </cell>
          <cell r="AK2">
            <v>122825.83483176694</v>
          </cell>
          <cell r="AL2">
            <v>123078.75082601867</v>
          </cell>
        </row>
        <row r="3">
          <cell r="A3" t="str">
            <v>Canada</v>
          </cell>
          <cell r="B3" t="str">
            <v>Conventional Heavy</v>
          </cell>
          <cell r="C3">
            <v>95714.371685317979</v>
          </cell>
          <cell r="D3">
            <v>94533.324805817247</v>
          </cell>
          <cell r="E3">
            <v>92093.948245520878</v>
          </cell>
          <cell r="F3">
            <v>87985.541330248874</v>
          </cell>
          <cell r="G3">
            <v>80184.157122495002</v>
          </cell>
          <cell r="H3">
            <v>79544.775663474953</v>
          </cell>
          <cell r="I3">
            <v>79770.543291508366</v>
          </cell>
          <cell r="J3">
            <v>86935.674939329067</v>
          </cell>
          <cell r="K3">
            <v>89225.079665544938</v>
          </cell>
          <cell r="L3">
            <v>98750.054845239487</v>
          </cell>
          <cell r="M3">
            <v>86709.106279142259</v>
          </cell>
          <cell r="N3">
            <v>81282.378465617643</v>
          </cell>
          <cell r="O3">
            <v>85919.878422883514</v>
          </cell>
          <cell r="P3">
            <v>96292.769060109713</v>
          </cell>
          <cell r="Q3">
            <v>103535.83483124446</v>
          </cell>
          <cell r="R3">
            <v>111170.11924019946</v>
          </cell>
          <cell r="S3">
            <v>114993.09045386681</v>
          </cell>
          <cell r="T3">
            <v>117399.3431287967</v>
          </cell>
          <cell r="U3">
            <v>117755.58660516517</v>
          </cell>
          <cell r="V3">
            <v>119330.88204868921</v>
          </cell>
          <cell r="W3">
            <v>119849.85681658323</v>
          </cell>
          <cell r="X3">
            <v>119582.1589204574</v>
          </cell>
          <cell r="Y3">
            <v>119617.1562753562</v>
          </cell>
          <cell r="Z3">
            <v>118694.02899378882</v>
          </cell>
          <cell r="AA3">
            <v>117788.90926731867</v>
          </cell>
          <cell r="AB3">
            <v>117263.28094736612</v>
          </cell>
          <cell r="AC3">
            <v>117231.92941456786</v>
          </cell>
          <cell r="AD3">
            <v>117624.95566959106</v>
          </cell>
          <cell r="AE3">
            <v>117708.02192079424</v>
          </cell>
          <cell r="AF3">
            <v>118063.65724434052</v>
          </cell>
          <cell r="AG3">
            <v>119000.95539342372</v>
          </cell>
          <cell r="AH3">
            <v>120002.29772157645</v>
          </cell>
          <cell r="AI3">
            <v>121653.61190999438</v>
          </cell>
          <cell r="AJ3">
            <v>122893.41746681249</v>
          </cell>
          <cell r="AK3">
            <v>124082.38315178272</v>
          </cell>
          <cell r="AL3">
            <v>125315.27497111468</v>
          </cell>
        </row>
        <row r="4">
          <cell r="A4" t="str">
            <v>Canada</v>
          </cell>
          <cell r="B4" t="str">
            <v>C5+</v>
          </cell>
          <cell r="C4">
            <v>24140</v>
          </cell>
          <cell r="D4">
            <v>24810</v>
          </cell>
          <cell r="E4">
            <v>24540</v>
          </cell>
          <cell r="F4">
            <v>23110</v>
          </cell>
          <cell r="G4">
            <v>21400</v>
          </cell>
          <cell r="H4">
            <v>20920</v>
          </cell>
          <cell r="I4">
            <v>20460</v>
          </cell>
          <cell r="J4">
            <v>20000</v>
          </cell>
          <cell r="K4">
            <v>21050</v>
          </cell>
          <cell r="L4">
            <v>24800</v>
          </cell>
          <cell r="M4">
            <v>30699.223013698629</v>
          </cell>
          <cell r="N4">
            <v>32409.198894809721</v>
          </cell>
          <cell r="O4">
            <v>39484.485890410957</v>
          </cell>
          <cell r="P4">
            <v>40373.288315277328</v>
          </cell>
          <cell r="Q4">
            <v>39856.663530952865</v>
          </cell>
          <cell r="R4">
            <v>39299.818537965097</v>
          </cell>
          <cell r="S4">
            <v>38900.710835645725</v>
          </cell>
          <cell r="T4">
            <v>38460.917880330693</v>
          </cell>
          <cell r="U4">
            <v>38312.010572638646</v>
          </cell>
          <cell r="V4">
            <v>38294.111413036248</v>
          </cell>
          <cell r="W4">
            <v>38464.228501858321</v>
          </cell>
          <cell r="X4">
            <v>38887.843231763749</v>
          </cell>
          <cell r="Y4">
            <v>39339.587661092999</v>
          </cell>
          <cell r="Z4">
            <v>39840.600289787413</v>
          </cell>
          <cell r="AA4">
            <v>40477.913846688069</v>
          </cell>
          <cell r="AB4">
            <v>41227.657249766693</v>
          </cell>
          <cell r="AC4">
            <v>42106.693375666466</v>
          </cell>
          <cell r="AD4">
            <v>43120.187400124763</v>
          </cell>
          <cell r="AE4">
            <v>44181.414832444039</v>
          </cell>
          <cell r="AF4">
            <v>45221.581935845439</v>
          </cell>
          <cell r="AG4">
            <v>46323.922866358393</v>
          </cell>
          <cell r="AH4">
            <v>47463.53387729892</v>
          </cell>
          <cell r="AI4">
            <v>48628.879715662071</v>
          </cell>
          <cell r="AJ4">
            <v>49868.50812858875</v>
          </cell>
          <cell r="AK4">
            <v>51209.325826998014</v>
          </cell>
          <cell r="AL4">
            <v>52642.226398657149</v>
          </cell>
        </row>
        <row r="5">
          <cell r="A5" t="str">
            <v>Canada</v>
          </cell>
          <cell r="B5" t="str">
            <v>Field Condensate</v>
          </cell>
          <cell r="C5">
            <v>2090</v>
          </cell>
          <cell r="D5">
            <v>2350</v>
          </cell>
          <cell r="E5">
            <v>2750</v>
          </cell>
          <cell r="F5">
            <v>3130</v>
          </cell>
          <cell r="G5">
            <v>2900</v>
          </cell>
          <cell r="H5">
            <v>2710</v>
          </cell>
          <cell r="I5">
            <v>2820</v>
          </cell>
          <cell r="J5">
            <v>2900</v>
          </cell>
          <cell r="K5">
            <v>3550</v>
          </cell>
          <cell r="L5">
            <v>5210</v>
          </cell>
          <cell r="M5">
            <v>5570</v>
          </cell>
          <cell r="N5">
            <v>10168.111506849318</v>
          </cell>
          <cell r="O5">
            <v>12126.514109589039</v>
          </cell>
          <cell r="P5">
            <v>12584.115386571788</v>
          </cell>
          <cell r="Q5">
            <v>12565.327295097501</v>
          </cell>
          <cell r="R5">
            <v>12550.937399539849</v>
          </cell>
          <cell r="S5">
            <v>12576.231113767848</v>
          </cell>
          <cell r="T5">
            <v>12646.228409206036</v>
          </cell>
          <cell r="U5">
            <v>12744.775449409368</v>
          </cell>
          <cell r="V5">
            <v>12885.555128639748</v>
          </cell>
          <cell r="W5">
            <v>13088.455808954142</v>
          </cell>
          <cell r="X5">
            <v>13378.642772678904</v>
          </cell>
          <cell r="Y5">
            <v>13681.791161452875</v>
          </cell>
          <cell r="Z5">
            <v>14006.816816625358</v>
          </cell>
          <cell r="AA5">
            <v>14385.865760821791</v>
          </cell>
          <cell r="AB5">
            <v>14812.309050425041</v>
          </cell>
          <cell r="AC5">
            <v>15292.24412321122</v>
          </cell>
          <cell r="AD5">
            <v>15829.264691627643</v>
          </cell>
          <cell r="AE5">
            <v>16393.418854913376</v>
          </cell>
          <cell r="AF5">
            <v>16958.552828327985</v>
          </cell>
          <cell r="AG5">
            <v>17556.254504430715</v>
          </cell>
          <cell r="AH5">
            <v>18178.821734912835</v>
          </cell>
          <cell r="AI5">
            <v>18820.267903266926</v>
          </cell>
          <cell r="AJ5">
            <v>19501.623219777797</v>
          </cell>
          <cell r="AK5">
            <v>20233.840668361361</v>
          </cell>
          <cell r="AL5">
            <v>21015.079160773239</v>
          </cell>
        </row>
        <row r="6">
          <cell r="A6" t="str">
            <v>Canada</v>
          </cell>
          <cell r="B6" t="str">
            <v xml:space="preserve">Mined Bitumen </v>
          </cell>
          <cell r="C6">
            <v>99600</v>
          </cell>
          <cell r="D6">
            <v>120900</v>
          </cell>
          <cell r="E6">
            <v>124700</v>
          </cell>
          <cell r="F6">
            <v>114700</v>
          </cell>
          <cell r="G6">
            <v>131200</v>
          </cell>
          <cell r="H6">
            <v>136242.99205479454</v>
          </cell>
          <cell r="I6">
            <v>141899.05890410958</v>
          </cell>
          <cell r="J6">
            <v>148216.19643835619</v>
          </cell>
          <cell r="K6">
            <v>155178.08602739728</v>
          </cell>
          <cell r="L6">
            <v>152653.42301369866</v>
          </cell>
          <cell r="M6">
            <v>184650.64986301371</v>
          </cell>
          <cell r="N6">
            <v>182833.43972602743</v>
          </cell>
          <cell r="O6">
            <v>202815.78219178083</v>
          </cell>
          <cell r="P6">
            <v>234799.82978469165</v>
          </cell>
          <cell r="Q6">
            <v>254156.63379981264</v>
          </cell>
          <cell r="R6">
            <v>259617.83437279184</v>
          </cell>
          <cell r="S6">
            <v>261022.58625520545</v>
          </cell>
          <cell r="T6">
            <v>261826.63235775448</v>
          </cell>
          <cell r="U6">
            <v>261826.61697683489</v>
          </cell>
          <cell r="V6">
            <v>261826.62684564892</v>
          </cell>
          <cell r="W6">
            <v>261826.62716015082</v>
          </cell>
          <cell r="X6">
            <v>261826.62703786089</v>
          </cell>
          <cell r="Y6">
            <v>261826.627032105</v>
          </cell>
          <cell r="Z6">
            <v>261826.62703364203</v>
          </cell>
          <cell r="AA6">
            <v>261826.62703373685</v>
          </cell>
          <cell r="AB6">
            <v>261826.6270337177</v>
          </cell>
          <cell r="AC6">
            <v>261826.62703371618</v>
          </cell>
          <cell r="AD6">
            <v>261826.62703371639</v>
          </cell>
          <cell r="AE6">
            <v>261826.62703371639</v>
          </cell>
          <cell r="AF6">
            <v>261826.62703371639</v>
          </cell>
          <cell r="AG6">
            <v>261826.62703371639</v>
          </cell>
          <cell r="AH6">
            <v>261826.62703371639</v>
          </cell>
          <cell r="AI6">
            <v>261826.62703371639</v>
          </cell>
          <cell r="AJ6">
            <v>261826.62703371639</v>
          </cell>
          <cell r="AK6">
            <v>261826.62703371639</v>
          </cell>
          <cell r="AL6">
            <v>261826.62703371639</v>
          </cell>
        </row>
        <row r="7">
          <cell r="A7" t="str">
            <v>Canada</v>
          </cell>
          <cell r="B7" t="str">
            <v xml:space="preserve">In Situ Bitumen </v>
          </cell>
          <cell r="C7">
            <v>69700</v>
          </cell>
          <cell r="D7">
            <v>78500</v>
          </cell>
          <cell r="E7">
            <v>85200</v>
          </cell>
          <cell r="F7">
            <v>92700</v>
          </cell>
          <cell r="G7">
            <v>105500</v>
          </cell>
          <cell r="H7">
            <v>119629.14712328766</v>
          </cell>
          <cell r="I7">
            <v>134719.58268493149</v>
          </cell>
          <cell r="J7">
            <v>157385.20219178079</v>
          </cell>
          <cell r="K7">
            <v>175859.07172602741</v>
          </cell>
          <cell r="L7">
            <v>200748.64076712329</v>
          </cell>
          <cell r="M7">
            <v>216516.94391559192</v>
          </cell>
          <cell r="N7">
            <v>222306.83333061248</v>
          </cell>
          <cell r="O7">
            <v>245914.92329379948</v>
          </cell>
          <cell r="P7">
            <v>261640.34547641588</v>
          </cell>
          <cell r="Q7">
            <v>273757.26348823449</v>
          </cell>
          <cell r="R7">
            <v>283681.48916161514</v>
          </cell>
          <cell r="S7">
            <v>288325.86230611883</v>
          </cell>
          <cell r="T7">
            <v>292682.61261761619</v>
          </cell>
          <cell r="U7">
            <v>305074.30851720634</v>
          </cell>
          <cell r="V7">
            <v>321274.03996566811</v>
          </cell>
          <cell r="W7">
            <v>335609.62472703506</v>
          </cell>
          <cell r="X7">
            <v>347611.63784378621</v>
          </cell>
          <cell r="Y7">
            <v>357438.79739750124</v>
          </cell>
          <cell r="Z7">
            <v>363322.19141001039</v>
          </cell>
          <cell r="AA7">
            <v>374347.36929064599</v>
          </cell>
          <cell r="AB7">
            <v>389463.41547696618</v>
          </cell>
          <cell r="AC7">
            <v>404762.48132987262</v>
          </cell>
          <cell r="AD7">
            <v>415366.21752313961</v>
          </cell>
          <cell r="AE7">
            <v>423553.11931871559</v>
          </cell>
          <cell r="AF7">
            <v>427446.44898418512</v>
          </cell>
          <cell r="AG7">
            <v>431999.06093894248</v>
          </cell>
          <cell r="AH7">
            <v>435121.59766249108</v>
          </cell>
          <cell r="AI7">
            <v>438919.68093110045</v>
          </cell>
          <cell r="AJ7">
            <v>442581.9779715378</v>
          </cell>
          <cell r="AK7">
            <v>445484.32281426439</v>
          </cell>
          <cell r="AL7">
            <v>448409.4473377855</v>
          </cell>
        </row>
        <row r="9">
          <cell r="A9" t="str">
            <v>Canada</v>
          </cell>
        </row>
        <row r="10">
          <cell r="A10" t="str">
            <v>BC</v>
          </cell>
          <cell r="B10" t="str">
            <v>Conventional Light</v>
          </cell>
          <cell r="C10">
            <v>4645.0814215309774</v>
          </cell>
          <cell r="D10">
            <v>4506.6333115719408</v>
          </cell>
          <cell r="E10">
            <v>4045.0273214285717</v>
          </cell>
          <cell r="F10">
            <v>3676.5833333333326</v>
          </cell>
          <cell r="G10">
            <v>3498.2216820276499</v>
          </cell>
          <cell r="H10">
            <v>3464.9128584229393</v>
          </cell>
          <cell r="I10">
            <v>3237.5430209933434</v>
          </cell>
          <cell r="J10">
            <v>3325.7563966135208</v>
          </cell>
          <cell r="K10">
            <v>3123.6676024065546</v>
          </cell>
          <cell r="L10">
            <v>3412.9239823348694</v>
          </cell>
          <cell r="M10">
            <v>3376.5470302099329</v>
          </cell>
          <cell r="N10">
            <v>3694.2616858237539</v>
          </cell>
          <cell r="O10">
            <v>3350.1810418182517</v>
          </cell>
          <cell r="P10">
            <v>3193.9120688736821</v>
          </cell>
          <cell r="Q10">
            <v>3031.5244929963951</v>
          </cell>
          <cell r="R10">
            <v>2844.4458833119847</v>
          </cell>
          <cell r="S10">
            <v>2715.8786603007889</v>
          </cell>
          <cell r="T10">
            <v>2636.1284514003723</v>
          </cell>
          <cell r="U10">
            <v>2566.8420625183112</v>
          </cell>
          <cell r="V10">
            <v>2512.8314971532914</v>
          </cell>
          <cell r="W10">
            <v>2495.9046053920633</v>
          </cell>
          <cell r="X10">
            <v>2486.1824787426904</v>
          </cell>
          <cell r="Y10">
            <v>2490.5083126447157</v>
          </cell>
          <cell r="Z10">
            <v>2507.0351702012654</v>
          </cell>
          <cell r="AA10">
            <v>2530.2048362136698</v>
          </cell>
          <cell r="AB10">
            <v>2557.1329063469057</v>
          </cell>
          <cell r="AC10">
            <v>2587.7690533707728</v>
          </cell>
          <cell r="AD10">
            <v>2624.007422483181</v>
          </cell>
          <cell r="AE10">
            <v>2665.6794373192702</v>
          </cell>
          <cell r="AF10">
            <v>2712.625301073595</v>
          </cell>
          <cell r="AG10">
            <v>2759.8365273536006</v>
          </cell>
          <cell r="AH10">
            <v>2807.5495575596183</v>
          </cell>
          <cell r="AI10">
            <v>2863.3714671264838</v>
          </cell>
          <cell r="AJ10">
            <v>2923.5055539402219</v>
          </cell>
          <cell r="AK10">
            <v>2987.2788545642306</v>
          </cell>
          <cell r="AL10">
            <v>3055.6838440489678</v>
          </cell>
        </row>
        <row r="11">
          <cell r="A11" t="str">
            <v>BC</v>
          </cell>
          <cell r="B11" t="str">
            <v>Conventional Heavy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</row>
        <row r="12">
          <cell r="A12" t="str">
            <v>BC</v>
          </cell>
          <cell r="B12" t="str">
            <v>C5+</v>
          </cell>
          <cell r="C12">
            <v>1430</v>
          </cell>
          <cell r="D12">
            <v>1450</v>
          </cell>
          <cell r="E12">
            <v>1290</v>
          </cell>
          <cell r="F12">
            <v>1170</v>
          </cell>
          <cell r="G12">
            <v>1260</v>
          </cell>
          <cell r="H12">
            <v>1420</v>
          </cell>
          <cell r="I12">
            <v>1780</v>
          </cell>
          <cell r="J12">
            <v>2029.9999999999998</v>
          </cell>
          <cell r="K12">
            <v>2460</v>
          </cell>
          <cell r="L12">
            <v>3010</v>
          </cell>
          <cell r="M12">
            <v>3470</v>
          </cell>
          <cell r="N12">
            <v>4181.2090410958917</v>
          </cell>
          <cell r="O12">
            <v>5720.4719178082196</v>
          </cell>
          <cell r="P12">
            <v>6171.8127176489343</v>
          </cell>
          <cell r="Q12">
            <v>6185.7098534800916</v>
          </cell>
          <cell r="R12">
            <v>6218.8485080231803</v>
          </cell>
          <cell r="S12">
            <v>6290.2660566952936</v>
          </cell>
          <cell r="T12">
            <v>6383.7960240107332</v>
          </cell>
          <cell r="U12">
            <v>6483.9473170782858</v>
          </cell>
          <cell r="V12">
            <v>6592.255194581775</v>
          </cell>
          <cell r="W12">
            <v>6714.4285785093834</v>
          </cell>
          <cell r="X12">
            <v>6866.1000291334549</v>
          </cell>
          <cell r="Y12">
            <v>7015.9348214947486</v>
          </cell>
          <cell r="Z12">
            <v>7173.7338741824651</v>
          </cell>
          <cell r="AA12">
            <v>7358.2578584062649</v>
          </cell>
          <cell r="AB12">
            <v>7567.3842866366404</v>
          </cell>
          <cell r="AC12">
            <v>7797.4339225150725</v>
          </cell>
          <cell r="AD12">
            <v>8050.4500217602235</v>
          </cell>
          <cell r="AE12">
            <v>8313.689293803749</v>
          </cell>
          <cell r="AF12">
            <v>8569.3842659904094</v>
          </cell>
          <cell r="AG12">
            <v>8833.908298953369</v>
          </cell>
          <cell r="AH12">
            <v>9107.4578697135476</v>
          </cell>
          <cell r="AI12">
            <v>9377.8651818586895</v>
          </cell>
          <cell r="AJ12">
            <v>9662.1384838105823</v>
          </cell>
          <cell r="AK12">
            <v>9962.1987864017046</v>
          </cell>
          <cell r="AL12">
            <v>10278.443795525836</v>
          </cell>
        </row>
        <row r="13">
          <cell r="A13" t="str">
            <v>BC</v>
          </cell>
          <cell r="B13" t="str">
            <v>Field Condensate</v>
          </cell>
          <cell r="C13">
            <v>550</v>
          </cell>
          <cell r="D13">
            <v>600</v>
          </cell>
          <cell r="E13">
            <v>660</v>
          </cell>
          <cell r="F13">
            <v>720</v>
          </cell>
          <cell r="G13">
            <v>720</v>
          </cell>
          <cell r="H13">
            <v>790</v>
          </cell>
          <cell r="I13">
            <v>880</v>
          </cell>
          <cell r="J13">
            <v>900</v>
          </cell>
          <cell r="K13">
            <v>960</v>
          </cell>
          <cell r="L13">
            <v>1430</v>
          </cell>
          <cell r="M13">
            <v>1840</v>
          </cell>
          <cell r="N13">
            <v>2536.7909589041078</v>
          </cell>
          <cell r="O13">
            <v>2619.52808219178</v>
          </cell>
          <cell r="P13">
            <v>2854.1890629499831</v>
          </cell>
          <cell r="Q13">
            <v>2888.938799996723</v>
          </cell>
          <cell r="R13">
            <v>2933.1722799933295</v>
          </cell>
          <cell r="S13">
            <v>2996.2317898415486</v>
          </cell>
          <cell r="T13">
            <v>3070.8895209621442</v>
          </cell>
          <cell r="U13">
            <v>3149.9485916081908</v>
          </cell>
          <cell r="V13">
            <v>3234.2739110923139</v>
          </cell>
          <cell r="W13">
            <v>3326.830259901813</v>
          </cell>
          <cell r="X13">
            <v>3435.662610659941</v>
          </cell>
          <cell r="Y13">
            <v>3545.3958023376499</v>
          </cell>
          <cell r="Z13">
            <v>3661.0295972074287</v>
          </cell>
          <cell r="AA13">
            <v>3792.379403918666</v>
          </cell>
          <cell r="AB13">
            <v>3938.7767275903111</v>
          </cell>
          <cell r="AC13">
            <v>4098.6994686564212</v>
          </cell>
          <cell r="AD13">
            <v>4273.5946648852678</v>
          </cell>
          <cell r="AE13">
            <v>4457.0320591251439</v>
          </cell>
          <cell r="AF13">
            <v>4639.5983365720094</v>
          </cell>
          <cell r="AG13">
            <v>4830.1703866145708</v>
          </cell>
          <cell r="AH13">
            <v>5029.0451323321031</v>
          </cell>
          <cell r="AI13">
            <v>5229.6321896102636</v>
          </cell>
          <cell r="AJ13">
            <v>5441.5072979054539</v>
          </cell>
          <cell r="AK13">
            <v>5666.0442199234203</v>
          </cell>
          <cell r="AL13">
            <v>5903.7902514150937</v>
          </cell>
        </row>
        <row r="14">
          <cell r="A14" t="str">
            <v>AB</v>
          </cell>
          <cell r="B14" t="str">
            <v>Conventional Light</v>
          </cell>
          <cell r="C14">
            <v>61608.885781863297</v>
          </cell>
          <cell r="D14">
            <v>59160.558397498877</v>
          </cell>
          <cell r="E14">
            <v>57156.982398125292</v>
          </cell>
          <cell r="F14">
            <v>55079.4261325193</v>
          </cell>
          <cell r="G14">
            <v>50836.217720381457</v>
          </cell>
          <cell r="H14">
            <v>51338.873677928677</v>
          </cell>
          <cell r="I14">
            <v>56341.617267120324</v>
          </cell>
          <cell r="J14">
            <v>65504.216617338796</v>
          </cell>
          <cell r="K14">
            <v>69200.576338328712</v>
          </cell>
          <cell r="L14">
            <v>71051.166299791337</v>
          </cell>
          <cell r="M14">
            <v>64074.35544146796</v>
          </cell>
          <cell r="N14">
            <v>53323.447957963377</v>
          </cell>
          <cell r="O14">
            <v>53315.231226348718</v>
          </cell>
          <cell r="P14">
            <v>54344.354991857785</v>
          </cell>
          <cell r="Q14">
            <v>54996.004427920117</v>
          </cell>
          <cell r="R14">
            <v>55037.075774348006</v>
          </cell>
          <cell r="S14">
            <v>55132.943089922934</v>
          </cell>
          <cell r="T14">
            <v>55490.307298059655</v>
          </cell>
          <cell r="U14">
            <v>56376.75319678121</v>
          </cell>
          <cell r="V14">
            <v>57816.49339958014</v>
          </cell>
          <cell r="W14">
            <v>59672.191047091066</v>
          </cell>
          <cell r="X14">
            <v>61726.585083931328</v>
          </cell>
          <cell r="Y14">
            <v>63797.189353814792</v>
          </cell>
          <cell r="Z14">
            <v>65816.01567189768</v>
          </cell>
          <cell r="AA14">
            <v>67746.256863680916</v>
          </cell>
          <cell r="AB14">
            <v>69572.882765297574</v>
          </cell>
          <cell r="AC14">
            <v>71332.312159089008</v>
          </cell>
          <cell r="AD14">
            <v>73057.938720754828</v>
          </cell>
          <cell r="AE14">
            <v>74825.861940750692</v>
          </cell>
          <cell r="AF14">
            <v>76668.589598701001</v>
          </cell>
          <cell r="AG14">
            <v>78572.110370284645</v>
          </cell>
          <cell r="AH14">
            <v>80517.547191045334</v>
          </cell>
          <cell r="AI14">
            <v>82487.036700780416</v>
          </cell>
          <cell r="AJ14">
            <v>84449.862442022946</v>
          </cell>
          <cell r="AK14">
            <v>86374.69061356262</v>
          </cell>
          <cell r="AL14">
            <v>88286.211139932464</v>
          </cell>
        </row>
        <row r="15">
          <cell r="A15" t="str">
            <v>AB</v>
          </cell>
          <cell r="B15" t="str">
            <v>Conventional Heavy</v>
          </cell>
          <cell r="C15">
            <v>29193.593812990777</v>
          </cell>
          <cell r="D15">
            <v>27160.952141415612</v>
          </cell>
          <cell r="E15">
            <v>26214.863449288954</v>
          </cell>
          <cell r="F15">
            <v>24858.490534147371</v>
          </cell>
          <cell r="G15">
            <v>22446.045407498725</v>
          </cell>
          <cell r="H15">
            <v>21617.565081031888</v>
          </cell>
          <cell r="I15">
            <v>21535.350062628768</v>
          </cell>
          <cell r="J15">
            <v>22936.758509477593</v>
          </cell>
          <cell r="K15">
            <v>23326.349274190499</v>
          </cell>
          <cell r="L15">
            <v>22640.786462625441</v>
          </cell>
          <cell r="M15">
            <v>20228.204740943693</v>
          </cell>
          <cell r="N15">
            <v>17488.412924688299</v>
          </cell>
          <cell r="O15">
            <v>17204.000523056242</v>
          </cell>
          <cell r="P15">
            <v>16181.945772342844</v>
          </cell>
          <cell r="Q15">
            <v>15212.096218158937</v>
          </cell>
          <cell r="R15">
            <v>14340.590948850591</v>
          </cell>
          <cell r="S15">
            <v>13691.771077238567</v>
          </cell>
          <cell r="T15">
            <v>13302.117249484483</v>
          </cell>
          <cell r="U15">
            <v>13197.111921537204</v>
          </cell>
          <cell r="V15">
            <v>13358.18077957497</v>
          </cell>
          <cell r="W15">
            <v>13722.562325986923</v>
          </cell>
          <cell r="X15">
            <v>14212.957832739014</v>
          </cell>
          <cell r="Y15">
            <v>14763.245685002381</v>
          </cell>
          <cell r="Z15">
            <v>15327.957792648214</v>
          </cell>
          <cell r="AA15">
            <v>15880.827548802732</v>
          </cell>
          <cell r="AB15">
            <v>16416.177359269805</v>
          </cell>
          <cell r="AC15">
            <v>16941.963776648918</v>
          </cell>
          <cell r="AD15">
            <v>17467.608482318043</v>
          </cell>
          <cell r="AE15">
            <v>18004.289167385537</v>
          </cell>
          <cell r="AF15">
            <v>18558.31452608803</v>
          </cell>
          <cell r="AG15">
            <v>19128.550324210122</v>
          </cell>
          <cell r="AH15">
            <v>19709.274896045477</v>
          </cell>
          <cell r="AI15">
            <v>20295.781992774628</v>
          </cell>
          <cell r="AJ15">
            <v>20877.528094266749</v>
          </cell>
          <cell r="AK15">
            <v>21444.215638610043</v>
          </cell>
          <cell r="AL15">
            <v>22002.198876531616</v>
          </cell>
        </row>
        <row r="16">
          <cell r="A16" t="str">
            <v>AB</v>
          </cell>
          <cell r="B16" t="str">
            <v>C5+</v>
          </cell>
          <cell r="C16">
            <v>20570</v>
          </cell>
          <cell r="D16">
            <v>21350</v>
          </cell>
          <cell r="E16">
            <v>21260</v>
          </cell>
          <cell r="F16">
            <v>20070</v>
          </cell>
          <cell r="G16">
            <v>18840</v>
          </cell>
          <cell r="H16">
            <v>18330</v>
          </cell>
          <cell r="I16">
            <v>17720</v>
          </cell>
          <cell r="J16">
            <v>17290</v>
          </cell>
          <cell r="K16">
            <v>18160</v>
          </cell>
          <cell r="L16">
            <v>21230</v>
          </cell>
          <cell r="M16">
            <v>26690</v>
          </cell>
          <cell r="N16">
            <v>27711.679452054788</v>
          </cell>
          <cell r="O16">
            <v>33352.013972602741</v>
          </cell>
          <cell r="P16">
            <v>33799.475597628392</v>
          </cell>
          <cell r="Q16">
            <v>33283.953677472775</v>
          </cell>
          <cell r="R16">
            <v>32757.970029941916</v>
          </cell>
          <cell r="S16">
            <v>32309.444778950434</v>
          </cell>
          <cell r="T16">
            <v>31977.121856319958</v>
          </cell>
          <cell r="U16">
            <v>31728.063255560359</v>
          </cell>
          <cell r="V16">
            <v>31601.856218454472</v>
          </cell>
          <cell r="W16">
            <v>31649.799923348935</v>
          </cell>
          <cell r="X16">
            <v>31921.743202630292</v>
          </cell>
          <cell r="Y16">
            <v>32223.652839598253</v>
          </cell>
          <cell r="Z16">
            <v>32566.866415604945</v>
          </cell>
          <cell r="AA16">
            <v>33019.655988281804</v>
          </cell>
          <cell r="AB16">
            <v>33560.272963130054</v>
          </cell>
          <cell r="AC16">
            <v>34209.25945315139</v>
          </cell>
          <cell r="AD16">
            <v>34969.737378364538</v>
          </cell>
          <cell r="AE16">
            <v>35767.72553864029</v>
          </cell>
          <cell r="AF16">
            <v>36552.197669855028</v>
          </cell>
          <cell r="AG16">
            <v>37390.014567405022</v>
          </cell>
          <cell r="AH16">
            <v>38256.076007585369</v>
          </cell>
          <cell r="AI16">
            <v>39151.014533803384</v>
          </cell>
          <cell r="AJ16">
            <v>40106.369644778169</v>
          </cell>
          <cell r="AK16">
            <v>41147.127040596308</v>
          </cell>
          <cell r="AL16">
            <v>42263.782603131316</v>
          </cell>
        </row>
        <row r="17">
          <cell r="A17" t="str">
            <v>AB</v>
          </cell>
          <cell r="B17" t="str">
            <v>Field Condensate</v>
          </cell>
          <cell r="C17">
            <v>1540</v>
          </cell>
          <cell r="D17">
            <v>1750</v>
          </cell>
          <cell r="E17">
            <v>2090</v>
          </cell>
          <cell r="F17">
            <v>2410</v>
          </cell>
          <cell r="G17">
            <v>2180</v>
          </cell>
          <cell r="H17">
            <v>1920</v>
          </cell>
          <cell r="I17">
            <v>1940</v>
          </cell>
          <cell r="J17">
            <v>2000</v>
          </cell>
          <cell r="K17">
            <v>2590</v>
          </cell>
          <cell r="L17">
            <v>3780</v>
          </cell>
          <cell r="M17">
            <v>3730</v>
          </cell>
          <cell r="N17">
            <v>7631.3205479452108</v>
          </cell>
          <cell r="O17">
            <v>9506.986027397259</v>
          </cell>
          <cell r="P17">
            <v>9729.9263236218048</v>
          </cell>
          <cell r="Q17">
            <v>9676.3884951007785</v>
          </cell>
          <cell r="R17">
            <v>9617.7651195465187</v>
          </cell>
          <cell r="S17">
            <v>9579.9993239263003</v>
          </cell>
          <cell r="T17">
            <v>9575.3388882438921</v>
          </cell>
          <cell r="U17">
            <v>9594.8268578011775</v>
          </cell>
          <cell r="V17">
            <v>9651.2812175474337</v>
          </cell>
          <cell r="W17">
            <v>9761.625549052329</v>
          </cell>
          <cell r="X17">
            <v>9942.9801620189628</v>
          </cell>
          <cell r="Y17">
            <v>10136.395359115224</v>
          </cell>
          <cell r="Z17">
            <v>10345.787219417929</v>
          </cell>
          <cell r="AA17">
            <v>10593.486356903124</v>
          </cell>
          <cell r="AB17">
            <v>10873.53232283473</v>
          </cell>
          <cell r="AC17">
            <v>11193.544654554798</v>
          </cell>
          <cell r="AD17">
            <v>11555.670026742375</v>
          </cell>
          <cell r="AE17">
            <v>11936.386795788234</v>
          </cell>
          <cell r="AF17">
            <v>12318.954491755974</v>
          </cell>
          <cell r="AG17">
            <v>12726.084117816144</v>
          </cell>
          <cell r="AH17">
            <v>13149.776602580732</v>
          </cell>
          <cell r="AI17">
            <v>13590.63571365666</v>
          </cell>
          <cell r="AJ17">
            <v>14060.115921872344</v>
          </cell>
          <cell r="AK17">
            <v>14567.796448437941</v>
          </cell>
          <cell r="AL17">
            <v>15111.288909358143</v>
          </cell>
        </row>
        <row r="18">
          <cell r="A18" t="str">
            <v>AB</v>
          </cell>
          <cell r="B18" t="str">
            <v xml:space="preserve">Mined Bitumen </v>
          </cell>
          <cell r="C18">
            <v>99600</v>
          </cell>
          <cell r="D18">
            <v>120900</v>
          </cell>
          <cell r="E18">
            <v>124700</v>
          </cell>
          <cell r="F18">
            <v>114700</v>
          </cell>
          <cell r="G18">
            <v>131200</v>
          </cell>
          <cell r="H18">
            <v>136242.99205479454</v>
          </cell>
          <cell r="I18">
            <v>141899.05890410958</v>
          </cell>
          <cell r="J18">
            <v>148216.19643835619</v>
          </cell>
          <cell r="K18">
            <v>155178.08602739728</v>
          </cell>
          <cell r="L18">
            <v>152653.42301369866</v>
          </cell>
          <cell r="M18">
            <v>184650.64986301371</v>
          </cell>
          <cell r="N18">
            <v>182833.43972602743</v>
          </cell>
          <cell r="O18">
            <v>202815.78219178083</v>
          </cell>
          <cell r="P18">
            <v>234799.82978469165</v>
          </cell>
          <cell r="Q18">
            <v>254156.63379981264</v>
          </cell>
          <cell r="R18">
            <v>259617.83437279184</v>
          </cell>
          <cell r="S18">
            <v>261022.58625520545</v>
          </cell>
          <cell r="T18">
            <v>261826.63235775448</v>
          </cell>
          <cell r="U18">
            <v>261826.61697683489</v>
          </cell>
          <cell r="V18">
            <v>261826.62684564892</v>
          </cell>
          <cell r="W18">
            <v>261826.62716015082</v>
          </cell>
          <cell r="X18">
            <v>261826.62703786089</v>
          </cell>
          <cell r="Y18">
            <v>261826.627032105</v>
          </cell>
          <cell r="Z18">
            <v>261826.62703364203</v>
          </cell>
          <cell r="AA18">
            <v>261826.62703373685</v>
          </cell>
          <cell r="AB18">
            <v>261826.6270337177</v>
          </cell>
          <cell r="AC18">
            <v>261826.62703371618</v>
          </cell>
          <cell r="AD18">
            <v>261826.62703371639</v>
          </cell>
          <cell r="AE18">
            <v>261826.62703371639</v>
          </cell>
          <cell r="AF18">
            <v>261826.62703371639</v>
          </cell>
          <cell r="AG18">
            <v>261826.62703371639</v>
          </cell>
          <cell r="AH18">
            <v>261826.62703371639</v>
          </cell>
          <cell r="AI18">
            <v>261826.62703371639</v>
          </cell>
          <cell r="AJ18">
            <v>261826.62703371639</v>
          </cell>
          <cell r="AK18">
            <v>261826.62703371639</v>
          </cell>
          <cell r="AL18">
            <v>261826.62703371639</v>
          </cell>
        </row>
        <row r="19">
          <cell r="A19" t="str">
            <v>AB</v>
          </cell>
          <cell r="B19" t="str">
            <v xml:space="preserve">In Situ Bitumen </v>
          </cell>
          <cell r="C19">
            <v>69700</v>
          </cell>
          <cell r="D19">
            <v>78500</v>
          </cell>
          <cell r="E19">
            <v>85200</v>
          </cell>
          <cell r="F19">
            <v>92700</v>
          </cell>
          <cell r="G19">
            <v>105500</v>
          </cell>
          <cell r="H19">
            <v>119629.14712328766</v>
          </cell>
          <cell r="I19">
            <v>134719.58268493149</v>
          </cell>
          <cell r="J19">
            <v>157385.20219178079</v>
          </cell>
          <cell r="K19">
            <v>175859.07172602741</v>
          </cell>
          <cell r="L19">
            <v>200748.64076712329</v>
          </cell>
          <cell r="M19">
            <v>216516.94391559192</v>
          </cell>
          <cell r="N19">
            <v>222306.83333061248</v>
          </cell>
          <cell r="O19">
            <v>245914.92329379948</v>
          </cell>
          <cell r="P19">
            <v>261640.34547641588</v>
          </cell>
          <cell r="Q19">
            <v>273757.26348823449</v>
          </cell>
          <cell r="R19">
            <v>283681.48916161514</v>
          </cell>
          <cell r="S19">
            <v>288325.86230611883</v>
          </cell>
          <cell r="T19">
            <v>292682.61261761619</v>
          </cell>
          <cell r="U19">
            <v>305074.30851720634</v>
          </cell>
          <cell r="V19">
            <v>321274.03996566811</v>
          </cell>
          <cell r="W19">
            <v>335609.62472703506</v>
          </cell>
          <cell r="X19">
            <v>347611.63784378621</v>
          </cell>
          <cell r="Y19">
            <v>357438.79739750124</v>
          </cell>
          <cell r="Z19">
            <v>363322.19141001039</v>
          </cell>
          <cell r="AA19">
            <v>374347.36929064599</v>
          </cell>
          <cell r="AB19">
            <v>389463.41547696618</v>
          </cell>
          <cell r="AC19">
            <v>404762.48132987262</v>
          </cell>
          <cell r="AD19">
            <v>415366.21752313961</v>
          </cell>
          <cell r="AE19">
            <v>423553.11931871559</v>
          </cell>
          <cell r="AF19">
            <v>427446.44898418512</v>
          </cell>
          <cell r="AG19">
            <v>431999.06093894248</v>
          </cell>
          <cell r="AH19">
            <v>435121.59766249108</v>
          </cell>
          <cell r="AI19">
            <v>438919.68093110045</v>
          </cell>
          <cell r="AJ19">
            <v>442581.9779715378</v>
          </cell>
          <cell r="AK19">
            <v>445484.32281426439</v>
          </cell>
          <cell r="AL19">
            <v>448409.4473377855</v>
          </cell>
        </row>
        <row r="21">
          <cell r="A21" t="str">
            <v>SK</v>
          </cell>
          <cell r="B21" t="str">
            <v>Conventional Light</v>
          </cell>
          <cell r="C21">
            <v>96.492316484880945</v>
          </cell>
          <cell r="D21">
            <v>679.74809020666567</v>
          </cell>
          <cell r="E21">
            <v>2091.8865299329486</v>
          </cell>
          <cell r="F21">
            <v>6718.4492038985163</v>
          </cell>
          <cell r="G21">
            <v>9701.0385576611534</v>
          </cell>
          <cell r="H21">
            <v>9228.2576536040469</v>
          </cell>
          <cell r="I21">
            <v>9711.9899431634058</v>
          </cell>
          <cell r="J21">
            <v>10965.345709805462</v>
          </cell>
          <cell r="K21">
            <v>11162.071896151936</v>
          </cell>
          <cell r="L21">
            <v>12443.269117385948</v>
          </cell>
          <cell r="M21">
            <v>10860.397371171624</v>
          </cell>
          <cell r="N21">
            <v>9253.1959502336631</v>
          </cell>
          <cell r="O21">
            <v>9004.3643733022636</v>
          </cell>
          <cell r="P21">
            <v>8739.5270246992168</v>
          </cell>
          <cell r="Q21">
            <v>8377.5008372969405</v>
          </cell>
          <cell r="R21">
            <v>8018.114779589715</v>
          </cell>
          <cell r="S21">
            <v>7766.9442812617972</v>
          </cell>
          <cell r="T21">
            <v>7665.9765394823844</v>
          </cell>
          <cell r="U21">
            <v>7748.4300575215393</v>
          </cell>
          <cell r="V21">
            <v>8000.7898016932613</v>
          </cell>
          <cell r="W21">
            <v>8368.4659433098986</v>
          </cell>
          <cell r="X21">
            <v>8791.8719613311277</v>
          </cell>
          <cell r="Y21">
            <v>9231.0009376267335</v>
          </cell>
          <cell r="Z21">
            <v>9668.5416816687484</v>
          </cell>
          <cell r="AA21">
            <v>10095.187858776337</v>
          </cell>
          <cell r="AB21">
            <v>10510.915120728312</v>
          </cell>
          <cell r="AC21">
            <v>10923.834870976349</v>
          </cell>
          <cell r="AD21">
            <v>11340.837647825225</v>
          </cell>
          <cell r="AE21">
            <v>11768.927105044848</v>
          </cell>
          <cell r="AF21">
            <v>12210.966076182011</v>
          </cell>
          <cell r="AG21">
            <v>12663.956092608158</v>
          </cell>
          <cell r="AH21">
            <v>13122.034974895772</v>
          </cell>
          <cell r="AI21">
            <v>13584.69199098247</v>
          </cell>
          <cell r="AJ21">
            <v>14044.582809797481</v>
          </cell>
          <cell r="AK21">
            <v>14499.394008949937</v>
          </cell>
          <cell r="AL21">
            <v>14948.629024810287</v>
          </cell>
        </row>
        <row r="22">
          <cell r="A22" t="str">
            <v>SK</v>
          </cell>
          <cell r="B22" t="str">
            <v>Conventional Heavy</v>
          </cell>
          <cell r="C22">
            <v>66520.777872327206</v>
          </cell>
          <cell r="D22">
            <v>67372.372664401628</v>
          </cell>
          <cell r="E22">
            <v>65879.084796231924</v>
          </cell>
          <cell r="F22">
            <v>63127.050796101496</v>
          </cell>
          <cell r="G22">
            <v>57738.111714996281</v>
          </cell>
          <cell r="H22">
            <v>57927.210582443062</v>
          </cell>
          <cell r="I22">
            <v>58235.193228879602</v>
          </cell>
          <cell r="J22">
            <v>63998.916429851473</v>
          </cell>
          <cell r="K22">
            <v>65898.730391354446</v>
          </cell>
          <cell r="L22">
            <v>76109.268382614042</v>
          </cell>
          <cell r="M22">
            <v>66480.901538198566</v>
          </cell>
          <cell r="N22">
            <v>63793.965540929341</v>
          </cell>
          <cell r="O22">
            <v>68379.877899827276</v>
          </cell>
          <cell r="P22">
            <v>72337.115301320446</v>
          </cell>
          <cell r="Q22">
            <v>75820.638355525662</v>
          </cell>
          <cell r="R22">
            <v>77742.434902051915</v>
          </cell>
          <cell r="S22">
            <v>79139.724413354372</v>
          </cell>
          <cell r="T22">
            <v>80518.733717399271</v>
          </cell>
          <cell r="U22">
            <v>81980.968244631498</v>
          </cell>
          <cell r="V22">
            <v>83490.587370421126</v>
          </cell>
          <cell r="W22">
            <v>84860.799530502176</v>
          </cell>
          <cell r="X22">
            <v>86183.853381908979</v>
          </cell>
          <cell r="Y22">
            <v>87445.725910395791</v>
          </cell>
          <cell r="Z22">
            <v>88570.688200091274</v>
          </cell>
          <cell r="AA22">
            <v>89489.403859124548</v>
          </cell>
          <cell r="AB22">
            <v>90285.718488411119</v>
          </cell>
          <cell r="AC22">
            <v>91050.721146838143</v>
          </cell>
          <cell r="AD22">
            <v>91831.009306895256</v>
          </cell>
          <cell r="AE22">
            <v>92605.096866735053</v>
          </cell>
          <cell r="AF22">
            <v>93445.531595482287</v>
          </cell>
          <cell r="AG22">
            <v>94410.705174145391</v>
          </cell>
          <cell r="AH22">
            <v>95272.036466664242</v>
          </cell>
          <cell r="AI22">
            <v>96330.590773348187</v>
          </cell>
          <cell r="AJ22">
            <v>97319.185380825293</v>
          </cell>
          <cell r="AK22">
            <v>98397.269986975662</v>
          </cell>
          <cell r="AL22">
            <v>99473.69054764758</v>
          </cell>
        </row>
        <row r="23">
          <cell r="A23" t="str">
            <v>SK</v>
          </cell>
          <cell r="B23" t="str">
            <v>C5+</v>
          </cell>
          <cell r="C23">
            <v>90</v>
          </cell>
          <cell r="D23">
            <v>100</v>
          </cell>
          <cell r="E23">
            <v>100</v>
          </cell>
          <cell r="F23">
            <v>120</v>
          </cell>
          <cell r="G23">
            <v>170</v>
          </cell>
          <cell r="H23">
            <v>100</v>
          </cell>
          <cell r="I23">
            <v>100</v>
          </cell>
          <cell r="J23">
            <v>100</v>
          </cell>
          <cell r="K23">
            <v>100</v>
          </cell>
          <cell r="L23">
            <v>100</v>
          </cell>
          <cell r="M23">
            <v>100</v>
          </cell>
          <cell r="N23">
            <v>100</v>
          </cell>
          <cell r="O23">
            <v>100</v>
          </cell>
          <cell r="P23">
            <v>100</v>
          </cell>
          <cell r="Q23">
            <v>100</v>
          </cell>
          <cell r="R23">
            <v>100</v>
          </cell>
          <cell r="S23">
            <v>100</v>
          </cell>
          <cell r="T23">
            <v>100</v>
          </cell>
          <cell r="U23">
            <v>100</v>
          </cell>
          <cell r="V23">
            <v>100</v>
          </cell>
          <cell r="W23">
            <v>100</v>
          </cell>
          <cell r="X23">
            <v>100</v>
          </cell>
          <cell r="Y23">
            <v>100</v>
          </cell>
          <cell r="Z23">
            <v>100</v>
          </cell>
          <cell r="AA23">
            <v>100</v>
          </cell>
          <cell r="AB23">
            <v>100</v>
          </cell>
          <cell r="AC23">
            <v>100</v>
          </cell>
          <cell r="AD23">
            <v>100</v>
          </cell>
          <cell r="AE23">
            <v>100</v>
          </cell>
          <cell r="AF23">
            <v>100</v>
          </cell>
          <cell r="AG23">
            <v>100</v>
          </cell>
          <cell r="AH23">
            <v>100</v>
          </cell>
          <cell r="AI23">
            <v>100</v>
          </cell>
          <cell r="AJ23">
            <v>100</v>
          </cell>
          <cell r="AK23">
            <v>100</v>
          </cell>
          <cell r="AL23">
            <v>100</v>
          </cell>
        </row>
        <row r="24">
          <cell r="A24" t="str">
            <v>MB</v>
          </cell>
          <cell r="B24" t="str">
            <v>Conventional Light</v>
          </cell>
          <cell r="C24">
            <v>2203.4851382488482</v>
          </cell>
          <cell r="D24">
            <v>3398.1617415514593</v>
          </cell>
          <cell r="E24">
            <v>3531.5109030977987</v>
          </cell>
          <cell r="F24">
            <v>3746.5833333333339</v>
          </cell>
          <cell r="G24">
            <v>4116.2247580645162</v>
          </cell>
          <cell r="H24">
            <v>4763.6846684587817</v>
          </cell>
          <cell r="I24">
            <v>6462.2715092165899</v>
          </cell>
          <cell r="J24">
            <v>8094.5645528982814</v>
          </cell>
          <cell r="K24">
            <v>8262.7367191500271</v>
          </cell>
          <cell r="L24">
            <v>7781.3506688428042</v>
          </cell>
          <cell r="M24">
            <v>7282.7969105222728</v>
          </cell>
          <cell r="N24">
            <v>6380.9985653812873</v>
          </cell>
          <cell r="O24">
            <v>5830.8193436537013</v>
          </cell>
          <cell r="P24">
            <v>5370.0572684063036</v>
          </cell>
          <cell r="Q24">
            <v>4909.8505699488514</v>
          </cell>
          <cell r="R24">
            <v>4484.1674747578072</v>
          </cell>
          <cell r="S24">
            <v>4121.1452642990935</v>
          </cell>
          <cell r="T24">
            <v>3826.9191742644898</v>
          </cell>
          <cell r="U24">
            <v>3600.441837935316</v>
          </cell>
          <cell r="V24">
            <v>3421.5791860090576</v>
          </cell>
          <cell r="W24">
            <v>3274.4085959379704</v>
          </cell>
          <cell r="X24">
            <v>3165.0330486350226</v>
          </cell>
          <cell r="Y24">
            <v>3082.8214148488419</v>
          </cell>
          <cell r="Z24">
            <v>3018.6353249249978</v>
          </cell>
          <cell r="AA24">
            <v>2967.1504418326062</v>
          </cell>
          <cell r="AB24">
            <v>2925.086876904521</v>
          </cell>
          <cell r="AC24">
            <v>2891.5776481003336</v>
          </cell>
          <cell r="AD24">
            <v>2866.7694282492457</v>
          </cell>
          <cell r="AE24">
            <v>2851.6550502196901</v>
          </cell>
          <cell r="AF24">
            <v>2846.6252916602762</v>
          </cell>
          <cell r="AG24">
            <v>2851.0058895152529</v>
          </cell>
          <cell r="AH24">
            <v>2860.3662810300943</v>
          </cell>
          <cell r="AI24">
            <v>2860.8240830031282</v>
          </cell>
          <cell r="AJ24">
            <v>2863.5630399055535</v>
          </cell>
          <cell r="AK24">
            <v>2872.569884495726</v>
          </cell>
          <cell r="AL24">
            <v>2885.8934506431474</v>
          </cell>
        </row>
        <row r="25">
          <cell r="A25" t="str">
            <v>ON</v>
          </cell>
          <cell r="B25" t="str">
            <v>Conventional Light</v>
          </cell>
          <cell r="C25">
            <v>380</v>
          </cell>
          <cell r="D25">
            <v>340</v>
          </cell>
          <cell r="E25">
            <v>300</v>
          </cell>
          <cell r="F25">
            <v>270</v>
          </cell>
          <cell r="G25">
            <v>250</v>
          </cell>
          <cell r="H25">
            <v>240</v>
          </cell>
          <cell r="I25">
            <v>220</v>
          </cell>
          <cell r="J25">
            <v>220</v>
          </cell>
          <cell r="K25">
            <v>200</v>
          </cell>
          <cell r="L25">
            <v>190</v>
          </cell>
          <cell r="M25">
            <v>157.3838965693806</v>
          </cell>
          <cell r="N25">
            <v>155.15005760368666</v>
          </cell>
          <cell r="O25">
            <v>94</v>
          </cell>
          <cell r="P25">
            <v>124</v>
          </cell>
          <cell r="Q25">
            <v>129</v>
          </cell>
          <cell r="R25">
            <v>135</v>
          </cell>
          <cell r="S25">
            <v>147.54616102251788</v>
          </cell>
          <cell r="T25">
            <v>146.0706994122927</v>
          </cell>
          <cell r="U25">
            <v>144.60999241816978</v>
          </cell>
          <cell r="V25">
            <v>143.16389249398807</v>
          </cell>
          <cell r="W25">
            <v>141.7322535690482</v>
          </cell>
          <cell r="X25">
            <v>138.91178172302412</v>
          </cell>
          <cell r="Y25">
            <v>136.13354608856363</v>
          </cell>
          <cell r="Z25">
            <v>132.02175734956211</v>
          </cell>
          <cell r="AA25">
            <v>129.34006540339914</v>
          </cell>
          <cell r="AB25">
            <v>126.69880512042445</v>
          </cell>
          <cell r="AC25">
            <v>124.09743603656895</v>
          </cell>
          <cell r="AD25">
            <v>121.53542445387848</v>
          </cell>
          <cell r="AE25">
            <v>120.32007020933968</v>
          </cell>
          <cell r="AF25">
            <v>117.82212092564578</v>
          </cell>
          <cell r="AG25">
            <v>115.36209862060481</v>
          </cell>
          <cell r="AH25">
            <v>114.20847763439876</v>
          </cell>
          <cell r="AI25">
            <v>111.81009960407638</v>
          </cell>
          <cell r="AJ25">
            <v>109.44826828659701</v>
          </cell>
          <cell r="AK25">
            <v>108.35378560373104</v>
          </cell>
          <cell r="AL25">
            <v>106.05126765965176</v>
          </cell>
        </row>
        <row r="26">
          <cell r="A26" t="str">
            <v>NB</v>
          </cell>
          <cell r="B26" t="str">
            <v>Conventional Light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</row>
        <row r="27">
          <cell r="A27" t="str">
            <v>NS</v>
          </cell>
          <cell r="B27" t="str">
            <v>Conventional Light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</row>
        <row r="28">
          <cell r="A28" t="str">
            <v>NS</v>
          </cell>
          <cell r="B28" t="str">
            <v>C5+</v>
          </cell>
          <cell r="C28">
            <v>2050</v>
          </cell>
          <cell r="D28">
            <v>1910</v>
          </cell>
          <cell r="E28">
            <v>1890</v>
          </cell>
          <cell r="F28">
            <v>1750</v>
          </cell>
          <cell r="G28">
            <v>1130</v>
          </cell>
          <cell r="H28">
            <v>1070</v>
          </cell>
          <cell r="I28">
            <v>860</v>
          </cell>
          <cell r="J28">
            <v>580</v>
          </cell>
          <cell r="K28">
            <v>330</v>
          </cell>
          <cell r="L28">
            <v>460</v>
          </cell>
          <cell r="M28">
            <v>439.2230136986301</v>
          </cell>
          <cell r="N28">
            <v>416.31040165903886</v>
          </cell>
          <cell r="O28">
            <v>312</v>
          </cell>
          <cell r="P28">
            <v>302</v>
          </cell>
          <cell r="Q28">
            <v>287</v>
          </cell>
          <cell r="R28">
            <v>223</v>
          </cell>
          <cell r="S28">
            <v>201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</row>
        <row r="29">
          <cell r="A29" t="str">
            <v>NL</v>
          </cell>
          <cell r="B29" t="str">
            <v>Conventional Light</v>
          </cell>
          <cell r="C29">
            <v>48470</v>
          </cell>
          <cell r="D29">
            <v>48280</v>
          </cell>
          <cell r="E29">
            <v>58580</v>
          </cell>
          <cell r="F29">
            <v>54550</v>
          </cell>
          <cell r="G29">
            <v>42550</v>
          </cell>
          <cell r="H29">
            <v>43850</v>
          </cell>
          <cell r="I29">
            <v>42140</v>
          </cell>
          <cell r="J29">
            <v>31430</v>
          </cell>
          <cell r="K29">
            <v>36870</v>
          </cell>
          <cell r="L29">
            <v>34340</v>
          </cell>
          <cell r="M29">
            <v>27348</v>
          </cell>
          <cell r="N29">
            <v>33334</v>
          </cell>
          <cell r="O29">
            <v>34760</v>
          </cell>
          <cell r="P29">
            <v>29943.074179243024</v>
          </cell>
          <cell r="Q29">
            <v>29968.449411092381</v>
          </cell>
          <cell r="R29">
            <v>23373.788212816609</v>
          </cell>
          <cell r="S29">
            <v>23819.012558388451</v>
          </cell>
          <cell r="T29">
            <v>23313.191624099385</v>
          </cell>
          <cell r="U29">
            <v>26668.918521480115</v>
          </cell>
          <cell r="V29">
            <v>26008.9765202526</v>
          </cell>
          <cell r="W29">
            <v>25222.764641027643</v>
          </cell>
          <cell r="X29">
            <v>23101.052005617599</v>
          </cell>
          <cell r="Y29">
            <v>21315.528468139553</v>
          </cell>
          <cell r="Z29">
            <v>21681.60127746845</v>
          </cell>
          <cell r="AA29">
            <v>23300.590956273947</v>
          </cell>
          <cell r="AB29">
            <v>24076.950049990723</v>
          </cell>
          <cell r="AC29">
            <v>23137.625187581332</v>
          </cell>
          <cell r="AD29">
            <v>21049.226018957255</v>
          </cell>
          <cell r="AE29">
            <v>20814.4868804742</v>
          </cell>
          <cell r="AF29">
            <v>21338.511891331935</v>
          </cell>
          <cell r="AG29">
            <v>21932.292189439086</v>
          </cell>
          <cell r="AH29">
            <v>21297.828854384661</v>
          </cell>
          <cell r="AI29">
            <v>19497.05124591013</v>
          </cell>
          <cell r="AJ29">
            <v>17366.596586755739</v>
          </cell>
          <cell r="AK29">
            <v>15311.287004554253</v>
          </cell>
          <cell r="AL29">
            <v>13151.710854170984</v>
          </cell>
        </row>
        <row r="30">
          <cell r="A30" t="str">
            <v>NL</v>
          </cell>
          <cell r="B30" t="str">
            <v>Conventional Heavy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336</v>
          </cell>
          <cell r="P30">
            <v>7773.7079864464204</v>
          </cell>
          <cell r="Q30">
            <v>12503.100257559858</v>
          </cell>
          <cell r="R30">
            <v>19087.093389296962</v>
          </cell>
          <cell r="S30">
            <v>22161.594963273878</v>
          </cell>
          <cell r="T30">
            <v>23578.492161912942</v>
          </cell>
          <cell r="U30">
            <v>22577.506438996472</v>
          </cell>
          <cell r="V30">
            <v>22482.113898693122</v>
          </cell>
          <cell r="W30">
            <v>21266.494960094125</v>
          </cell>
          <cell r="X30">
            <v>19185.347705809403</v>
          </cell>
          <cell r="Y30">
            <v>17408.184679958027</v>
          </cell>
          <cell r="Z30">
            <v>14795.38300104932</v>
          </cell>
          <cell r="AA30">
            <v>12418.677859391399</v>
          </cell>
          <cell r="AB30">
            <v>10561.385099685205</v>
          </cell>
          <cell r="AC30">
            <v>9239.2444910807972</v>
          </cell>
          <cell r="AD30">
            <v>8326.3378803777541</v>
          </cell>
          <cell r="AE30">
            <v>7098.6358866736628</v>
          </cell>
          <cell r="AF30">
            <v>6059.8111227701993</v>
          </cell>
          <cell r="AG30">
            <v>5461.6998950682064</v>
          </cell>
          <cell r="AH30">
            <v>5020.9863588667367</v>
          </cell>
          <cell r="AI30">
            <v>5027.2391438715522</v>
          </cell>
          <cell r="AJ30">
            <v>4696.7039917204502</v>
          </cell>
          <cell r="AK30">
            <v>4240.8975261970136</v>
          </cell>
          <cell r="AL30">
            <v>3839.3855469354762</v>
          </cell>
        </row>
        <row r="31">
          <cell r="A31" t="str">
            <v>NWT</v>
          </cell>
          <cell r="B31" t="str">
            <v>Conventional Light</v>
          </cell>
          <cell r="C31">
            <v>2990</v>
          </cell>
          <cell r="D31">
            <v>2970</v>
          </cell>
          <cell r="E31">
            <v>2790</v>
          </cell>
          <cell r="F31">
            <v>2580</v>
          </cell>
          <cell r="G31">
            <v>2470</v>
          </cell>
          <cell r="H31">
            <v>2390</v>
          </cell>
          <cell r="I31">
            <v>1670</v>
          </cell>
          <cell r="J31">
            <v>2070</v>
          </cell>
          <cell r="K31">
            <v>1960</v>
          </cell>
          <cell r="L31">
            <v>1690</v>
          </cell>
          <cell r="M31">
            <v>1576</v>
          </cell>
          <cell r="N31">
            <v>1428</v>
          </cell>
          <cell r="O31">
            <v>54</v>
          </cell>
          <cell r="P31">
            <v>100</v>
          </cell>
          <cell r="Q31">
            <v>1212.9230769230767</v>
          </cell>
          <cell r="R31">
            <v>1305.840579710145</v>
          </cell>
          <cell r="S31">
            <v>1321.7941381236001</v>
          </cell>
          <cell r="T31">
            <v>1282.140313979892</v>
          </cell>
          <cell r="U31">
            <v>1243.6761045604951</v>
          </cell>
          <cell r="V31">
            <v>1206.3658214236802</v>
          </cell>
          <cell r="W31">
            <v>1170.1748467809698</v>
          </cell>
          <cell r="X31">
            <v>1123.7064525335761</v>
          </cell>
          <cell r="Y31">
            <v>1078.9757255694858</v>
          </cell>
          <cell r="Z31">
            <v>1025.2675084186831</v>
          </cell>
          <cell r="AA31">
            <v>984.15000938314199</v>
          </cell>
          <cell r="AB31">
            <v>944.57681953215661</v>
          </cell>
          <cell r="AC31">
            <v>906.49228606378574</v>
          </cell>
          <cell r="AD31">
            <v>869.84270546593802</v>
          </cell>
          <cell r="AE31">
            <v>843.74742430195988</v>
          </cell>
          <cell r="AF31">
            <v>809.53896894710874</v>
          </cell>
          <cell r="AG31">
            <v>776.62364823167684</v>
          </cell>
          <cell r="AH31">
            <v>753.32493878472644</v>
          </cell>
          <cell r="AI31">
            <v>722.60602183650474</v>
          </cell>
          <cell r="AJ31">
            <v>693.05224746027022</v>
          </cell>
          <cell r="AK31">
            <v>672.26068003646208</v>
          </cell>
          <cell r="AL31">
            <v>644.57124475314788</v>
          </cell>
        </row>
      </sheetData>
      <sheetData sheetId="7">
        <row r="2">
          <cell r="B2" t="str">
            <v>Conventional Light</v>
          </cell>
          <cell r="C2">
            <v>120393.94465812801</v>
          </cell>
          <cell r="D2">
            <v>119335.10154082894</v>
          </cell>
          <cell r="E2">
            <v>128495.40715258461</v>
          </cell>
          <cell r="F2">
            <v>126621.04200308448</v>
          </cell>
          <cell r="G2">
            <v>113421.70271813478</v>
          </cell>
          <cell r="H2">
            <v>115275.72885841444</v>
          </cell>
          <cell r="I2">
            <v>119783.42174049366</v>
          </cell>
          <cell r="J2">
            <v>121609.88327665607</v>
          </cell>
          <cell r="K2">
            <v>130779.05255603722</v>
          </cell>
          <cell r="L2">
            <v>130908.71006835497</v>
          </cell>
          <cell r="M2">
            <v>114675.48064994118</v>
          </cell>
          <cell r="N2">
            <v>107569.05421700577</v>
          </cell>
          <cell r="O2">
            <v>106408.59598512293</v>
          </cell>
          <cell r="P2">
            <v>102117.39161406262</v>
          </cell>
          <cell r="Q2">
            <v>104344.22985776157</v>
          </cell>
          <cell r="R2">
            <v>99946.667115910997</v>
          </cell>
          <cell r="S2">
            <v>104689.77252582119</v>
          </cell>
          <cell r="T2">
            <v>108001.50132929854</v>
          </cell>
          <cell r="U2">
            <v>119938.08371217751</v>
          </cell>
          <cell r="V2">
            <v>129972.08714917843</v>
          </cell>
          <cell r="W2">
            <v>139277.29801817157</v>
          </cell>
          <cell r="X2">
            <v>148182.88841923504</v>
          </cell>
          <cell r="Y2">
            <v>158279.52058449667</v>
          </cell>
          <cell r="Z2">
            <v>164586.39403720622</v>
          </cell>
          <cell r="AA2">
            <v>171498.86556431939</v>
          </cell>
          <cell r="AB2">
            <v>176541.24176947473</v>
          </cell>
          <cell r="AC2">
            <v>180541.988389715</v>
          </cell>
          <cell r="AD2">
            <v>184591.75862665908</v>
          </cell>
          <cell r="AE2">
            <v>191308.44168159823</v>
          </cell>
          <cell r="AF2">
            <v>195373.96853774282</v>
          </cell>
          <cell r="AG2">
            <v>200240.79643194657</v>
          </cell>
          <cell r="AH2">
            <v>205428.00478350875</v>
          </cell>
          <cell r="AI2">
            <v>208931.82213707306</v>
          </cell>
          <cell r="AJ2">
            <v>209160.6035063219</v>
          </cell>
          <cell r="AK2">
            <v>210531.61513357155</v>
          </cell>
          <cell r="AL2">
            <v>210768.79175762302</v>
          </cell>
        </row>
        <row r="3">
          <cell r="B3" t="str">
            <v>Conventional Heavy</v>
          </cell>
          <cell r="C3">
            <v>95714.371685317979</v>
          </cell>
          <cell r="D3">
            <v>94533.324805817247</v>
          </cell>
          <cell r="E3">
            <v>92093.948245520878</v>
          </cell>
          <cell r="F3">
            <v>87985.541330248874</v>
          </cell>
          <cell r="G3">
            <v>80184.157122495002</v>
          </cell>
          <cell r="H3">
            <v>79544.775663474953</v>
          </cell>
          <cell r="I3">
            <v>79770.543291508366</v>
          </cell>
          <cell r="J3">
            <v>86935.674939329067</v>
          </cell>
          <cell r="K3">
            <v>89225.079665544938</v>
          </cell>
          <cell r="L3">
            <v>98750.054845239487</v>
          </cell>
          <cell r="M3">
            <v>86709.106279142259</v>
          </cell>
          <cell r="N3">
            <v>81282.378465617643</v>
          </cell>
          <cell r="O3">
            <v>85919.878422883514</v>
          </cell>
          <cell r="P3">
            <v>96369.73646591611</v>
          </cell>
          <cell r="Q3">
            <v>105022.61164423369</v>
          </cell>
          <cell r="R3">
            <v>115855.94313284609</v>
          </cell>
          <cell r="S3">
            <v>124738.39194470838</v>
          </cell>
          <cell r="T3">
            <v>131534.73498324875</v>
          </cell>
          <cell r="U3">
            <v>139946.6522674484</v>
          </cell>
          <cell r="V3">
            <v>149138.02407883841</v>
          </cell>
          <cell r="W3">
            <v>157695.1334625005</v>
          </cell>
          <cell r="X3">
            <v>163705.75745292861</v>
          </cell>
          <cell r="Y3">
            <v>169089.55745304364</v>
          </cell>
          <cell r="Z3">
            <v>173183.52844842049</v>
          </cell>
          <cell r="AA3">
            <v>176888.20270259111</v>
          </cell>
          <cell r="AB3">
            <v>180703.15096444404</v>
          </cell>
          <cell r="AC3">
            <v>184731.54919326631</v>
          </cell>
          <cell r="AD3">
            <v>188812.46103040967</v>
          </cell>
          <cell r="AE3">
            <v>192049.39641870136</v>
          </cell>
          <cell r="AF3">
            <v>195009.22684353092</v>
          </cell>
          <cell r="AG3">
            <v>198066.76774403217</v>
          </cell>
          <cell r="AH3">
            <v>200484.50987379489</v>
          </cell>
          <cell r="AI3">
            <v>202944.78436252722</v>
          </cell>
          <cell r="AJ3">
            <v>204226.94947267708</v>
          </cell>
          <cell r="AK3">
            <v>204970.16999945277</v>
          </cell>
          <cell r="AL3">
            <v>205274.69302214662</v>
          </cell>
        </row>
        <row r="4">
          <cell r="B4" t="str">
            <v>C5+</v>
          </cell>
          <cell r="C4">
            <v>24140</v>
          </cell>
          <cell r="D4">
            <v>24810</v>
          </cell>
          <cell r="E4">
            <v>24540</v>
          </cell>
          <cell r="F4">
            <v>23110</v>
          </cell>
          <cell r="G4">
            <v>21400</v>
          </cell>
          <cell r="H4">
            <v>20920</v>
          </cell>
          <cell r="I4">
            <v>20460</v>
          </cell>
          <cell r="J4">
            <v>20000</v>
          </cell>
          <cell r="K4">
            <v>21050</v>
          </cell>
          <cell r="L4">
            <v>24800</v>
          </cell>
          <cell r="M4">
            <v>30699.223013698629</v>
          </cell>
          <cell r="N4">
            <v>32409.198894809721</v>
          </cell>
          <cell r="O4">
            <v>39484.485890410957</v>
          </cell>
          <cell r="P4">
            <v>40589.192108215597</v>
          </cell>
          <cell r="Q4">
            <v>40724.696288375359</v>
          </cell>
          <cell r="R4">
            <v>41217.173677214261</v>
          </cell>
          <cell r="S4">
            <v>41820.105848391388</v>
          </cell>
          <cell r="T4">
            <v>42328.063992321899</v>
          </cell>
          <cell r="U4">
            <v>43311.418019616394</v>
          </cell>
          <cell r="V4">
            <v>44620.318907746747</v>
          </cell>
          <cell r="W4">
            <v>46256.267912255978</v>
          </cell>
          <cell r="X4">
            <v>48112.051521013447</v>
          </cell>
          <cell r="Y4">
            <v>50104.993653582947</v>
          </cell>
          <cell r="Z4">
            <v>52206.563828087295</v>
          </cell>
          <cell r="AA4">
            <v>54384.835429952669</v>
          </cell>
          <cell r="AB4">
            <v>56750.877610585339</v>
          </cell>
          <cell r="AC4">
            <v>59308.18808437376</v>
          </cell>
          <cell r="AD4">
            <v>61927.85626562564</v>
          </cell>
          <cell r="AE4">
            <v>64639.735242906885</v>
          </cell>
          <cell r="AF4">
            <v>67499.322789926373</v>
          </cell>
          <cell r="AG4">
            <v>70496.739642814675</v>
          </cell>
          <cell r="AH4">
            <v>73630.816962372191</v>
          </cell>
          <cell r="AI4">
            <v>76921.663567396812</v>
          </cell>
          <cell r="AJ4">
            <v>80386.25999701304</v>
          </cell>
          <cell r="AK4">
            <v>83972.05758529884</v>
          </cell>
          <cell r="AL4">
            <v>87669.072206648576</v>
          </cell>
        </row>
        <row r="5">
          <cell r="B5" t="str">
            <v>Field Condensate</v>
          </cell>
          <cell r="C5">
            <v>2090</v>
          </cell>
          <cell r="D5">
            <v>2350</v>
          </cell>
          <cell r="E5">
            <v>2750</v>
          </cell>
          <cell r="F5">
            <v>3130</v>
          </cell>
          <cell r="G5">
            <v>2900</v>
          </cell>
          <cell r="H5">
            <v>2710</v>
          </cell>
          <cell r="I5">
            <v>2820</v>
          </cell>
          <cell r="J5">
            <v>2900</v>
          </cell>
          <cell r="K5">
            <v>3550</v>
          </cell>
          <cell r="L5">
            <v>5210</v>
          </cell>
          <cell r="M5">
            <v>5570</v>
          </cell>
          <cell r="N5">
            <v>10168.111506849318</v>
          </cell>
          <cell r="O5">
            <v>12126.514109589039</v>
          </cell>
          <cell r="P5">
            <v>12648.110926962849</v>
          </cell>
          <cell r="Q5">
            <v>12838.970775567706</v>
          </cell>
          <cell r="R5">
            <v>13152.384885359757</v>
          </cell>
          <cell r="S5">
            <v>13517.179526198008</v>
          </cell>
          <cell r="T5">
            <v>13925.131835586748</v>
          </cell>
          <cell r="U5">
            <v>14411.540030345168</v>
          </cell>
          <cell r="V5">
            <v>15012.32721196644</v>
          </cell>
          <cell r="W5">
            <v>15733.722235004228</v>
          </cell>
          <cell r="X5">
            <v>16543.396270370678</v>
          </cell>
          <cell r="Y5">
            <v>17414.221494120786</v>
          </cell>
          <cell r="Z5">
            <v>18339.357420243599</v>
          </cell>
          <cell r="AA5">
            <v>19309.482573818652</v>
          </cell>
          <cell r="AB5">
            <v>20365.721103359378</v>
          </cell>
          <cell r="AC5">
            <v>21509.986418115215</v>
          </cell>
          <cell r="AD5">
            <v>22700.105924181658</v>
          </cell>
          <cell r="AE5">
            <v>23947.797415235742</v>
          </cell>
          <cell r="AF5">
            <v>25273.582495356364</v>
          </cell>
          <cell r="AG5">
            <v>26674.964976037256</v>
          </cell>
          <cell r="AH5">
            <v>28154.16914920447</v>
          </cell>
          <cell r="AI5">
            <v>29720.556328680887</v>
          </cell>
          <cell r="AJ5">
            <v>31382.736874854643</v>
          </cell>
          <cell r="AK5">
            <v>33126.70926935679</v>
          </cell>
          <cell r="AL5">
            <v>34950.062330565124</v>
          </cell>
        </row>
        <row r="6">
          <cell r="B6" t="str">
            <v xml:space="preserve">Mined Bitumen </v>
          </cell>
          <cell r="C6">
            <v>99600</v>
          </cell>
          <cell r="D6">
            <v>120900</v>
          </cell>
          <cell r="E6">
            <v>124700</v>
          </cell>
          <cell r="F6">
            <v>114700</v>
          </cell>
          <cell r="G6">
            <v>131200</v>
          </cell>
          <cell r="H6">
            <v>136242.99205479454</v>
          </cell>
          <cell r="I6">
            <v>141899.05890410958</v>
          </cell>
          <cell r="J6">
            <v>148216.19643835619</v>
          </cell>
          <cell r="K6">
            <v>155178.08602739728</v>
          </cell>
          <cell r="L6">
            <v>152653.42301369866</v>
          </cell>
          <cell r="M6">
            <v>184650.64986301371</v>
          </cell>
          <cell r="N6">
            <v>182833.43972602743</v>
          </cell>
          <cell r="O6">
            <v>202815.78219178083</v>
          </cell>
          <cell r="P6">
            <v>234799.82978469165</v>
          </cell>
          <cell r="Q6">
            <v>255498.09139782851</v>
          </cell>
          <cell r="R6">
            <v>264148.97687696363</v>
          </cell>
          <cell r="S6">
            <v>265762.39362081629</v>
          </cell>
          <cell r="T6">
            <v>270713.36543377477</v>
          </cell>
          <cell r="U6">
            <v>277741.92541826161</v>
          </cell>
          <cell r="V6">
            <v>279116.51529491914</v>
          </cell>
          <cell r="W6">
            <v>281799.43080545263</v>
          </cell>
          <cell r="X6">
            <v>287019.52247198479</v>
          </cell>
          <cell r="Y6">
            <v>291007.46060946607</v>
          </cell>
          <cell r="Z6">
            <v>291040.58302083064</v>
          </cell>
          <cell r="AA6">
            <v>291040.58302092546</v>
          </cell>
          <cell r="AB6">
            <v>296406.41341296962</v>
          </cell>
          <cell r="AC6">
            <v>299625.91164820618</v>
          </cell>
          <cell r="AD6">
            <v>299625.91164820635</v>
          </cell>
          <cell r="AE6">
            <v>299625.91164820635</v>
          </cell>
          <cell r="AF6">
            <v>299625.91164820635</v>
          </cell>
          <cell r="AG6">
            <v>299625.91164820635</v>
          </cell>
          <cell r="AH6">
            <v>299625.91164820635</v>
          </cell>
          <cell r="AI6">
            <v>299625.91164820635</v>
          </cell>
          <cell r="AJ6">
            <v>299625.91164820635</v>
          </cell>
          <cell r="AK6">
            <v>299625.91164820635</v>
          </cell>
          <cell r="AL6">
            <v>299625.91164820635</v>
          </cell>
        </row>
        <row r="7">
          <cell r="B7" t="str">
            <v xml:space="preserve">In Situ Bitumen </v>
          </cell>
          <cell r="C7">
            <v>69700</v>
          </cell>
          <cell r="D7">
            <v>78500</v>
          </cell>
          <cell r="E7">
            <v>85200</v>
          </cell>
          <cell r="F7">
            <v>92700</v>
          </cell>
          <cell r="G7">
            <v>105500</v>
          </cell>
          <cell r="H7">
            <v>119629.14712328766</v>
          </cell>
          <cell r="I7">
            <v>134719.58268493149</v>
          </cell>
          <cell r="J7">
            <v>157385.20219178079</v>
          </cell>
          <cell r="K7">
            <v>175859.07172602741</v>
          </cell>
          <cell r="L7">
            <v>200748.64076712329</v>
          </cell>
          <cell r="M7">
            <v>216516.94391559192</v>
          </cell>
          <cell r="N7">
            <v>222306.83333061248</v>
          </cell>
          <cell r="O7">
            <v>245914.92329379948</v>
          </cell>
          <cell r="P7">
            <v>272762.17768442695</v>
          </cell>
          <cell r="Q7">
            <v>284162.61891845125</v>
          </cell>
          <cell r="R7">
            <v>295882.20606529893</v>
          </cell>
          <cell r="S7">
            <v>312045.04483255232</v>
          </cell>
          <cell r="T7">
            <v>330001.52106524771</v>
          </cell>
          <cell r="U7">
            <v>360761.47673649504</v>
          </cell>
          <cell r="V7">
            <v>385834.40092542779</v>
          </cell>
          <cell r="W7">
            <v>400520.32671273896</v>
          </cell>
          <cell r="X7">
            <v>424148.91973252734</v>
          </cell>
          <cell r="Y7">
            <v>435257.79760184925</v>
          </cell>
          <cell r="Z7">
            <v>448795.07437364658</v>
          </cell>
          <cell r="AA7">
            <v>457629.38591975474</v>
          </cell>
          <cell r="AB7">
            <v>474185.94174517418</v>
          </cell>
          <cell r="AC7">
            <v>492709.27301912702</v>
          </cell>
          <cell r="AD7">
            <v>502549.04666740081</v>
          </cell>
          <cell r="AE7">
            <v>512267.27668526414</v>
          </cell>
          <cell r="AF7">
            <v>519567.43155508721</v>
          </cell>
          <cell r="AG7">
            <v>524521.70072984754</v>
          </cell>
          <cell r="AH7">
            <v>532984.51721051568</v>
          </cell>
          <cell r="AI7">
            <v>543164.45912687574</v>
          </cell>
          <cell r="AJ7">
            <v>549853.68815716414</v>
          </cell>
          <cell r="AK7">
            <v>552106.14308349392</v>
          </cell>
          <cell r="AL7">
            <v>553393.24972269603</v>
          </cell>
        </row>
        <row r="10">
          <cell r="B10" t="str">
            <v>Conventional Light</v>
          </cell>
          <cell r="C10">
            <v>4645.0814215309774</v>
          </cell>
          <cell r="D10">
            <v>4506.6333115719408</v>
          </cell>
          <cell r="E10">
            <v>4045.0273214285717</v>
          </cell>
          <cell r="F10">
            <v>3676.5833333333326</v>
          </cell>
          <cell r="G10">
            <v>3498.2216820276499</v>
          </cell>
          <cell r="H10">
            <v>3464.9128584229393</v>
          </cell>
          <cell r="I10">
            <v>3237.5430209933434</v>
          </cell>
          <cell r="J10">
            <v>3325.7563966135208</v>
          </cell>
          <cell r="K10">
            <v>3123.6676024065546</v>
          </cell>
          <cell r="L10">
            <v>3412.9239823348694</v>
          </cell>
          <cell r="M10">
            <v>3376.5470302099329</v>
          </cell>
          <cell r="N10">
            <v>3694.2616858237539</v>
          </cell>
          <cell r="O10">
            <v>3350.1810418182517</v>
          </cell>
          <cell r="P10">
            <v>3193.9120688736821</v>
          </cell>
          <cell r="Q10">
            <v>3074.1669194463352</v>
          </cell>
          <cell r="R10">
            <v>2976.2591774762891</v>
          </cell>
          <cell r="S10">
            <v>2970.3345245842606</v>
          </cell>
          <cell r="T10">
            <v>3045.8452340322483</v>
          </cell>
          <cell r="U10">
            <v>3061.9878313251129</v>
          </cell>
          <cell r="V10">
            <v>3030.7212500264022</v>
          </cell>
          <cell r="W10">
            <v>3037.3367756702382</v>
          </cell>
          <cell r="X10">
            <v>3051.6329782390339</v>
          </cell>
          <cell r="Y10">
            <v>3080.4033039419073</v>
          </cell>
          <cell r="Z10">
            <v>3121.7597634407903</v>
          </cell>
          <cell r="AA10">
            <v>3170.2288531893391</v>
          </cell>
          <cell r="AB10">
            <v>3222.2083459042392</v>
          </cell>
          <cell r="AC10">
            <v>3277.7065710556258</v>
          </cell>
          <cell r="AD10">
            <v>3339.2279243069015</v>
          </cell>
          <cell r="AE10">
            <v>3406.5755694759532</v>
          </cell>
          <cell r="AF10">
            <v>3479.5499310097134</v>
          </cell>
          <cell r="AG10">
            <v>3552.1857037120021</v>
          </cell>
          <cell r="AH10">
            <v>3624.7959068282694</v>
          </cell>
          <cell r="AI10">
            <v>3705.7425599062026</v>
          </cell>
          <cell r="AJ10">
            <v>3791.2562062658117</v>
          </cell>
          <cell r="AK10">
            <v>3880.7473868716279</v>
          </cell>
          <cell r="AL10">
            <v>3975.2699258161197</v>
          </cell>
        </row>
        <row r="11">
          <cell r="B11" t="str">
            <v>Conventional Heavy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</row>
        <row r="12">
          <cell r="B12" t="str">
            <v>C5+</v>
          </cell>
          <cell r="C12">
            <v>1430</v>
          </cell>
          <cell r="D12">
            <v>1450</v>
          </cell>
          <cell r="E12">
            <v>1290</v>
          </cell>
          <cell r="F12">
            <v>1170</v>
          </cell>
          <cell r="G12">
            <v>1260</v>
          </cell>
          <cell r="H12">
            <v>1420</v>
          </cell>
          <cell r="I12">
            <v>1780</v>
          </cell>
          <cell r="J12">
            <v>2029.9999999999998</v>
          </cell>
          <cell r="K12">
            <v>2460</v>
          </cell>
          <cell r="L12">
            <v>3010</v>
          </cell>
          <cell r="M12">
            <v>3470</v>
          </cell>
          <cell r="N12">
            <v>4181.2090410958917</v>
          </cell>
          <cell r="O12">
            <v>5720.4719178082196</v>
          </cell>
          <cell r="P12">
            <v>6203.804282637785</v>
          </cell>
          <cell r="Q12">
            <v>6327.88036829054</v>
          </cell>
          <cell r="R12">
            <v>6537.3621595676095</v>
          </cell>
          <cell r="S12">
            <v>6789.9539283128815</v>
          </cell>
          <cell r="T12">
            <v>7049.6070402821915</v>
          </cell>
          <cell r="U12">
            <v>7328.5685398796068</v>
          </cell>
          <cell r="V12">
            <v>7643.6472243790749</v>
          </cell>
          <cell r="W12">
            <v>8008.1977140905747</v>
          </cell>
          <cell r="X12">
            <v>8409.7600558649719</v>
          </cell>
          <cell r="Y12">
            <v>8829.7492098165494</v>
          </cell>
          <cell r="Z12">
            <v>9271.432607046856</v>
          </cell>
          <cell r="AA12">
            <v>9732.4881297546581</v>
          </cell>
          <cell r="AB12">
            <v>10233.560648296538</v>
          </cell>
          <cell r="AC12">
            <v>10766.983374888667</v>
          </cell>
          <cell r="AD12">
            <v>11323.289652386295</v>
          </cell>
          <cell r="AE12">
            <v>11905.987491162121</v>
          </cell>
          <cell r="AF12">
            <v>12517.213018191562</v>
          </cell>
          <cell r="AG12">
            <v>13151.596537710982</v>
          </cell>
          <cell r="AH12">
            <v>13812.72265820085</v>
          </cell>
          <cell r="AI12">
            <v>14502.7618316875</v>
          </cell>
          <cell r="AJ12">
            <v>15223.9576950797</v>
          </cell>
          <cell r="AK12">
            <v>15986.514025289549</v>
          </cell>
          <cell r="AL12">
            <v>16786.691331326019</v>
          </cell>
        </row>
        <row r="13">
          <cell r="B13" t="str">
            <v>Field Condensate</v>
          </cell>
          <cell r="C13">
            <v>550</v>
          </cell>
          <cell r="D13">
            <v>600</v>
          </cell>
          <cell r="E13">
            <v>660</v>
          </cell>
          <cell r="F13">
            <v>720</v>
          </cell>
          <cell r="G13">
            <v>720</v>
          </cell>
          <cell r="H13">
            <v>790</v>
          </cell>
          <cell r="I13">
            <v>880</v>
          </cell>
          <cell r="J13">
            <v>900</v>
          </cell>
          <cell r="K13">
            <v>960</v>
          </cell>
          <cell r="L13">
            <v>1430</v>
          </cell>
          <cell r="M13">
            <v>1840</v>
          </cell>
          <cell r="N13">
            <v>2536.7909589041078</v>
          </cell>
          <cell r="O13">
            <v>2619.52808219178</v>
          </cell>
          <cell r="P13">
            <v>2868.9837398261498</v>
          </cell>
          <cell r="Q13">
            <v>2955.3373098169563</v>
          </cell>
          <cell r="R13">
            <v>3083.401926575692</v>
          </cell>
          <cell r="S13">
            <v>3234.2472684309314</v>
          </cell>
          <cell r="T13">
            <v>3391.1742019135572</v>
          </cell>
          <cell r="U13">
            <v>3560.271702068665</v>
          </cell>
          <cell r="V13">
            <v>3750.1049449240577</v>
          </cell>
          <cell r="W13">
            <v>3967.860283417835</v>
          </cell>
          <cell r="X13">
            <v>4208.0799967901476</v>
          </cell>
          <cell r="Y13">
            <v>4461.979277268747</v>
          </cell>
          <cell r="Z13">
            <v>4731.5651483908423</v>
          </cell>
          <cell r="AA13">
            <v>5016.036165408138</v>
          </cell>
          <cell r="AB13">
            <v>5326.5050372920041</v>
          </cell>
          <cell r="AC13">
            <v>5659.6348845306156</v>
          </cell>
          <cell r="AD13">
            <v>6010.9869779438668</v>
          </cell>
          <cell r="AE13">
            <v>6382.8904435005188</v>
          </cell>
          <cell r="AF13">
            <v>6777.0144149332364</v>
          </cell>
          <cell r="AG13">
            <v>7190.9793472364454</v>
          </cell>
          <cell r="AH13">
            <v>7627.2442477588074</v>
          </cell>
          <cell r="AI13">
            <v>8087.5666948127082</v>
          </cell>
          <cell r="AJ13">
            <v>8573.8035156073329</v>
          </cell>
          <cell r="AK13">
            <v>9092.3999140990509</v>
          </cell>
          <cell r="AL13">
            <v>9642.0340089359488</v>
          </cell>
        </row>
        <row r="14">
          <cell r="B14" t="str">
            <v>Conventional Light</v>
          </cell>
          <cell r="C14">
            <v>61608.885781863297</v>
          </cell>
          <cell r="D14">
            <v>59160.558397498877</v>
          </cell>
          <cell r="E14">
            <v>57156.982398125292</v>
          </cell>
          <cell r="F14">
            <v>55079.4261325193</v>
          </cell>
          <cell r="G14">
            <v>50836.217720381457</v>
          </cell>
          <cell r="H14">
            <v>51338.873677928677</v>
          </cell>
          <cell r="I14">
            <v>56341.617267120324</v>
          </cell>
          <cell r="J14">
            <v>65504.216617338796</v>
          </cell>
          <cell r="K14">
            <v>69200.576338328712</v>
          </cell>
          <cell r="L14">
            <v>71051.166299791337</v>
          </cell>
          <cell r="M14">
            <v>64074.35544146796</v>
          </cell>
          <cell r="N14">
            <v>53323.447957963377</v>
          </cell>
          <cell r="O14">
            <v>53315.231226348718</v>
          </cell>
          <cell r="P14">
            <v>54344.354991857785</v>
          </cell>
          <cell r="Q14">
            <v>55961.154978432554</v>
          </cell>
          <cell r="R14">
            <v>58163.549104113619</v>
          </cell>
          <cell r="S14">
            <v>61288.230352538281</v>
          </cell>
          <cell r="T14">
            <v>65508.365110662999</v>
          </cell>
          <cell r="U14">
            <v>70874.989831492741</v>
          </cell>
          <cell r="V14">
            <v>77500.973516584825</v>
          </cell>
          <cell r="W14">
            <v>84779.863526525762</v>
          </cell>
          <cell r="X14">
            <v>92081.722002373601</v>
          </cell>
          <cell r="Y14">
            <v>99159.37422113934</v>
          </cell>
          <cell r="Z14">
            <v>105851.19320923653</v>
          </cell>
          <cell r="AA14">
            <v>112162.15497939302</v>
          </cell>
          <cell r="AB14">
            <v>118137.56273876193</v>
          </cell>
          <cell r="AC14">
            <v>123799.21515499192</v>
          </cell>
          <cell r="AD14">
            <v>129118.50636043743</v>
          </cell>
          <cell r="AE14">
            <v>134117.31640618137</v>
          </cell>
          <cell r="AF14">
            <v>138762.61925500195</v>
          </cell>
          <cell r="AG14">
            <v>143001.93732137693</v>
          </cell>
          <cell r="AH14">
            <v>146799.87433821728</v>
          </cell>
          <cell r="AI14">
            <v>150102.36345023807</v>
          </cell>
          <cell r="AJ14">
            <v>152877.42694955651</v>
          </cell>
          <cell r="AK14">
            <v>155150.48073570966</v>
          </cell>
          <cell r="AL14">
            <v>156987.8403231964</v>
          </cell>
        </row>
        <row r="15">
          <cell r="B15" t="str">
            <v>Conventional Heavy</v>
          </cell>
          <cell r="C15">
            <v>29193.593812990777</v>
          </cell>
          <cell r="D15">
            <v>27160.952141415612</v>
          </cell>
          <cell r="E15">
            <v>26214.863449288954</v>
          </cell>
          <cell r="F15">
            <v>24858.490534147371</v>
          </cell>
          <cell r="G15">
            <v>22446.045407498725</v>
          </cell>
          <cell r="H15">
            <v>21617.565081031888</v>
          </cell>
          <cell r="I15">
            <v>21535.350062628768</v>
          </cell>
          <cell r="J15">
            <v>22936.758509477593</v>
          </cell>
          <cell r="K15">
            <v>23326.349274190499</v>
          </cell>
          <cell r="L15">
            <v>22640.786462625441</v>
          </cell>
          <cell r="M15">
            <v>20228.204740943693</v>
          </cell>
          <cell r="N15">
            <v>17488.412924688299</v>
          </cell>
          <cell r="O15">
            <v>17204.000523056242</v>
          </cell>
          <cell r="P15">
            <v>16181.945772342844</v>
          </cell>
          <cell r="Q15">
            <v>15458.030848548218</v>
          </cell>
          <cell r="R15">
            <v>15156.8087957968</v>
          </cell>
          <cell r="S15">
            <v>15312.265040471091</v>
          </cell>
          <cell r="T15">
            <v>15961.422208207667</v>
          </cell>
          <cell r="U15">
            <v>17080.131549877609</v>
          </cell>
          <cell r="V15">
            <v>18665.856337164605</v>
          </cell>
          <cell r="W15">
            <v>20532.165798593625</v>
          </cell>
          <cell r="X15">
            <v>22483.670252941807</v>
          </cell>
          <cell r="Y15">
            <v>24430.339790788406</v>
          </cell>
          <cell r="Z15">
            <v>26292.070831626916</v>
          </cell>
          <cell r="AA15">
            <v>28045.960236691164</v>
          </cell>
          <cell r="AB15">
            <v>29705.184801690357</v>
          </cell>
          <cell r="AC15">
            <v>31277.128178973166</v>
          </cell>
          <cell r="AD15">
            <v>32756.439514440081</v>
          </cell>
          <cell r="AE15">
            <v>34140.394911848045</v>
          </cell>
          <cell r="AF15">
            <v>35419.067244352293</v>
          </cell>
          <cell r="AG15">
            <v>36580.762282833617</v>
          </cell>
          <cell r="AH15">
            <v>37616.063530639782</v>
          </cell>
          <cell r="AI15">
            <v>38511.382688520287</v>
          </cell>
          <cell r="AJ15">
            <v>39256.089919485377</v>
          </cell>
          <cell r="AK15">
            <v>39855.951147195825</v>
          </cell>
          <cell r="AL15">
            <v>40329.915652794407</v>
          </cell>
        </row>
        <row r="16">
          <cell r="B16" t="str">
            <v>C5+</v>
          </cell>
          <cell r="C16">
            <v>20570</v>
          </cell>
          <cell r="D16">
            <v>21350</v>
          </cell>
          <cell r="E16">
            <v>21260</v>
          </cell>
          <cell r="F16">
            <v>20070</v>
          </cell>
          <cell r="G16">
            <v>18840</v>
          </cell>
          <cell r="H16">
            <v>18330</v>
          </cell>
          <cell r="I16">
            <v>17720</v>
          </cell>
          <cell r="J16">
            <v>17290</v>
          </cell>
          <cell r="K16">
            <v>18160</v>
          </cell>
          <cell r="L16">
            <v>21230</v>
          </cell>
          <cell r="M16">
            <v>26690</v>
          </cell>
          <cell r="N16">
            <v>27711.679452054788</v>
          </cell>
          <cell r="O16">
            <v>33352.013972602741</v>
          </cell>
          <cell r="P16">
            <v>33970.387825577811</v>
          </cell>
          <cell r="Q16">
            <v>33996.815920084817</v>
          </cell>
          <cell r="R16">
            <v>34294.811517646653</v>
          </cell>
          <cell r="S16">
            <v>34680.151920078504</v>
          </cell>
          <cell r="T16">
            <v>35178.456952039705</v>
          </cell>
          <cell r="U16">
            <v>35882.849479736789</v>
          </cell>
          <cell r="V16">
            <v>36876.671683367669</v>
          </cell>
          <cell r="W16">
            <v>38148.070198165406</v>
          </cell>
          <cell r="X16">
            <v>39602.291465148475</v>
          </cell>
          <cell r="Y16">
            <v>41175.244443766394</v>
          </cell>
          <cell r="Z16">
            <v>42835.131221040443</v>
          </cell>
          <cell r="AA16">
            <v>44552.347300198009</v>
          </cell>
          <cell r="AB16">
            <v>46417.316962288802</v>
          </cell>
          <cell r="AC16">
            <v>48441.204709485093</v>
          </cell>
          <cell r="AD16">
            <v>50504.566613239345</v>
          </cell>
          <cell r="AE16">
            <v>52633.747751744762</v>
          </cell>
          <cell r="AF16">
            <v>54882.109771734817</v>
          </cell>
          <cell r="AG16">
            <v>57245.1431051037</v>
          </cell>
          <cell r="AH16">
            <v>59718.094304171347</v>
          </cell>
          <cell r="AI16">
            <v>62318.901735709311</v>
          </cell>
          <cell r="AJ16">
            <v>65062.302301933334</v>
          </cell>
          <cell r="AK16">
            <v>67885.54356000929</v>
          </cell>
          <cell r="AL16">
            <v>70782.38087532256</v>
          </cell>
        </row>
        <row r="17">
          <cell r="B17" t="str">
            <v>Field Condensate</v>
          </cell>
          <cell r="C17">
            <v>1540</v>
          </cell>
          <cell r="D17">
            <v>1750</v>
          </cell>
          <cell r="E17">
            <v>2090</v>
          </cell>
          <cell r="F17">
            <v>2410</v>
          </cell>
          <cell r="G17">
            <v>2180</v>
          </cell>
          <cell r="H17">
            <v>1920</v>
          </cell>
          <cell r="I17">
            <v>1940</v>
          </cell>
          <cell r="J17">
            <v>2000</v>
          </cell>
          <cell r="K17">
            <v>2590</v>
          </cell>
          <cell r="L17">
            <v>3780</v>
          </cell>
          <cell r="M17">
            <v>3730</v>
          </cell>
          <cell r="N17">
            <v>7631.3205479452108</v>
          </cell>
          <cell r="O17">
            <v>9506.986027397259</v>
          </cell>
          <cell r="P17">
            <v>9779.1271871366989</v>
          </cell>
          <cell r="Q17">
            <v>9883.6334657507505</v>
          </cell>
          <cell r="R17">
            <v>10068.982958784065</v>
          </cell>
          <cell r="S17">
            <v>10282.932257767077</v>
          </cell>
          <cell r="T17">
            <v>10533.957633673192</v>
          </cell>
          <cell r="U17">
            <v>10851.268328276503</v>
          </cell>
          <cell r="V17">
            <v>11262.222267042382</v>
          </cell>
          <cell r="W17">
            <v>11765.861951586394</v>
          </cell>
          <cell r="X17">
            <v>12335.316273580533</v>
          </cell>
          <cell r="Y17">
            <v>12952.242216852039</v>
          </cell>
          <cell r="Z17">
            <v>13607.792271852759</v>
          </cell>
          <cell r="AA17">
            <v>14293.446408410513</v>
          </cell>
          <cell r="AB17">
            <v>15039.216066067374</v>
          </cell>
          <cell r="AC17">
            <v>15850.3515335846</v>
          </cell>
          <cell r="AD17">
            <v>16689.118946237792</v>
          </cell>
          <cell r="AE17">
            <v>17564.906971735225</v>
          </cell>
          <cell r="AF17">
            <v>18496.568080423127</v>
          </cell>
          <cell r="AG17">
            <v>19483.985628800812</v>
          </cell>
          <cell r="AH17">
            <v>20526.924901445662</v>
          </cell>
          <cell r="AI17">
            <v>21632.989633868179</v>
          </cell>
          <cell r="AJ17">
            <v>22808.933359247312</v>
          </cell>
          <cell r="AK17">
            <v>24034.309355257737</v>
          </cell>
          <cell r="AL17">
            <v>25308.028321629175</v>
          </cell>
        </row>
        <row r="18">
          <cell r="B18" t="str">
            <v xml:space="preserve">Mined Bitumen </v>
          </cell>
          <cell r="C18">
            <v>99600</v>
          </cell>
          <cell r="D18">
            <v>120900</v>
          </cell>
          <cell r="E18">
            <v>124700</v>
          </cell>
          <cell r="F18">
            <v>114700</v>
          </cell>
          <cell r="G18">
            <v>131200</v>
          </cell>
          <cell r="H18">
            <v>136242.99205479454</v>
          </cell>
          <cell r="I18">
            <v>141899.05890410958</v>
          </cell>
          <cell r="J18">
            <v>148216.19643835619</v>
          </cell>
          <cell r="K18">
            <v>155178.08602739728</v>
          </cell>
          <cell r="L18">
            <v>152653.42301369866</v>
          </cell>
          <cell r="M18">
            <v>184650.64986301371</v>
          </cell>
          <cell r="N18">
            <v>182833.43972602743</v>
          </cell>
          <cell r="O18">
            <v>202815.78219178083</v>
          </cell>
          <cell r="P18">
            <v>234799.82978469165</v>
          </cell>
          <cell r="Q18">
            <v>255498.09139782851</v>
          </cell>
          <cell r="R18">
            <v>264148.97687696363</v>
          </cell>
          <cell r="S18">
            <v>265762.39362081629</v>
          </cell>
          <cell r="T18">
            <v>270713.36543377477</v>
          </cell>
          <cell r="U18">
            <v>277741.92541826161</v>
          </cell>
          <cell r="V18">
            <v>279116.51529491914</v>
          </cell>
          <cell r="W18">
            <v>281799.43080545263</v>
          </cell>
          <cell r="X18">
            <v>287019.52247198479</v>
          </cell>
          <cell r="Y18">
            <v>291007.46060946607</v>
          </cell>
          <cell r="Z18">
            <v>291040.58302083064</v>
          </cell>
          <cell r="AA18">
            <v>291040.58302092546</v>
          </cell>
          <cell r="AB18">
            <v>296406.41341296962</v>
          </cell>
          <cell r="AC18">
            <v>299625.91164820618</v>
          </cell>
          <cell r="AD18">
            <v>299625.91164820635</v>
          </cell>
          <cell r="AE18">
            <v>299625.91164820635</v>
          </cell>
          <cell r="AF18">
            <v>299625.91164820635</v>
          </cell>
          <cell r="AG18">
            <v>299625.91164820635</v>
          </cell>
          <cell r="AH18">
            <v>299625.91164820635</v>
          </cell>
          <cell r="AI18">
            <v>299625.91164820635</v>
          </cell>
          <cell r="AJ18">
            <v>299625.91164820635</v>
          </cell>
          <cell r="AK18">
            <v>299625.91164820635</v>
          </cell>
          <cell r="AL18">
            <v>299625.91164820635</v>
          </cell>
        </row>
        <row r="19">
          <cell r="B19" t="str">
            <v xml:space="preserve">In Situ Bitumen </v>
          </cell>
          <cell r="C19">
            <v>69700</v>
          </cell>
          <cell r="D19">
            <v>78500</v>
          </cell>
          <cell r="E19">
            <v>85200</v>
          </cell>
          <cell r="F19">
            <v>92700</v>
          </cell>
          <cell r="G19">
            <v>105500</v>
          </cell>
          <cell r="H19">
            <v>119629.14712328766</v>
          </cell>
          <cell r="I19">
            <v>134719.58268493149</v>
          </cell>
          <cell r="J19">
            <v>157385.20219178079</v>
          </cell>
          <cell r="K19">
            <v>175859.07172602741</v>
          </cell>
          <cell r="L19">
            <v>200748.64076712329</v>
          </cell>
          <cell r="M19">
            <v>216516.94391559192</v>
          </cell>
          <cell r="N19">
            <v>222306.83333061248</v>
          </cell>
          <cell r="O19">
            <v>245914.92329379948</v>
          </cell>
          <cell r="P19">
            <v>272762.17768442695</v>
          </cell>
          <cell r="Q19">
            <v>284162.61891845125</v>
          </cell>
          <cell r="R19">
            <v>295882.20606529893</v>
          </cell>
          <cell r="S19">
            <v>312045.04483255232</v>
          </cell>
          <cell r="T19">
            <v>330001.52106524771</v>
          </cell>
          <cell r="U19">
            <v>360761.47673649504</v>
          </cell>
          <cell r="V19">
            <v>385834.40092542779</v>
          </cell>
          <cell r="W19">
            <v>400520.32671273896</v>
          </cell>
          <cell r="X19">
            <v>424148.91973252734</v>
          </cell>
          <cell r="Y19">
            <v>435257.79760184925</v>
          </cell>
          <cell r="Z19">
            <v>448795.07437364658</v>
          </cell>
          <cell r="AA19">
            <v>457629.38591975474</v>
          </cell>
          <cell r="AB19">
            <v>474185.94174517418</v>
          </cell>
          <cell r="AC19">
            <v>492709.27301912702</v>
          </cell>
          <cell r="AD19">
            <v>502549.04666740081</v>
          </cell>
          <cell r="AE19">
            <v>512267.27668526414</v>
          </cell>
          <cell r="AF19">
            <v>519567.43155508721</v>
          </cell>
          <cell r="AG19">
            <v>524521.70072984754</v>
          </cell>
          <cell r="AH19">
            <v>532984.51721051568</v>
          </cell>
          <cell r="AI19">
            <v>543164.45912687574</v>
          </cell>
          <cell r="AJ19">
            <v>549853.68815716414</v>
          </cell>
          <cell r="AK19">
            <v>552106.14308349392</v>
          </cell>
          <cell r="AL19">
            <v>553393.24972269603</v>
          </cell>
        </row>
        <row r="21">
          <cell r="B21" t="str">
            <v>Conventional Light</v>
          </cell>
          <cell r="C21">
            <v>96.492316484880945</v>
          </cell>
          <cell r="D21">
            <v>679.74809020666567</v>
          </cell>
          <cell r="E21">
            <v>2091.8865299329486</v>
          </cell>
          <cell r="F21">
            <v>6718.4492038985163</v>
          </cell>
          <cell r="G21">
            <v>9701.0385576611534</v>
          </cell>
          <cell r="H21">
            <v>9228.2576536040469</v>
          </cell>
          <cell r="I21">
            <v>9711.9899431634058</v>
          </cell>
          <cell r="J21">
            <v>10965.345709805462</v>
          </cell>
          <cell r="K21">
            <v>11162.071896151936</v>
          </cell>
          <cell r="L21">
            <v>12443.269117385948</v>
          </cell>
          <cell r="M21">
            <v>10860.397371171624</v>
          </cell>
          <cell r="N21">
            <v>9253.1959502336631</v>
          </cell>
          <cell r="O21">
            <v>9004.3643733022636</v>
          </cell>
          <cell r="P21">
            <v>8739.5270246992168</v>
          </cell>
          <cell r="Q21">
            <v>8616.2409661120109</v>
          </cell>
          <cell r="R21">
            <v>8730.0430680228365</v>
          </cell>
          <cell r="S21">
            <v>9120.7887248805891</v>
          </cell>
          <cell r="T21">
            <v>9800.7443002029268</v>
          </cell>
          <cell r="U21">
            <v>10770.457017423352</v>
          </cell>
          <cell r="V21">
            <v>12037.647684955511</v>
          </cell>
          <cell r="W21">
            <v>13433.440079662263</v>
          </cell>
          <cell r="X21">
            <v>14828.734974887613</v>
          </cell>
          <cell r="Y21">
            <v>16175.177763441816</v>
          </cell>
          <cell r="Z21">
            <v>17446.082707755988</v>
          </cell>
          <cell r="AA21">
            <v>18648.872467018748</v>
          </cell>
          <cell r="AB21">
            <v>19798.085921903119</v>
          </cell>
          <cell r="AC21">
            <v>20897.797901281367</v>
          </cell>
          <cell r="AD21">
            <v>21941.556879906191</v>
          </cell>
          <cell r="AE21">
            <v>22926.182739726475</v>
          </cell>
          <cell r="AF21">
            <v>23842.129331774242</v>
          </cell>
          <cell r="AG21">
            <v>24681.121098624866</v>
          </cell>
          <cell r="AH21">
            <v>25435.456466092637</v>
          </cell>
          <cell r="AI21">
            <v>26097.855863092802</v>
          </cell>
          <cell r="AJ21">
            <v>26663.061047284835</v>
          </cell>
          <cell r="AK21">
            <v>27142.423029203335</v>
          </cell>
          <cell r="AL21">
            <v>27543.305648173049</v>
          </cell>
        </row>
        <row r="22">
          <cell r="B22" t="str">
            <v>Conventional Heavy</v>
          </cell>
          <cell r="C22">
            <v>66520.777872327206</v>
          </cell>
          <cell r="D22">
            <v>67372.372664401628</v>
          </cell>
          <cell r="E22">
            <v>65879.084796231924</v>
          </cell>
          <cell r="F22">
            <v>63127.050796101496</v>
          </cell>
          <cell r="G22">
            <v>57738.111714996281</v>
          </cell>
          <cell r="H22">
            <v>57927.210582443062</v>
          </cell>
          <cell r="I22">
            <v>58235.193228879602</v>
          </cell>
          <cell r="J22">
            <v>63998.916429851473</v>
          </cell>
          <cell r="K22">
            <v>65898.730391354446</v>
          </cell>
          <cell r="L22">
            <v>76109.268382614042</v>
          </cell>
          <cell r="M22">
            <v>66480.901538198566</v>
          </cell>
          <cell r="N22">
            <v>63793.965540929341</v>
          </cell>
          <cell r="O22">
            <v>68379.877899827276</v>
          </cell>
          <cell r="P22">
            <v>72337.115301320446</v>
          </cell>
          <cell r="Q22">
            <v>76938.901123835807</v>
          </cell>
          <cell r="R22">
            <v>81237.78421462886</v>
          </cell>
          <cell r="S22">
            <v>85921.404973492259</v>
          </cell>
          <cell r="T22">
            <v>91541.388071552909</v>
          </cell>
          <cell r="U22">
            <v>97961.436295172607</v>
          </cell>
          <cell r="V22">
            <v>105179.78960564404</v>
          </cell>
          <cell r="W22">
            <v>112502.88308252112</v>
          </cell>
          <cell r="X22">
            <v>119238.87628708019</v>
          </cell>
          <cell r="Y22">
            <v>125140.94999078717</v>
          </cell>
          <cell r="Z22">
            <v>130302.6948580413</v>
          </cell>
          <cell r="AA22">
            <v>134918.2703205217</v>
          </cell>
          <cell r="AB22">
            <v>139156.41317219753</v>
          </cell>
          <cell r="AC22">
            <v>143095.26810005103</v>
          </cell>
          <cell r="AD22">
            <v>146720.43055918242</v>
          </cell>
          <cell r="AE22">
            <v>149949.92490664346</v>
          </cell>
          <cell r="AF22">
            <v>152795.82591607264</v>
          </cell>
          <cell r="AG22">
            <v>155362.28133642513</v>
          </cell>
          <cell r="AH22">
            <v>157238.85557715301</v>
          </cell>
          <cell r="AI22">
            <v>158796.80020966608</v>
          </cell>
          <cell r="AJ22">
            <v>159704.85810792938</v>
          </cell>
          <cell r="AK22">
            <v>160359.27314106637</v>
          </cell>
          <cell r="AL22">
            <v>160640.01175612153</v>
          </cell>
        </row>
        <row r="23">
          <cell r="B23" t="str">
            <v>C5+</v>
          </cell>
          <cell r="C23">
            <v>90</v>
          </cell>
          <cell r="D23">
            <v>100</v>
          </cell>
          <cell r="E23">
            <v>100</v>
          </cell>
          <cell r="F23">
            <v>120</v>
          </cell>
          <cell r="G23">
            <v>170</v>
          </cell>
          <cell r="H23">
            <v>100</v>
          </cell>
          <cell r="I23">
            <v>100</v>
          </cell>
          <cell r="J23">
            <v>100</v>
          </cell>
          <cell r="K23">
            <v>100</v>
          </cell>
          <cell r="L23">
            <v>100</v>
          </cell>
          <cell r="M23">
            <v>100</v>
          </cell>
          <cell r="N23">
            <v>100</v>
          </cell>
          <cell r="O23">
            <v>100</v>
          </cell>
          <cell r="P23">
            <v>100</v>
          </cell>
          <cell r="Q23">
            <v>100</v>
          </cell>
          <cell r="R23">
            <v>100</v>
          </cell>
          <cell r="S23">
            <v>100</v>
          </cell>
          <cell r="T23">
            <v>100</v>
          </cell>
          <cell r="U23">
            <v>100</v>
          </cell>
          <cell r="V23">
            <v>100</v>
          </cell>
          <cell r="W23">
            <v>100</v>
          </cell>
          <cell r="X23">
            <v>100</v>
          </cell>
          <cell r="Y23">
            <v>100</v>
          </cell>
          <cell r="Z23">
            <v>100</v>
          </cell>
          <cell r="AA23">
            <v>100</v>
          </cell>
          <cell r="AB23">
            <v>100</v>
          </cell>
          <cell r="AC23">
            <v>100</v>
          </cell>
          <cell r="AD23">
            <v>100</v>
          </cell>
          <cell r="AE23">
            <v>100</v>
          </cell>
          <cell r="AF23">
            <v>100</v>
          </cell>
          <cell r="AG23">
            <v>100</v>
          </cell>
          <cell r="AH23">
            <v>100</v>
          </cell>
          <cell r="AI23">
            <v>100</v>
          </cell>
          <cell r="AJ23">
            <v>100</v>
          </cell>
          <cell r="AK23">
            <v>100</v>
          </cell>
          <cell r="AL23">
            <v>100</v>
          </cell>
        </row>
        <row r="24">
          <cell r="B24" t="str">
            <v>Conventional Light</v>
          </cell>
          <cell r="C24">
            <v>2203.4851382488482</v>
          </cell>
          <cell r="D24">
            <v>3398.1617415514593</v>
          </cell>
          <cell r="E24">
            <v>3531.5109030977987</v>
          </cell>
          <cell r="F24">
            <v>3746.5833333333339</v>
          </cell>
          <cell r="G24">
            <v>4116.2247580645162</v>
          </cell>
          <cell r="H24">
            <v>4763.6846684587817</v>
          </cell>
          <cell r="I24">
            <v>6462.2715092165899</v>
          </cell>
          <cell r="J24">
            <v>8094.5645528982814</v>
          </cell>
          <cell r="K24">
            <v>8262.7367191500271</v>
          </cell>
          <cell r="L24">
            <v>7781.3506688428042</v>
          </cell>
          <cell r="M24">
            <v>7282.7969105222728</v>
          </cell>
          <cell r="N24">
            <v>6380.9985653812873</v>
          </cell>
          <cell r="O24">
            <v>5830.8193436537013</v>
          </cell>
          <cell r="P24">
            <v>5370.0572684063036</v>
          </cell>
          <cell r="Q24">
            <v>4951.1938705031926</v>
          </cell>
          <cell r="R24">
            <v>4613.176531405973</v>
          </cell>
          <cell r="S24">
            <v>4369.830982492359</v>
          </cell>
          <cell r="T24">
            <v>4225.3782626220191</v>
          </cell>
          <cell r="U24">
            <v>4171.2876727214516</v>
          </cell>
          <cell r="V24">
            <v>4191.052261001606</v>
          </cell>
          <cell r="W24">
            <v>4249.6813929066311</v>
          </cell>
          <cell r="X24">
            <v>4335.0419172862439</v>
          </cell>
          <cell r="Y24">
            <v>4431.637443762912</v>
          </cell>
          <cell r="Z24">
            <v>4528.3754934496974</v>
          </cell>
          <cell r="AA24">
            <v>4621.6510124954357</v>
          </cell>
          <cell r="AB24">
            <v>4711.1929643307758</v>
          </cell>
          <cell r="AC24">
            <v>4795.2934250105636</v>
          </cell>
          <cell r="AD24">
            <v>4872.6912148519486</v>
          </cell>
          <cell r="AE24">
            <v>4944.1893841597748</v>
          </cell>
          <cell r="AF24">
            <v>5008.6095575505979</v>
          </cell>
          <cell r="AG24">
            <v>5064.7932933851944</v>
          </cell>
          <cell r="AH24">
            <v>5108.2262915676793</v>
          </cell>
          <cell r="AI24">
            <v>5123.8407256143419</v>
          </cell>
          <cell r="AJ24">
            <v>5122.425524309725</v>
          </cell>
          <cell r="AK24">
            <v>5107.2631640759391</v>
          </cell>
          <cell r="AL24">
            <v>5078.9589947879367</v>
          </cell>
        </row>
        <row r="25">
          <cell r="B25" t="str">
            <v>Conventional Light</v>
          </cell>
          <cell r="C25">
            <v>380</v>
          </cell>
          <cell r="D25">
            <v>340</v>
          </cell>
          <cell r="E25">
            <v>300</v>
          </cell>
          <cell r="F25">
            <v>270</v>
          </cell>
          <cell r="G25">
            <v>250</v>
          </cell>
          <cell r="H25">
            <v>240</v>
          </cell>
          <cell r="I25">
            <v>220</v>
          </cell>
          <cell r="J25">
            <v>220</v>
          </cell>
          <cell r="K25">
            <v>200</v>
          </cell>
          <cell r="L25">
            <v>190</v>
          </cell>
          <cell r="M25">
            <v>157.3838965693806</v>
          </cell>
          <cell r="N25">
            <v>155.15005760368666</v>
          </cell>
          <cell r="O25">
            <v>94</v>
          </cell>
          <cell r="P25">
            <v>130</v>
          </cell>
          <cell r="Q25">
            <v>145</v>
          </cell>
          <cell r="R25">
            <v>169</v>
          </cell>
          <cell r="S25">
            <v>171.15354678612073</v>
          </cell>
          <cell r="T25">
            <v>172.36342530650538</v>
          </cell>
          <cell r="U25">
            <v>173.53199090180374</v>
          </cell>
          <cell r="V25">
            <v>178.9548656174851</v>
          </cell>
          <cell r="W25">
            <v>184.25192963976266</v>
          </cell>
          <cell r="X25">
            <v>187.53090532608257</v>
          </cell>
          <cell r="Y25">
            <v>190.58696452398908</v>
          </cell>
          <cell r="Z25">
            <v>191.43154815686506</v>
          </cell>
          <cell r="AA25">
            <v>187.54309483492875</v>
          </cell>
          <cell r="AB25">
            <v>183.71326742461545</v>
          </cell>
          <cell r="AC25">
            <v>179.94128225302498</v>
          </cell>
          <cell r="AD25">
            <v>176.22636545812378</v>
          </cell>
          <cell r="AE25">
            <v>174.46410180354252</v>
          </cell>
          <cell r="AF25">
            <v>170.84207534218638</v>
          </cell>
          <cell r="AG25">
            <v>167.27504299987697</v>
          </cell>
          <cell r="AH25">
            <v>165.60229256987819</v>
          </cell>
          <cell r="AI25">
            <v>162.12464442591076</v>
          </cell>
          <cell r="AJ25">
            <v>158.69998901556568</v>
          </cell>
          <cell r="AK25">
            <v>157.11298912541</v>
          </cell>
          <cell r="AL25">
            <v>153.77433810649504</v>
          </cell>
        </row>
        <row r="26">
          <cell r="B26" t="str">
            <v>Conventional Light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</row>
        <row r="27">
          <cell r="B27" t="str">
            <v>Conventional Light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</row>
        <row r="28">
          <cell r="B28" t="str">
            <v>C5+</v>
          </cell>
          <cell r="C28">
            <v>2050</v>
          </cell>
          <cell r="D28">
            <v>1910</v>
          </cell>
          <cell r="E28">
            <v>1890</v>
          </cell>
          <cell r="F28">
            <v>1750</v>
          </cell>
          <cell r="G28">
            <v>1130</v>
          </cell>
          <cell r="H28">
            <v>1070</v>
          </cell>
          <cell r="I28">
            <v>860</v>
          </cell>
          <cell r="J28">
            <v>580</v>
          </cell>
          <cell r="K28">
            <v>330</v>
          </cell>
          <cell r="L28">
            <v>460</v>
          </cell>
          <cell r="M28">
            <v>439.2230136986301</v>
          </cell>
          <cell r="N28">
            <v>416.31040165903886</v>
          </cell>
          <cell r="O28">
            <v>312</v>
          </cell>
          <cell r="P28">
            <v>315</v>
          </cell>
          <cell r="Q28">
            <v>300</v>
          </cell>
          <cell r="R28">
            <v>285</v>
          </cell>
          <cell r="S28">
            <v>250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</row>
        <row r="29">
          <cell r="B29" t="str">
            <v>Conventional Light</v>
          </cell>
          <cell r="C29">
            <v>48470</v>
          </cell>
          <cell r="D29">
            <v>48280</v>
          </cell>
          <cell r="E29">
            <v>58580</v>
          </cell>
          <cell r="F29">
            <v>54550</v>
          </cell>
          <cell r="G29">
            <v>42550</v>
          </cell>
          <cell r="H29">
            <v>43850</v>
          </cell>
          <cell r="I29">
            <v>42140</v>
          </cell>
          <cell r="J29">
            <v>31430</v>
          </cell>
          <cell r="K29">
            <v>36870</v>
          </cell>
          <cell r="L29">
            <v>34340</v>
          </cell>
          <cell r="M29">
            <v>27348</v>
          </cell>
          <cell r="N29">
            <v>33334</v>
          </cell>
          <cell r="O29">
            <v>34760</v>
          </cell>
          <cell r="P29">
            <v>30239.540260225629</v>
          </cell>
          <cell r="Q29">
            <v>30262.257738652104</v>
          </cell>
          <cell r="R29">
            <v>23832.097785616927</v>
          </cell>
          <cell r="S29">
            <v>25262.589077078668</v>
          </cell>
          <cell r="T29">
            <v>23761.522232255138</v>
          </cell>
          <cell r="U29">
            <v>29418.291564931675</v>
          </cell>
          <cell r="V29">
            <v>31585.098585284177</v>
          </cell>
          <cell r="W29">
            <v>32165.111000694124</v>
          </cell>
          <cell r="X29">
            <v>32304.829639980828</v>
          </cell>
          <cell r="Y29">
            <v>33882.831473469181</v>
          </cell>
          <cell r="Z29">
            <v>32135.208904390423</v>
          </cell>
          <cell r="AA29">
            <v>31448.703145377502</v>
          </cell>
          <cell r="AB29">
            <v>29279.420202148889</v>
          </cell>
          <cell r="AC29">
            <v>26431.723928960841</v>
          </cell>
          <cell r="AD29">
            <v>24030.151218702078</v>
          </cell>
          <cell r="AE29">
            <v>24659.716777144611</v>
          </cell>
          <cell r="AF29">
            <v>23074.008506811806</v>
          </cell>
          <cell r="AG29">
            <v>22779.405702111151</v>
          </cell>
          <cell r="AH29">
            <v>23329.793566588552</v>
          </cell>
          <cell r="AI29">
            <v>22814.959185844978</v>
          </cell>
          <cell r="AJ29">
            <v>19660.626913140324</v>
          </cell>
          <cell r="AK29">
            <v>18233.09415813888</v>
          </cell>
          <cell r="AL29">
            <v>16204.59133425895</v>
          </cell>
        </row>
        <row r="30">
          <cell r="B30" t="str">
            <v>Conventional Heavy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336</v>
          </cell>
          <cell r="P30">
            <v>7850.6753922528205</v>
          </cell>
          <cell r="Q30">
            <v>12625.679671849659</v>
          </cell>
          <cell r="R30">
            <v>19461.35012242043</v>
          </cell>
          <cell r="S30">
            <v>23504.721930745025</v>
          </cell>
          <cell r="T30">
            <v>24031.924703488188</v>
          </cell>
          <cell r="U30">
            <v>24905.084422398173</v>
          </cell>
          <cell r="V30">
            <v>25292.378136029765</v>
          </cell>
          <cell r="W30">
            <v>24660.084581385745</v>
          </cell>
          <cell r="X30">
            <v>21983.210912906612</v>
          </cell>
          <cell r="Y30">
            <v>19518.267671468093</v>
          </cell>
          <cell r="Z30">
            <v>16588.762758752269</v>
          </cell>
          <cell r="AA30">
            <v>13923.972145378237</v>
          </cell>
          <cell r="AB30">
            <v>11841.552990556142</v>
          </cell>
          <cell r="AC30">
            <v>10359.152914242108</v>
          </cell>
          <cell r="AD30">
            <v>9335.5909567871804</v>
          </cell>
          <cell r="AE30">
            <v>7959.0766002098644</v>
          </cell>
          <cell r="AF30">
            <v>6794.3336831059814</v>
          </cell>
          <cell r="AG30">
            <v>6123.7241247734437</v>
          </cell>
          <cell r="AH30">
            <v>5629.5907660020985</v>
          </cell>
          <cell r="AI30">
            <v>5636.6014643408325</v>
          </cell>
          <cell r="AJ30">
            <v>5266.0014452623236</v>
          </cell>
          <cell r="AK30">
            <v>4754.9457111905913</v>
          </cell>
          <cell r="AL30">
            <v>4304.7656132306856</v>
          </cell>
        </row>
        <row r="31">
          <cell r="B31" t="str">
            <v>Conventional Light</v>
          </cell>
          <cell r="C31">
            <v>2990</v>
          </cell>
          <cell r="D31">
            <v>2970</v>
          </cell>
          <cell r="E31">
            <v>2790</v>
          </cell>
          <cell r="F31">
            <v>2580</v>
          </cell>
          <cell r="G31">
            <v>2470</v>
          </cell>
          <cell r="H31">
            <v>2390</v>
          </cell>
          <cell r="I31">
            <v>1670</v>
          </cell>
          <cell r="J31">
            <v>2070</v>
          </cell>
          <cell r="K31">
            <v>1960</v>
          </cell>
          <cell r="L31">
            <v>1690</v>
          </cell>
          <cell r="M31">
            <v>1576</v>
          </cell>
          <cell r="N31">
            <v>1428</v>
          </cell>
          <cell r="O31">
            <v>54</v>
          </cell>
          <cell r="P31">
            <v>100</v>
          </cell>
          <cell r="Q31">
            <v>1334.2153846153844</v>
          </cell>
          <cell r="R31">
            <v>1462.5414492753625</v>
          </cell>
          <cell r="S31">
            <v>1506.845317460904</v>
          </cell>
          <cell r="T31">
            <v>1487.2827642166747</v>
          </cell>
          <cell r="U31">
            <v>1467.537803381384</v>
          </cell>
          <cell r="V31">
            <v>1447.6389857084162</v>
          </cell>
          <cell r="W31">
            <v>1427.6133130727831</v>
          </cell>
          <cell r="X31">
            <v>1393.3960011416343</v>
          </cell>
          <cell r="Y31">
            <v>1359.5094142175521</v>
          </cell>
          <cell r="Z31">
            <v>1312.3424107759145</v>
          </cell>
          <cell r="AA31">
            <v>1259.7120120104219</v>
          </cell>
          <cell r="AB31">
            <v>1209.0583290011605</v>
          </cell>
          <cell r="AC31">
            <v>1160.3101261616457</v>
          </cell>
          <cell r="AD31">
            <v>1113.3986629964006</v>
          </cell>
          <cell r="AE31">
            <v>1079.9967031065087</v>
          </cell>
          <cell r="AF31">
            <v>1036.2098802522992</v>
          </cell>
          <cell r="AG31">
            <v>994.07826973654642</v>
          </cell>
          <cell r="AH31">
            <v>964.25592164444981</v>
          </cell>
          <cell r="AI31">
            <v>924.93570795072606</v>
          </cell>
          <cell r="AJ31">
            <v>887.10687674914595</v>
          </cell>
          <cell r="AK31">
            <v>860.49367044667144</v>
          </cell>
          <cell r="AL31">
            <v>825.0511932840293</v>
          </cell>
        </row>
      </sheetData>
      <sheetData sheetId="8">
        <row r="2">
          <cell r="B2" t="str">
            <v>Conventional Light</v>
          </cell>
          <cell r="C2">
            <v>120393.94465812801</v>
          </cell>
          <cell r="D2">
            <v>119335.10154082894</v>
          </cell>
          <cell r="E2">
            <v>128495.40715258461</v>
          </cell>
          <cell r="F2">
            <v>126621.04200308448</v>
          </cell>
          <cell r="G2">
            <v>113421.70271813478</v>
          </cell>
          <cell r="H2">
            <v>115275.72885841444</v>
          </cell>
          <cell r="I2">
            <v>119783.42174049366</v>
          </cell>
          <cell r="J2">
            <v>121609.88327665607</v>
          </cell>
          <cell r="K2">
            <v>130779.05255603722</v>
          </cell>
          <cell r="L2">
            <v>130908.71006835497</v>
          </cell>
          <cell r="M2">
            <v>114675.48064994118</v>
          </cell>
          <cell r="N2">
            <v>107569.05421700577</v>
          </cell>
          <cell r="O2">
            <v>106408.59598512293</v>
          </cell>
          <cell r="P2">
            <v>101212.2436954661</v>
          </cell>
          <cell r="Q2">
            <v>98711.240095526664</v>
          </cell>
          <cell r="R2">
            <v>86963.276578457706</v>
          </cell>
          <cell r="S2">
            <v>83586.071739343359</v>
          </cell>
          <cell r="T2">
            <v>78075.734535222437</v>
          </cell>
          <cell r="U2">
            <v>79925.73905560105</v>
          </cell>
          <cell r="V2">
            <v>77090.303706477061</v>
          </cell>
          <cell r="W2">
            <v>73770.200019659213</v>
          </cell>
          <cell r="X2">
            <v>65734.014130782656</v>
          </cell>
          <cell r="Y2">
            <v>62532.074910738957</v>
          </cell>
          <cell r="Z2">
            <v>59461.328756797913</v>
          </cell>
          <cell r="AA2">
            <v>57624.970230808918</v>
          </cell>
          <cell r="AB2">
            <v>54243.367288252979</v>
          </cell>
          <cell r="AC2">
            <v>50894.570998147668</v>
          </cell>
          <cell r="AD2">
            <v>45382.753621864373</v>
          </cell>
          <cell r="AE2">
            <v>43766.355681063498</v>
          </cell>
          <cell r="AF2">
            <v>42387.821748536575</v>
          </cell>
          <cell r="AG2">
            <v>41199.249329417871</v>
          </cell>
          <cell r="AH2">
            <v>39917.484388230005</v>
          </cell>
          <cell r="AI2">
            <v>38625.371495566702</v>
          </cell>
          <cell r="AJ2">
            <v>37153.360507142803</v>
          </cell>
          <cell r="AK2">
            <v>35977.353672336467</v>
          </cell>
          <cell r="AL2">
            <v>34686.064343202648</v>
          </cell>
        </row>
        <row r="3">
          <cell r="B3" t="str">
            <v>Conventional Heavy</v>
          </cell>
          <cell r="C3">
            <v>95714.371685317979</v>
          </cell>
          <cell r="D3">
            <v>94533.324805817247</v>
          </cell>
          <cell r="E3">
            <v>92093.948245520878</v>
          </cell>
          <cell r="F3">
            <v>87985.541330248874</v>
          </cell>
          <cell r="G3">
            <v>80184.157122495002</v>
          </cell>
          <cell r="H3">
            <v>79544.775663474953</v>
          </cell>
          <cell r="I3">
            <v>79770.543291508366</v>
          </cell>
          <cell r="J3">
            <v>86935.674939329067</v>
          </cell>
          <cell r="K3">
            <v>89225.079665544938</v>
          </cell>
          <cell r="L3">
            <v>98750.054845239487</v>
          </cell>
          <cell r="M3">
            <v>86709.106279142259</v>
          </cell>
          <cell r="N3">
            <v>81282.378465617643</v>
          </cell>
          <cell r="O3">
            <v>85919.878422883514</v>
          </cell>
          <cell r="P3">
            <v>96132.676737281741</v>
          </cell>
          <cell r="Q3">
            <v>100285.43759145023</v>
          </cell>
          <cell r="R3">
            <v>102991.59483652886</v>
          </cell>
          <cell r="S3">
            <v>103252.93279015934</v>
          </cell>
          <cell r="T3">
            <v>100633.79105958068</v>
          </cell>
          <cell r="U3">
            <v>97677.069125809838</v>
          </cell>
          <cell r="V3">
            <v>95578.49730673086</v>
          </cell>
          <cell r="W3">
            <v>92590.12213591265</v>
          </cell>
          <cell r="X3">
            <v>88042.867037182994</v>
          </cell>
          <cell r="Y3">
            <v>83833.978280474999</v>
          </cell>
          <cell r="Z3">
            <v>79458.947809711302</v>
          </cell>
          <cell r="AA3">
            <v>75296.340432256999</v>
          </cell>
          <cell r="AB3">
            <v>71669.458402966848</v>
          </cell>
          <cell r="AC3">
            <v>68651.458556008176</v>
          </cell>
          <cell r="AD3">
            <v>65676.372037970039</v>
          </cell>
          <cell r="AE3">
            <v>62910.992951884051</v>
          </cell>
          <cell r="AF3">
            <v>60362.741067094517</v>
          </cell>
          <cell r="AG3">
            <v>58263.069099559834</v>
          </cell>
          <cell r="AH3">
            <v>56033.37622071962</v>
          </cell>
          <cell r="AI3">
            <v>54667.04610335621</v>
          </cell>
          <cell r="AJ3">
            <v>53083.953379305392</v>
          </cell>
          <cell r="AK3">
            <v>51459.987239663067</v>
          </cell>
          <cell r="AL3">
            <v>49930.383873494655</v>
          </cell>
        </row>
        <row r="4">
          <cell r="B4" t="str">
            <v>C5+</v>
          </cell>
          <cell r="C4">
            <v>24140</v>
          </cell>
          <cell r="D4">
            <v>24810</v>
          </cell>
          <cell r="E4">
            <v>24540</v>
          </cell>
          <cell r="F4">
            <v>23110</v>
          </cell>
          <cell r="G4">
            <v>21400</v>
          </cell>
          <cell r="H4">
            <v>20920</v>
          </cell>
          <cell r="I4">
            <v>20460</v>
          </cell>
          <cell r="J4">
            <v>20000</v>
          </cell>
          <cell r="K4">
            <v>21050</v>
          </cell>
          <cell r="L4">
            <v>24800</v>
          </cell>
          <cell r="M4">
            <v>30699.223013698629</v>
          </cell>
          <cell r="N4">
            <v>32409.198894809721</v>
          </cell>
          <cell r="O4">
            <v>39484.485890410957</v>
          </cell>
          <cell r="P4">
            <v>39674.071419852662</v>
          </cell>
          <cell r="Q4">
            <v>37709.156677084116</v>
          </cell>
          <cell r="R4">
            <v>35812.5345440901</v>
          </cell>
          <cell r="S4">
            <v>34212.063916353742</v>
          </cell>
          <cell r="T4">
            <v>32674.420549228282</v>
          </cell>
          <cell r="U4">
            <v>31483.904280938743</v>
          </cell>
          <cell r="V4">
            <v>30512.587485526969</v>
          </cell>
          <cell r="W4">
            <v>29752.490494472899</v>
          </cell>
          <cell r="X4">
            <v>29081.199846868745</v>
          </cell>
          <cell r="Y4">
            <v>28398.967084474902</v>
          </cell>
          <cell r="Z4">
            <v>27747.724447652916</v>
          </cell>
          <cell r="AA4">
            <v>27147.042873759925</v>
          </cell>
          <cell r="AB4">
            <v>26592.971926866667</v>
          </cell>
          <cell r="AC4">
            <v>26101.526226733309</v>
          </cell>
          <cell r="AD4">
            <v>25659.529010857888</v>
          </cell>
          <cell r="AE4">
            <v>25234.002166637874</v>
          </cell>
          <cell r="AF4">
            <v>24862.791009417146</v>
          </cell>
          <cell r="AG4">
            <v>24525.905345274776</v>
          </cell>
          <cell r="AH4">
            <v>24244.97138209856</v>
          </cell>
          <cell r="AI4">
            <v>23988.926039193488</v>
          </cell>
          <cell r="AJ4">
            <v>23684.258745529882</v>
          </cell>
          <cell r="AK4">
            <v>23402.313784090056</v>
          </cell>
          <cell r="AL4">
            <v>23201.558808511061</v>
          </cell>
        </row>
        <row r="5">
          <cell r="B5" t="str">
            <v>Field Condensate</v>
          </cell>
          <cell r="C5">
            <v>2090</v>
          </cell>
          <cell r="D5">
            <v>2350</v>
          </cell>
          <cell r="E5">
            <v>2750</v>
          </cell>
          <cell r="F5">
            <v>3130</v>
          </cell>
          <cell r="G5">
            <v>2900</v>
          </cell>
          <cell r="H5">
            <v>2710</v>
          </cell>
          <cell r="I5">
            <v>2820</v>
          </cell>
          <cell r="J5">
            <v>2900</v>
          </cell>
          <cell r="K5">
            <v>3550</v>
          </cell>
          <cell r="L5">
            <v>5210</v>
          </cell>
          <cell r="M5">
            <v>5570</v>
          </cell>
          <cell r="N5">
            <v>10168.111506849318</v>
          </cell>
          <cell r="O5">
            <v>12126.514109589039</v>
          </cell>
          <cell r="P5">
            <v>12370.496179843112</v>
          </cell>
          <cell r="Q5">
            <v>11898.832950844162</v>
          </cell>
          <cell r="R5">
            <v>11425.812748769778</v>
          </cell>
          <cell r="S5">
            <v>11046.078176455412</v>
          </cell>
          <cell r="T5">
            <v>10727.537251085101</v>
          </cell>
          <cell r="U5">
            <v>10459.878982069014</v>
          </cell>
          <cell r="V5">
            <v>10258.220614268397</v>
          </cell>
          <cell r="W5">
            <v>10122.062980071119</v>
          </cell>
          <cell r="X5">
            <v>10011.793592546333</v>
          </cell>
          <cell r="Y5">
            <v>9893.1766872302505</v>
          </cell>
          <cell r="Z5">
            <v>9780.6382270697904</v>
          </cell>
          <cell r="AA5">
            <v>9681.504280066747</v>
          </cell>
          <cell r="AB5">
            <v>9595.2327787361537</v>
          </cell>
          <cell r="AC5">
            <v>9527.5072359025726</v>
          </cell>
          <cell r="AD5">
            <v>9475.1720235586763</v>
          </cell>
          <cell r="AE5">
            <v>9425.9459892908726</v>
          </cell>
          <cell r="AF5">
            <v>9394.2229483724041</v>
          </cell>
          <cell r="AG5">
            <v>9373.1516739411527</v>
          </cell>
          <cell r="AH5">
            <v>9370.8365341960634</v>
          </cell>
          <cell r="AI5">
            <v>9377.4193972761441</v>
          </cell>
          <cell r="AJ5">
            <v>9363.1257514838162</v>
          </cell>
          <cell r="AK5">
            <v>9355.5571095705454</v>
          </cell>
          <cell r="AL5">
            <v>9378.9375843374692</v>
          </cell>
        </row>
        <row r="6">
          <cell r="B6" t="str">
            <v xml:space="preserve">Mined Bitumen </v>
          </cell>
          <cell r="C6">
            <v>99600</v>
          </cell>
          <cell r="D6">
            <v>120900</v>
          </cell>
          <cell r="E6">
            <v>124700</v>
          </cell>
          <cell r="F6">
            <v>114700</v>
          </cell>
          <cell r="G6">
            <v>131200</v>
          </cell>
          <cell r="H6">
            <v>136242.99205479454</v>
          </cell>
          <cell r="I6">
            <v>141899.05890410958</v>
          </cell>
          <cell r="J6">
            <v>148216.19643835619</v>
          </cell>
          <cell r="K6">
            <v>155178.08602739728</v>
          </cell>
          <cell r="L6">
            <v>152653.42301369866</v>
          </cell>
          <cell r="M6">
            <v>184650.64986301371</v>
          </cell>
          <cell r="N6">
            <v>182833.43972602743</v>
          </cell>
          <cell r="O6">
            <v>202815.78219178083</v>
          </cell>
          <cell r="P6">
            <v>230827.34128777066</v>
          </cell>
          <cell r="Q6">
            <v>252610.17220383271</v>
          </cell>
          <cell r="R6">
            <v>255214.62797112894</v>
          </cell>
          <cell r="S6">
            <v>255219.26784659942</v>
          </cell>
          <cell r="T6">
            <v>255218.37891407206</v>
          </cell>
          <cell r="U6">
            <v>255218.34310268139</v>
          </cell>
          <cell r="V6">
            <v>255218.3540049924</v>
          </cell>
          <cell r="W6">
            <v>255218.35460781632</v>
          </cell>
          <cell r="X6">
            <v>254754.52785425811</v>
          </cell>
          <cell r="Y6">
            <v>253905.33573839106</v>
          </cell>
          <cell r="Z6">
            <v>253066.2780788033</v>
          </cell>
          <cell r="AA6">
            <v>252237.23391600058</v>
          </cell>
          <cell r="AB6">
            <v>251418.08374805184</v>
          </cell>
          <cell r="AC6">
            <v>250099.36226325965</v>
          </cell>
          <cell r="AD6">
            <v>248367.11421334581</v>
          </cell>
          <cell r="AE6">
            <v>246655.53919189793</v>
          </cell>
          <cell r="AF6">
            <v>244964.39048245654</v>
          </cell>
          <cell r="AG6">
            <v>243293.4243129307</v>
          </cell>
          <cell r="AH6">
            <v>241642.39982045861</v>
          </cell>
          <cell r="AI6">
            <v>240011.07901668912</v>
          </cell>
          <cell r="AJ6">
            <v>238399.22675347622</v>
          </cell>
          <cell r="AK6">
            <v>236806.61068898335</v>
          </cell>
          <cell r="AL6">
            <v>235233.00125419264</v>
          </cell>
        </row>
        <row r="7">
          <cell r="B7" t="str">
            <v xml:space="preserve">In Situ Bitumen </v>
          </cell>
          <cell r="C7">
            <v>69700</v>
          </cell>
          <cell r="D7">
            <v>78500</v>
          </cell>
          <cell r="E7">
            <v>85200</v>
          </cell>
          <cell r="F7">
            <v>92700</v>
          </cell>
          <cell r="G7">
            <v>105500</v>
          </cell>
          <cell r="H7">
            <v>119629.14712328766</v>
          </cell>
          <cell r="I7">
            <v>134719.58268493149</v>
          </cell>
          <cell r="J7">
            <v>157385.20219178079</v>
          </cell>
          <cell r="K7">
            <v>175859.07172602741</v>
          </cell>
          <cell r="L7">
            <v>200748.64076712329</v>
          </cell>
          <cell r="M7">
            <v>216516.94391559192</v>
          </cell>
          <cell r="N7">
            <v>222306.83333061248</v>
          </cell>
          <cell r="O7">
            <v>245914.92329379948</v>
          </cell>
          <cell r="P7">
            <v>262105.56735817689</v>
          </cell>
          <cell r="Q7">
            <v>266200.64083449525</v>
          </cell>
          <cell r="R7">
            <v>272369.90019026212</v>
          </cell>
          <cell r="S7">
            <v>277891.72130446549</v>
          </cell>
          <cell r="T7">
            <v>277332.06605173368</v>
          </cell>
          <cell r="U7">
            <v>276737.26567004743</v>
          </cell>
          <cell r="V7">
            <v>275953.35921430634</v>
          </cell>
          <cell r="W7">
            <v>274494.12952158827</v>
          </cell>
          <cell r="X7">
            <v>272761.42658576596</v>
          </cell>
          <cell r="Y7">
            <v>271172.25668488018</v>
          </cell>
          <cell r="Z7">
            <v>269672.16622057935</v>
          </cell>
          <cell r="AA7">
            <v>268254.44145089231</v>
          </cell>
          <cell r="AB7">
            <v>265307.69298158528</v>
          </cell>
          <cell r="AC7">
            <v>261225.38814195938</v>
          </cell>
          <cell r="AD7">
            <v>257323.68785441664</v>
          </cell>
          <cell r="AE7">
            <v>253551.04782070307</v>
          </cell>
          <cell r="AF7">
            <v>249897.80777760805</v>
          </cell>
          <cell r="AG7">
            <v>244007.25400471312</v>
          </cell>
          <cell r="AH7">
            <v>236537.13605194734</v>
          </cell>
          <cell r="AI7">
            <v>229494.98215298148</v>
          </cell>
          <cell r="AJ7">
            <v>221539.68759833139</v>
          </cell>
          <cell r="AK7">
            <v>212960.40922699627</v>
          </cell>
          <cell r="AL7">
            <v>204900.99519514298</v>
          </cell>
        </row>
        <row r="10">
          <cell r="B10" t="str">
            <v>Conventional Light</v>
          </cell>
          <cell r="C10">
            <v>4645.0814215309774</v>
          </cell>
          <cell r="D10">
            <v>4506.6333115719408</v>
          </cell>
          <cell r="E10">
            <v>4045.0273214285717</v>
          </cell>
          <cell r="F10">
            <v>3676.5833333333326</v>
          </cell>
          <cell r="G10">
            <v>3498.2216820276499</v>
          </cell>
          <cell r="H10">
            <v>3464.9128584229393</v>
          </cell>
          <cell r="I10">
            <v>3237.5430209933434</v>
          </cell>
          <cell r="J10">
            <v>3325.7563966135208</v>
          </cell>
          <cell r="K10">
            <v>3123.6676024065546</v>
          </cell>
          <cell r="L10">
            <v>3412.9239823348694</v>
          </cell>
          <cell r="M10">
            <v>3376.5470302099329</v>
          </cell>
          <cell r="N10">
            <v>3694.2616858237539</v>
          </cell>
          <cell r="O10">
            <v>3350.1810418182517</v>
          </cell>
          <cell r="P10">
            <v>3193.7103885634206</v>
          </cell>
          <cell r="Q10">
            <v>2945.2426805345417</v>
          </cell>
          <cell r="R10">
            <v>2623.0590390534671</v>
          </cell>
          <cell r="S10">
            <v>2380.6574350443557</v>
          </cell>
          <cell r="T10">
            <v>2188.250886059257</v>
          </cell>
          <cell r="U10">
            <v>2056.1339152242099</v>
          </cell>
          <cell r="V10">
            <v>1980.8565770867169</v>
          </cell>
          <cell r="W10">
            <v>1941.8145226235265</v>
          </cell>
          <cell r="X10">
            <v>1909.275043037796</v>
          </cell>
          <cell r="Y10">
            <v>1890.127959342992</v>
          </cell>
          <cell r="Z10">
            <v>1882.5255605867826</v>
          </cell>
          <cell r="AA10">
            <v>1880.9252437210739</v>
          </cell>
          <cell r="AB10">
            <v>1883.239166183901</v>
          </cell>
          <cell r="AC10">
            <v>1889.2907699247216</v>
          </cell>
          <cell r="AD10">
            <v>1900.2380151539787</v>
          </cell>
          <cell r="AE10">
            <v>1915.8450262998026</v>
          </cell>
          <cell r="AF10">
            <v>1935.8967264631342</v>
          </cell>
          <cell r="AG10">
            <v>1956.3420160638423</v>
          </cell>
          <cell r="AH10">
            <v>1977.342150315686</v>
          </cell>
          <cell r="AI10">
            <v>2005.6976573321042</v>
          </cell>
          <cell r="AJ10">
            <v>2037.6106780987093</v>
          </cell>
          <cell r="AK10">
            <v>2072.3911904374609</v>
          </cell>
          <cell r="AL10">
            <v>2111.007285839657</v>
          </cell>
        </row>
        <row r="11">
          <cell r="B11" t="str">
            <v>Conventional Heavy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</row>
        <row r="12">
          <cell r="B12" t="str">
            <v>C5+</v>
          </cell>
          <cell r="C12">
            <v>1430</v>
          </cell>
          <cell r="D12">
            <v>1450</v>
          </cell>
          <cell r="E12">
            <v>1290</v>
          </cell>
          <cell r="F12">
            <v>1170</v>
          </cell>
          <cell r="G12">
            <v>1260</v>
          </cell>
          <cell r="H12">
            <v>1420</v>
          </cell>
          <cell r="I12">
            <v>1780</v>
          </cell>
          <cell r="J12">
            <v>2029.9999999999998</v>
          </cell>
          <cell r="K12">
            <v>2460</v>
          </cell>
          <cell r="L12">
            <v>3010</v>
          </cell>
          <cell r="M12">
            <v>3470</v>
          </cell>
          <cell r="N12">
            <v>4181.2090410958917</v>
          </cell>
          <cell r="O12">
            <v>5720.4719178082196</v>
          </cell>
          <cell r="P12">
            <v>6056.643083689075</v>
          </cell>
          <cell r="Q12">
            <v>5821.2363518751208</v>
          </cell>
          <cell r="R12">
            <v>5604.0127298370098</v>
          </cell>
          <cell r="S12">
            <v>5460.9687710819344</v>
          </cell>
          <cell r="T12">
            <v>5359.7786809852323</v>
          </cell>
          <cell r="U12">
            <v>5284.2623955197241</v>
          </cell>
          <cell r="V12">
            <v>5237.9427220909374</v>
          </cell>
          <cell r="W12">
            <v>5220.3516022125468</v>
          </cell>
          <cell r="X12">
            <v>5212.9703954793258</v>
          </cell>
          <cell r="Y12">
            <v>5196.5222406163966</v>
          </cell>
          <cell r="Z12">
            <v>5177.8102819961323</v>
          </cell>
          <cell r="AA12">
            <v>5161.0597900928697</v>
          </cell>
          <cell r="AB12">
            <v>5147.7823748652454</v>
          </cell>
          <cell r="AC12">
            <v>5138.0924315713801</v>
          </cell>
          <cell r="AD12">
            <v>5135.0486069733115</v>
          </cell>
          <cell r="AE12">
            <v>5129.9444480886959</v>
          </cell>
          <cell r="AF12">
            <v>5130.2267213134674</v>
          </cell>
          <cell r="AG12">
            <v>5133.032665732555</v>
          </cell>
          <cell r="AH12">
            <v>5139.9737019324521</v>
          </cell>
          <cell r="AI12">
            <v>5152.7241429500518</v>
          </cell>
          <cell r="AJ12">
            <v>5151.162711391582</v>
          </cell>
          <cell r="AK12">
            <v>5149.0547787876467</v>
          </cell>
          <cell r="AL12">
            <v>5160.7249182556507</v>
          </cell>
        </row>
        <row r="13">
          <cell r="B13" t="str">
            <v>Field Condensate</v>
          </cell>
          <cell r="C13">
            <v>550</v>
          </cell>
          <cell r="D13">
            <v>600</v>
          </cell>
          <cell r="E13">
            <v>660</v>
          </cell>
          <cell r="F13">
            <v>720</v>
          </cell>
          <cell r="G13">
            <v>720</v>
          </cell>
          <cell r="H13">
            <v>790</v>
          </cell>
          <cell r="I13">
            <v>880</v>
          </cell>
          <cell r="J13">
            <v>900</v>
          </cell>
          <cell r="K13">
            <v>960</v>
          </cell>
          <cell r="L13">
            <v>1430</v>
          </cell>
          <cell r="M13">
            <v>1840</v>
          </cell>
          <cell r="N13">
            <v>2536.7909589041078</v>
          </cell>
          <cell r="O13">
            <v>2619.52808219178</v>
          </cell>
          <cell r="P13">
            <v>2800.9282261957851</v>
          </cell>
          <cell r="Q13">
            <v>2718.7171657303047</v>
          </cell>
          <cell r="R13">
            <v>2643.1798064675409</v>
          </cell>
          <cell r="S13">
            <v>2601.2140166681402</v>
          </cell>
          <cell r="T13">
            <v>2578.2916816588718</v>
          </cell>
          <cell r="U13">
            <v>2567.1329633745249</v>
          </cell>
          <cell r="V13">
            <v>2569.8248920609849</v>
          </cell>
          <cell r="W13">
            <v>2586.5527460004901</v>
          </cell>
          <cell r="X13">
            <v>2608.4687671650249</v>
          </cell>
          <cell r="Y13">
            <v>2625.9833660641712</v>
          </cell>
          <cell r="Z13">
            <v>2642.4337762701107</v>
          </cell>
          <cell r="AA13">
            <v>2659.9634352281678</v>
          </cell>
          <cell r="AB13">
            <v>2679.388894340208</v>
          </cell>
          <cell r="AC13">
            <v>2700.8240054949292</v>
          </cell>
          <cell r="AD13">
            <v>2725.9490179269987</v>
          </cell>
          <cell r="AE13">
            <v>2750.2022337668195</v>
          </cell>
          <cell r="AF13">
            <v>2777.5847859813875</v>
          </cell>
          <cell r="AG13">
            <v>2806.6198489386779</v>
          </cell>
          <cell r="AH13">
            <v>2838.240933507765</v>
          </cell>
          <cell r="AI13">
            <v>2873.4527016107832</v>
          </cell>
          <cell r="AJ13">
            <v>2901.0233638962654</v>
          </cell>
          <cell r="AK13">
            <v>2928.5474715925225</v>
          </cell>
          <cell r="AL13">
            <v>2964.2461513381227</v>
          </cell>
        </row>
        <row r="14">
          <cell r="B14" t="str">
            <v>Conventional Light</v>
          </cell>
          <cell r="C14">
            <v>61608.885781863297</v>
          </cell>
          <cell r="D14">
            <v>59160.558397498877</v>
          </cell>
          <cell r="E14">
            <v>57156.982398125292</v>
          </cell>
          <cell r="F14">
            <v>55079.4261325193</v>
          </cell>
          <cell r="G14">
            <v>50836.217720381457</v>
          </cell>
          <cell r="H14">
            <v>51338.873677928677</v>
          </cell>
          <cell r="I14">
            <v>56341.617267120324</v>
          </cell>
          <cell r="J14">
            <v>65504.216617338796</v>
          </cell>
          <cell r="K14">
            <v>69200.576338328712</v>
          </cell>
          <cell r="L14">
            <v>71051.166299791337</v>
          </cell>
          <cell r="M14">
            <v>64074.35544146796</v>
          </cell>
          <cell r="N14">
            <v>53323.447957963377</v>
          </cell>
          <cell r="O14">
            <v>53315.231226348718</v>
          </cell>
          <cell r="P14">
            <v>54340.060093030908</v>
          </cell>
          <cell r="Q14">
            <v>53043.212526924304</v>
          </cell>
          <cell r="R14">
            <v>49782.105713326382</v>
          </cell>
          <cell r="S14">
            <v>47099.862052231285</v>
          </cell>
          <cell r="T14">
            <v>44700.532217056782</v>
          </cell>
          <cell r="U14">
            <v>42681.698902536475</v>
          </cell>
          <cell r="V14">
            <v>40985.171126611996</v>
          </cell>
          <cell r="W14">
            <v>39515.694641813949</v>
          </cell>
          <cell r="X14">
            <v>38221.891762197331</v>
          </cell>
          <cell r="Y14">
            <v>37000.153773363869</v>
          </cell>
          <cell r="Z14">
            <v>35810.974518579904</v>
          </cell>
          <cell r="AA14">
            <v>34663.495296012385</v>
          </cell>
          <cell r="AB14">
            <v>33542.720432271417</v>
          </cell>
          <cell r="AC14">
            <v>32442.349551822452</v>
          </cell>
          <cell r="AD14">
            <v>31358.224309576035</v>
          </cell>
          <cell r="AE14">
            <v>30326.674941078043</v>
          </cell>
          <cell r="AF14">
            <v>29351.349623712129</v>
          </cell>
          <cell r="AG14">
            <v>28410.451099825827</v>
          </cell>
          <cell r="AH14">
            <v>27504.028291011728</v>
          </cell>
          <cell r="AI14">
            <v>26627.805376090222</v>
          </cell>
          <cell r="AJ14">
            <v>25771.621247085244</v>
          </cell>
          <cell r="AK14">
            <v>24917.375838572581</v>
          </cell>
          <cell r="AL14">
            <v>24091.349486463521</v>
          </cell>
        </row>
        <row r="15">
          <cell r="B15" t="str">
            <v>Conventional Heavy</v>
          </cell>
          <cell r="C15">
            <v>29193.593812990777</v>
          </cell>
          <cell r="D15">
            <v>27160.952141415612</v>
          </cell>
          <cell r="E15">
            <v>26214.863449288954</v>
          </cell>
          <cell r="F15">
            <v>24858.490534147371</v>
          </cell>
          <cell r="G15">
            <v>22446.045407498725</v>
          </cell>
          <cell r="H15">
            <v>21617.565081031888</v>
          </cell>
          <cell r="I15">
            <v>21535.350062628768</v>
          </cell>
          <cell r="J15">
            <v>22936.758509477593</v>
          </cell>
          <cell r="K15">
            <v>23326.349274190499</v>
          </cell>
          <cell r="L15">
            <v>22640.786462625441</v>
          </cell>
          <cell r="M15">
            <v>20228.204740943693</v>
          </cell>
          <cell r="N15">
            <v>17488.412924688299</v>
          </cell>
          <cell r="O15">
            <v>17204.000523056242</v>
          </cell>
          <cell r="P15">
            <v>16180.838571060292</v>
          </cell>
          <cell r="Q15">
            <v>14714.363987135865</v>
          </cell>
          <cell r="R15">
            <v>12958.635248116228</v>
          </cell>
          <cell r="S15">
            <v>11550.067869321698</v>
          </cell>
          <cell r="T15">
            <v>10409.526272159615</v>
          </cell>
          <cell r="U15">
            <v>9507.1821526054391</v>
          </cell>
          <cell r="V15">
            <v>8805.283227761016</v>
          </cell>
          <cell r="W15">
            <v>8253.749811462676</v>
          </cell>
          <cell r="X15">
            <v>7818.1309958607853</v>
          </cell>
          <cell r="Y15">
            <v>7455.6271181843576</v>
          </cell>
          <cell r="Z15">
            <v>7135.2600091473269</v>
          </cell>
          <cell r="AA15">
            <v>6847.7007584127177</v>
          </cell>
          <cell r="AB15">
            <v>6586.8810828913456</v>
          </cell>
          <cell r="AC15">
            <v>6348.0216163349969</v>
          </cell>
          <cell r="AD15">
            <v>6128.4810360953934</v>
          </cell>
          <cell r="AE15">
            <v>5927.16843049208</v>
          </cell>
          <cell r="AF15">
            <v>5740.3290482682523</v>
          </cell>
          <cell r="AG15">
            <v>5564.9532593325566</v>
          </cell>
          <cell r="AH15">
            <v>5399.9114113117639</v>
          </cell>
          <cell r="AI15">
            <v>5244.1589290827069</v>
          </cell>
          <cell r="AJ15">
            <v>5092.4453320374714</v>
          </cell>
          <cell r="AK15">
            <v>4937.6583687169559</v>
          </cell>
          <cell r="AL15">
            <v>4787.1802411163198</v>
          </cell>
        </row>
        <row r="16">
          <cell r="B16" t="str">
            <v>C5+</v>
          </cell>
          <cell r="C16">
            <v>20570</v>
          </cell>
          <cell r="D16">
            <v>21350</v>
          </cell>
          <cell r="E16">
            <v>21260</v>
          </cell>
          <cell r="F16">
            <v>20070</v>
          </cell>
          <cell r="G16">
            <v>18840</v>
          </cell>
          <cell r="H16">
            <v>18330</v>
          </cell>
          <cell r="I16">
            <v>17720</v>
          </cell>
          <cell r="J16">
            <v>17290</v>
          </cell>
          <cell r="K16">
            <v>18160</v>
          </cell>
          <cell r="L16">
            <v>21230</v>
          </cell>
          <cell r="M16">
            <v>26690</v>
          </cell>
          <cell r="N16">
            <v>27711.679452054788</v>
          </cell>
          <cell r="O16">
            <v>33352.013972602741</v>
          </cell>
          <cell r="P16">
            <v>33242.42833616359</v>
          </cell>
          <cell r="Q16">
            <v>31576.920325208997</v>
          </cell>
          <cell r="R16">
            <v>29913.521814253087</v>
          </cell>
          <cell r="S16">
            <v>28481.095145271804</v>
          </cell>
          <cell r="T16">
            <v>27214.641868243049</v>
          </cell>
          <cell r="U16">
            <v>26099.64188541902</v>
          </cell>
          <cell r="V16">
            <v>25174.64476343603</v>
          </cell>
          <cell r="W16">
            <v>24432.138892260351</v>
          </cell>
          <cell r="X16">
            <v>23768.229451389419</v>
          </cell>
          <cell r="Y16">
            <v>23102.444843858506</v>
          </cell>
          <cell r="Z16">
            <v>22469.914165656784</v>
          </cell>
          <cell r="AA16">
            <v>21885.983083667055</v>
          </cell>
          <cell r="AB16">
            <v>21345.189552001422</v>
          </cell>
          <cell r="AC16">
            <v>20863.433795161927</v>
          </cell>
          <cell r="AD16">
            <v>20424.480403884576</v>
          </cell>
          <cell r="AE16">
            <v>20004.057718549178</v>
          </cell>
          <cell r="AF16">
            <v>19632.56428810368</v>
          </cell>
          <cell r="AG16">
            <v>19292.872679542223</v>
          </cell>
          <cell r="AH16">
            <v>19004.997680166107</v>
          </cell>
          <cell r="AI16">
            <v>18736.201896243438</v>
          </cell>
          <cell r="AJ16">
            <v>18433.0960341383</v>
          </cell>
          <cell r="AK16">
            <v>18153.259005302411</v>
          </cell>
          <cell r="AL16">
            <v>17940.83389025541</v>
          </cell>
        </row>
        <row r="17">
          <cell r="B17" t="str">
            <v>Field Condensate</v>
          </cell>
          <cell r="C17">
            <v>1540</v>
          </cell>
          <cell r="D17">
            <v>1750</v>
          </cell>
          <cell r="E17">
            <v>2090</v>
          </cell>
          <cell r="F17">
            <v>2410</v>
          </cell>
          <cell r="G17">
            <v>2180</v>
          </cell>
          <cell r="H17">
            <v>1920</v>
          </cell>
          <cell r="I17">
            <v>1940</v>
          </cell>
          <cell r="J17">
            <v>2000</v>
          </cell>
          <cell r="K17">
            <v>2590</v>
          </cell>
          <cell r="L17">
            <v>3780</v>
          </cell>
          <cell r="M17">
            <v>3730</v>
          </cell>
          <cell r="N17">
            <v>7631.3205479452108</v>
          </cell>
          <cell r="O17">
            <v>9506.986027397259</v>
          </cell>
          <cell r="P17">
            <v>9569.5679536473272</v>
          </cell>
          <cell r="Q17">
            <v>9180.1157851138578</v>
          </cell>
          <cell r="R17">
            <v>8782.632942302238</v>
          </cell>
          <cell r="S17">
            <v>8444.864159787272</v>
          </cell>
          <cell r="T17">
            <v>8149.2455694262298</v>
          </cell>
          <cell r="U17">
            <v>7892.74601869449</v>
          </cell>
          <cell r="V17">
            <v>7688.3957222074114</v>
          </cell>
          <cell r="W17">
            <v>7535.5102340706289</v>
          </cell>
          <cell r="X17">
            <v>7403.3248253813081</v>
          </cell>
          <cell r="Y17">
            <v>7267.1933211660789</v>
          </cell>
          <cell r="Z17">
            <v>7138.2044507996807</v>
          </cell>
          <cell r="AA17">
            <v>7021.5408448385797</v>
          </cell>
          <cell r="AB17">
            <v>6915.8438843959466</v>
          </cell>
          <cell r="AC17">
            <v>6826.6832304076434</v>
          </cell>
          <cell r="AD17">
            <v>6749.2230056316785</v>
          </cell>
          <cell r="AE17">
            <v>6675.7437555240531</v>
          </cell>
          <cell r="AF17">
            <v>6616.6381623910165</v>
          </cell>
          <cell r="AG17">
            <v>6566.5318250024757</v>
          </cell>
          <cell r="AH17">
            <v>6532.5956006882989</v>
          </cell>
          <cell r="AI17">
            <v>6503.9666956653609</v>
          </cell>
          <cell r="AJ17">
            <v>6462.1023875875508</v>
          </cell>
          <cell r="AK17">
            <v>6427.0096379780225</v>
          </cell>
          <cell r="AL17">
            <v>6414.6914329993469</v>
          </cell>
        </row>
        <row r="18">
          <cell r="B18" t="str">
            <v xml:space="preserve">Mined Bitumen </v>
          </cell>
          <cell r="C18">
            <v>99600</v>
          </cell>
          <cell r="D18">
            <v>120900</v>
          </cell>
          <cell r="E18">
            <v>124700</v>
          </cell>
          <cell r="F18">
            <v>114700</v>
          </cell>
          <cell r="G18">
            <v>131200</v>
          </cell>
          <cell r="H18">
            <v>136242.99205479454</v>
          </cell>
          <cell r="I18">
            <v>141899.05890410958</v>
          </cell>
          <cell r="J18">
            <v>148216.19643835619</v>
          </cell>
          <cell r="K18">
            <v>155178.08602739728</v>
          </cell>
          <cell r="L18">
            <v>152653.42301369866</v>
          </cell>
          <cell r="M18">
            <v>184650.64986301371</v>
          </cell>
          <cell r="N18">
            <v>182833.43972602743</v>
          </cell>
          <cell r="O18">
            <v>202815.78219178083</v>
          </cell>
          <cell r="P18">
            <v>230827.34128777066</v>
          </cell>
          <cell r="Q18">
            <v>252610.17220383271</v>
          </cell>
          <cell r="R18">
            <v>255214.62797112894</v>
          </cell>
          <cell r="S18">
            <v>255219.26784659942</v>
          </cell>
          <cell r="T18">
            <v>255218.37891407206</v>
          </cell>
          <cell r="U18">
            <v>255218.34310268139</v>
          </cell>
          <cell r="V18">
            <v>255218.3540049924</v>
          </cell>
          <cell r="W18">
            <v>255218.35460781632</v>
          </cell>
          <cell r="X18">
            <v>254754.52785425811</v>
          </cell>
          <cell r="Y18">
            <v>253905.33573839106</v>
          </cell>
          <cell r="Z18">
            <v>253066.2780788033</v>
          </cell>
          <cell r="AA18">
            <v>252237.23391600058</v>
          </cell>
          <cell r="AB18">
            <v>251418.08374805184</v>
          </cell>
          <cell r="AC18">
            <v>250099.36226325965</v>
          </cell>
          <cell r="AD18">
            <v>248367.11421334581</v>
          </cell>
          <cell r="AE18">
            <v>246655.53919189793</v>
          </cell>
          <cell r="AF18">
            <v>244964.39048245654</v>
          </cell>
          <cell r="AG18">
            <v>243293.4243129307</v>
          </cell>
          <cell r="AH18">
            <v>241642.39982045861</v>
          </cell>
          <cell r="AI18">
            <v>240011.07901668912</v>
          </cell>
          <cell r="AJ18">
            <v>238399.22675347622</v>
          </cell>
          <cell r="AK18">
            <v>236806.61068898335</v>
          </cell>
          <cell r="AL18">
            <v>235233.00125419264</v>
          </cell>
        </row>
        <row r="19">
          <cell r="B19" t="str">
            <v xml:space="preserve">In Situ Bitumen </v>
          </cell>
          <cell r="C19">
            <v>69700</v>
          </cell>
          <cell r="D19">
            <v>78500</v>
          </cell>
          <cell r="E19">
            <v>85200</v>
          </cell>
          <cell r="F19">
            <v>92700</v>
          </cell>
          <cell r="G19">
            <v>105500</v>
          </cell>
          <cell r="H19">
            <v>119629.14712328766</v>
          </cell>
          <cell r="I19">
            <v>134719.58268493149</v>
          </cell>
          <cell r="J19">
            <v>157385.20219178079</v>
          </cell>
          <cell r="K19">
            <v>175859.07172602741</v>
          </cell>
          <cell r="L19">
            <v>200748.64076712329</v>
          </cell>
          <cell r="M19">
            <v>216516.94391559192</v>
          </cell>
          <cell r="N19">
            <v>222306.83333061248</v>
          </cell>
          <cell r="O19">
            <v>245914.92329379948</v>
          </cell>
          <cell r="P19">
            <v>262105.56735817689</v>
          </cell>
          <cell r="Q19">
            <v>266200.64083449525</v>
          </cell>
          <cell r="R19">
            <v>272369.90019026212</v>
          </cell>
          <cell r="S19">
            <v>277891.72130446549</v>
          </cell>
          <cell r="T19">
            <v>277332.06605173368</v>
          </cell>
          <cell r="U19">
            <v>276737.26567004743</v>
          </cell>
          <cell r="V19">
            <v>275953.35921430634</v>
          </cell>
          <cell r="W19">
            <v>274494.12952158827</v>
          </cell>
          <cell r="X19">
            <v>272761.42658576596</v>
          </cell>
          <cell r="Y19">
            <v>271172.25668488018</v>
          </cell>
          <cell r="Z19">
            <v>269672.16622057935</v>
          </cell>
          <cell r="AA19">
            <v>268254.44145089231</v>
          </cell>
          <cell r="AB19">
            <v>265307.69298158528</v>
          </cell>
          <cell r="AC19">
            <v>261225.38814195938</v>
          </cell>
          <cell r="AD19">
            <v>257323.68785441664</v>
          </cell>
          <cell r="AE19">
            <v>253551.04782070307</v>
          </cell>
          <cell r="AF19">
            <v>249897.80777760805</v>
          </cell>
          <cell r="AG19">
            <v>244007.25400471312</v>
          </cell>
          <cell r="AH19">
            <v>236537.13605194734</v>
          </cell>
          <cell r="AI19">
            <v>229494.98215298148</v>
          </cell>
          <cell r="AJ19">
            <v>221539.68759833139</v>
          </cell>
          <cell r="AK19">
            <v>212960.40922699627</v>
          </cell>
          <cell r="AL19">
            <v>204900.99519514298</v>
          </cell>
        </row>
        <row r="21">
          <cell r="B21" t="str">
            <v>Conventional Light</v>
          </cell>
          <cell r="C21">
            <v>96.492316484880945</v>
          </cell>
          <cell r="D21">
            <v>679.74809020666567</v>
          </cell>
          <cell r="E21">
            <v>2091.8865299329486</v>
          </cell>
          <cell r="F21">
            <v>6718.4492038985163</v>
          </cell>
          <cell r="G21">
            <v>9701.0385576611534</v>
          </cell>
          <cell r="H21">
            <v>9228.2576536040469</v>
          </cell>
          <cell r="I21">
            <v>9711.9899431634058</v>
          </cell>
          <cell r="J21">
            <v>10965.345709805462</v>
          </cell>
          <cell r="K21">
            <v>11162.071896151936</v>
          </cell>
          <cell r="L21">
            <v>12443.269117385948</v>
          </cell>
          <cell r="M21">
            <v>10860.397371171624</v>
          </cell>
          <cell r="N21">
            <v>9253.1959502336631</v>
          </cell>
          <cell r="O21">
            <v>9004.3643733022636</v>
          </cell>
          <cell r="P21">
            <v>8738.465937597859</v>
          </cell>
          <cell r="Q21">
            <v>7894.7375032269329</v>
          </cell>
          <cell r="R21">
            <v>6843.5312742628821</v>
          </cell>
          <cell r="S21">
            <v>6048.514347285819</v>
          </cell>
          <cell r="T21">
            <v>5429.804501912583</v>
          </cell>
          <cell r="U21">
            <v>4971.0744732822559</v>
          </cell>
          <cell r="V21">
            <v>4633.670045908907</v>
          </cell>
          <cell r="W21">
            <v>4377.7259155746933</v>
          </cell>
          <cell r="X21">
            <v>4180.7274839468537</v>
          </cell>
          <cell r="Y21">
            <v>4017.68060019739</v>
          </cell>
          <cell r="Z21">
            <v>3874.8466696119813</v>
          </cell>
          <cell r="AA21">
            <v>3749.8929888669386</v>
          </cell>
          <cell r="AB21">
            <v>3639.5252927212396</v>
          </cell>
          <cell r="AC21">
            <v>3541.3123126382884</v>
          </cell>
          <cell r="AD21">
            <v>3453.6269988315471</v>
          </cell>
          <cell r="AE21">
            <v>3374.8570009824771</v>
          </cell>
          <cell r="AF21">
            <v>3302.2444168992765</v>
          </cell>
          <cell r="AG21">
            <v>3233.8509649683383</v>
          </cell>
          <cell r="AH21">
            <v>3168.7417978995054</v>
          </cell>
          <cell r="AI21">
            <v>3109.1156209402434</v>
          </cell>
          <cell r="AJ21">
            <v>3052.2561548593217</v>
          </cell>
          <cell r="AK21">
            <v>2997.1067476801222</v>
          </cell>
          <cell r="AL21">
            <v>2943.0157099061257</v>
          </cell>
        </row>
        <row r="22">
          <cell r="B22" t="str">
            <v>Conventional Heavy</v>
          </cell>
          <cell r="C22">
            <v>66520.777872327206</v>
          </cell>
          <cell r="D22">
            <v>67372.372664401628</v>
          </cell>
          <cell r="E22">
            <v>65879.084796231924</v>
          </cell>
          <cell r="F22">
            <v>63127.050796101496</v>
          </cell>
          <cell r="G22">
            <v>57738.111714996281</v>
          </cell>
          <cell r="H22">
            <v>57927.210582443062</v>
          </cell>
          <cell r="I22">
            <v>58235.193228879602</v>
          </cell>
          <cell r="J22">
            <v>63998.916429851473</v>
          </cell>
          <cell r="K22">
            <v>65898.730391354446</v>
          </cell>
          <cell r="L22">
            <v>76109.268382614042</v>
          </cell>
          <cell r="M22">
            <v>66480.901538198566</v>
          </cell>
          <cell r="N22">
            <v>63793.965540929341</v>
          </cell>
          <cell r="O22">
            <v>68379.877899827276</v>
          </cell>
          <cell r="P22">
            <v>72332.06499138783</v>
          </cell>
          <cell r="Q22">
            <v>73558.29100391372</v>
          </cell>
          <cell r="R22">
            <v>71881.508031924343</v>
          </cell>
          <cell r="S22">
            <v>70212.833441299343</v>
          </cell>
          <cell r="T22">
            <v>68686.219062596749</v>
          </cell>
          <cell r="U22">
            <v>67221.685122589115</v>
          </cell>
          <cell r="V22">
            <v>65696.232298945033</v>
          </cell>
          <cell r="W22">
            <v>63974.83459670029</v>
          </cell>
          <cell r="X22">
            <v>62238.472567125878</v>
          </cell>
          <cell r="Y22">
            <v>60552.728725965171</v>
          </cell>
          <cell r="Z22">
            <v>58873.339617791869</v>
          </cell>
          <cell r="AA22">
            <v>57158.932528943005</v>
          </cell>
          <cell r="AB22">
            <v>55481.318138543487</v>
          </cell>
          <cell r="AC22">
            <v>53904.123765963355</v>
          </cell>
          <cell r="AD22">
            <v>52399.015043974548</v>
          </cell>
          <cell r="AE22">
            <v>50889.036133843882</v>
          </cell>
          <cell r="AF22">
            <v>49419.543883114478</v>
          </cell>
          <cell r="AG22">
            <v>48008.777546481848</v>
          </cell>
          <cell r="AH22">
            <v>46576.102095172115</v>
          </cell>
          <cell r="AI22">
            <v>45360.47170447831</v>
          </cell>
          <cell r="AJ22">
            <v>44196.191690322099</v>
          </cell>
          <cell r="AK22">
            <v>43095.340970988931</v>
          </cell>
          <cell r="AL22">
            <v>42040.669857076937</v>
          </cell>
        </row>
        <row r="23">
          <cell r="B23" t="str">
            <v>C5+</v>
          </cell>
          <cell r="C23">
            <v>90</v>
          </cell>
          <cell r="D23">
            <v>100</v>
          </cell>
          <cell r="E23">
            <v>100</v>
          </cell>
          <cell r="F23">
            <v>120</v>
          </cell>
          <cell r="G23">
            <v>170</v>
          </cell>
          <cell r="H23">
            <v>100</v>
          </cell>
          <cell r="I23">
            <v>100</v>
          </cell>
          <cell r="J23">
            <v>100</v>
          </cell>
          <cell r="K23">
            <v>100</v>
          </cell>
          <cell r="L23">
            <v>100</v>
          </cell>
          <cell r="M23">
            <v>100</v>
          </cell>
          <cell r="N23">
            <v>100</v>
          </cell>
          <cell r="O23">
            <v>100</v>
          </cell>
          <cell r="P23">
            <v>100</v>
          </cell>
          <cell r="Q23">
            <v>100</v>
          </cell>
          <cell r="R23">
            <v>100</v>
          </cell>
          <cell r="S23">
            <v>100</v>
          </cell>
          <cell r="T23">
            <v>100</v>
          </cell>
          <cell r="U23">
            <v>100</v>
          </cell>
          <cell r="V23">
            <v>100</v>
          </cell>
          <cell r="W23">
            <v>100</v>
          </cell>
          <cell r="X23">
            <v>100</v>
          </cell>
          <cell r="Y23">
            <v>100</v>
          </cell>
          <cell r="Z23">
            <v>100</v>
          </cell>
          <cell r="AA23">
            <v>100</v>
          </cell>
          <cell r="AB23">
            <v>100</v>
          </cell>
          <cell r="AC23">
            <v>100</v>
          </cell>
          <cell r="AD23">
            <v>100</v>
          </cell>
          <cell r="AE23">
            <v>100</v>
          </cell>
          <cell r="AF23">
            <v>100</v>
          </cell>
          <cell r="AG23">
            <v>100</v>
          </cell>
          <cell r="AH23">
            <v>100</v>
          </cell>
          <cell r="AI23">
            <v>100</v>
          </cell>
          <cell r="AJ23">
            <v>100</v>
          </cell>
          <cell r="AK23">
            <v>100</v>
          </cell>
          <cell r="AL23">
            <v>100</v>
          </cell>
        </row>
        <row r="24">
          <cell r="B24" t="str">
            <v>Conventional Light</v>
          </cell>
          <cell r="C24">
            <v>2203.4851382488482</v>
          </cell>
          <cell r="D24">
            <v>3398.1617415514593</v>
          </cell>
          <cell r="E24">
            <v>3531.5109030977987</v>
          </cell>
          <cell r="F24">
            <v>3746.5833333333339</v>
          </cell>
          <cell r="G24">
            <v>4116.2247580645162</v>
          </cell>
          <cell r="H24">
            <v>4763.6846684587817</v>
          </cell>
          <cell r="I24">
            <v>6462.2715092165899</v>
          </cell>
          <cell r="J24">
            <v>8094.5645528982814</v>
          </cell>
          <cell r="K24">
            <v>8262.7367191500271</v>
          </cell>
          <cell r="L24">
            <v>7781.3506688428042</v>
          </cell>
          <cell r="M24">
            <v>7282.7969105222728</v>
          </cell>
          <cell r="N24">
            <v>6380.9985653812873</v>
          </cell>
          <cell r="O24">
            <v>5830.8193436537013</v>
          </cell>
          <cell r="P24">
            <v>5369.865258996082</v>
          </cell>
          <cell r="Q24">
            <v>4826.200514756646</v>
          </cell>
          <cell r="R24">
            <v>4267.6017782455583</v>
          </cell>
          <cell r="S24">
            <v>3797.378295239665</v>
          </cell>
          <cell r="T24">
            <v>3399.8378073104177</v>
          </cell>
          <cell r="U24">
            <v>3065.0307733479453</v>
          </cell>
          <cell r="V24">
            <v>2768.2390913435229</v>
          </cell>
          <cell r="W24">
            <v>2495.7500226776319</v>
          </cell>
          <cell r="X24">
            <v>2266.0725639206576</v>
          </cell>
          <cell r="Y24">
            <v>2073.8518187363525</v>
          </cell>
          <cell r="Z24">
            <v>1904.0265262321277</v>
          </cell>
          <cell r="AA24">
            <v>1753.2272247578774</v>
          </cell>
          <cell r="AB24">
            <v>1618.4977142543837</v>
          </cell>
          <cell r="AC24">
            <v>1497.3150864770485</v>
          </cell>
          <cell r="AD24">
            <v>1388.2489355591995</v>
          </cell>
          <cell r="AE24">
            <v>1290.1444688857778</v>
          </cell>
          <cell r="AF24">
            <v>1201.6723132268414</v>
          </cell>
          <cell r="AG24">
            <v>1121.7904641232358</v>
          </cell>
          <cell r="AH24">
            <v>1046.5511629260316</v>
          </cell>
          <cell r="AI24">
            <v>962.39270006440984</v>
          </cell>
          <cell r="AJ24">
            <v>882.76610947739414</v>
          </cell>
          <cell r="AK24">
            <v>818.24779277914524</v>
          </cell>
          <cell r="AL24">
            <v>761.54052909836571</v>
          </cell>
        </row>
        <row r="25">
          <cell r="B25" t="str">
            <v>Conventional Light</v>
          </cell>
          <cell r="C25">
            <v>380</v>
          </cell>
          <cell r="D25">
            <v>340</v>
          </cell>
          <cell r="E25">
            <v>300</v>
          </cell>
          <cell r="F25">
            <v>270</v>
          </cell>
          <cell r="G25">
            <v>250</v>
          </cell>
          <cell r="H25">
            <v>240</v>
          </cell>
          <cell r="I25">
            <v>220</v>
          </cell>
          <cell r="J25">
            <v>220</v>
          </cell>
          <cell r="K25">
            <v>200</v>
          </cell>
          <cell r="L25">
            <v>190</v>
          </cell>
          <cell r="M25">
            <v>157.3838965693806</v>
          </cell>
          <cell r="N25">
            <v>155.15005760368666</v>
          </cell>
          <cell r="O25">
            <v>94</v>
          </cell>
          <cell r="P25">
            <v>120</v>
          </cell>
          <cell r="Q25">
            <v>117</v>
          </cell>
          <cell r="R25">
            <v>109</v>
          </cell>
          <cell r="S25">
            <v>105</v>
          </cell>
          <cell r="T25">
            <v>100</v>
          </cell>
          <cell r="U25">
            <v>100</v>
          </cell>
          <cell r="V25">
            <v>103</v>
          </cell>
          <cell r="W25">
            <v>105</v>
          </cell>
          <cell r="X25">
            <v>104</v>
          </cell>
          <cell r="Y25">
            <v>102</v>
          </cell>
          <cell r="Z25">
            <v>98</v>
          </cell>
          <cell r="AA25">
            <v>98</v>
          </cell>
          <cell r="AB25">
            <v>102</v>
          </cell>
          <cell r="AC25">
            <v>100</v>
          </cell>
          <cell r="AD25">
            <v>101</v>
          </cell>
          <cell r="AE25">
            <v>97</v>
          </cell>
          <cell r="AF25">
            <v>96</v>
          </cell>
          <cell r="AG25">
            <v>97</v>
          </cell>
          <cell r="AH25">
            <v>93</v>
          </cell>
          <cell r="AI25">
            <v>90</v>
          </cell>
          <cell r="AJ25">
            <v>88</v>
          </cell>
          <cell r="AK25">
            <v>85</v>
          </cell>
          <cell r="AL25">
            <v>81</v>
          </cell>
        </row>
        <row r="26">
          <cell r="B26" t="str">
            <v>Conventional Light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</row>
        <row r="27">
          <cell r="B27" t="str">
            <v>Conventional Light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</row>
        <row r="28">
          <cell r="B28" t="str">
            <v>C5+</v>
          </cell>
          <cell r="C28">
            <v>2050</v>
          </cell>
          <cell r="D28">
            <v>1910</v>
          </cell>
          <cell r="E28">
            <v>1890</v>
          </cell>
          <cell r="F28">
            <v>1750</v>
          </cell>
          <cell r="G28">
            <v>1130</v>
          </cell>
          <cell r="H28">
            <v>1070</v>
          </cell>
          <cell r="I28">
            <v>860</v>
          </cell>
          <cell r="J28">
            <v>580</v>
          </cell>
          <cell r="K28">
            <v>330</v>
          </cell>
          <cell r="L28">
            <v>460</v>
          </cell>
          <cell r="M28">
            <v>439.2230136986301</v>
          </cell>
          <cell r="N28">
            <v>416.31040165903886</v>
          </cell>
          <cell r="O28">
            <v>312</v>
          </cell>
          <cell r="P28">
            <v>275</v>
          </cell>
          <cell r="Q28">
            <v>211</v>
          </cell>
          <cell r="R28">
            <v>195</v>
          </cell>
          <cell r="S28">
            <v>170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</row>
        <row r="29">
          <cell r="B29" t="str">
            <v>Conventional Light</v>
          </cell>
          <cell r="C29">
            <v>48470</v>
          </cell>
          <cell r="D29">
            <v>48280</v>
          </cell>
          <cell r="E29">
            <v>58580</v>
          </cell>
          <cell r="F29">
            <v>54550</v>
          </cell>
          <cell r="G29">
            <v>42550</v>
          </cell>
          <cell r="H29">
            <v>43850</v>
          </cell>
          <cell r="I29">
            <v>42140</v>
          </cell>
          <cell r="J29">
            <v>31430</v>
          </cell>
          <cell r="K29">
            <v>36870</v>
          </cell>
          <cell r="L29">
            <v>34340</v>
          </cell>
          <cell r="M29">
            <v>27348</v>
          </cell>
          <cell r="N29">
            <v>33334</v>
          </cell>
          <cell r="O29">
            <v>34760</v>
          </cell>
          <cell r="P29">
            <v>29350.14201727782</v>
          </cell>
          <cell r="Q29">
            <v>28793.216100853464</v>
          </cell>
          <cell r="R29">
            <v>22228.014280815787</v>
          </cell>
          <cell r="S29">
            <v>23097.224299043348</v>
          </cell>
          <cell r="T29">
            <v>21295.703887398471</v>
          </cell>
          <cell r="U29">
            <v>26119.043912789803</v>
          </cell>
          <cell r="V29">
            <v>25714.592499458166</v>
          </cell>
          <cell r="W29">
            <v>24456.583781883681</v>
          </cell>
          <cell r="X29">
            <v>18209.267438279836</v>
          </cell>
          <cell r="Y29">
            <v>16639.028964921243</v>
          </cell>
          <cell r="Z29">
            <v>15122.004850473104</v>
          </cell>
          <cell r="AA29">
            <v>14741.316970413283</v>
          </cell>
          <cell r="AB29">
            <v>12748.952068172917</v>
          </cell>
          <cell r="AC29">
            <v>10744.434062737317</v>
          </cell>
          <cell r="AD29">
            <v>6529.0333336441581</v>
          </cell>
          <cell r="AE29">
            <v>6129.0236755909236</v>
          </cell>
          <cell r="AF29">
            <v>5893.5044415248685</v>
          </cell>
          <cell r="AG29">
            <v>5797.3470482628654</v>
          </cell>
          <cell r="AH29">
            <v>5562.8272819885151</v>
          </cell>
          <cell r="AI29">
            <v>5288.4056247623357</v>
          </cell>
          <cell r="AJ29">
            <v>4801.3171320269284</v>
          </cell>
          <cell r="AK29">
            <v>4583.0365928398096</v>
          </cell>
          <cell r="AL29">
            <v>4214.7228983301156</v>
          </cell>
        </row>
        <row r="30">
          <cell r="B30" t="str">
            <v>Conventional Heavy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336</v>
          </cell>
          <cell r="P30">
            <v>7619.77317483362</v>
          </cell>
          <cell r="Q30">
            <v>12012.782600400646</v>
          </cell>
          <cell r="R30">
            <v>18151.451556488286</v>
          </cell>
          <cell r="S30">
            <v>21490.031479538306</v>
          </cell>
          <cell r="T30">
            <v>21538.045724824318</v>
          </cell>
          <cell r="U30">
            <v>20948.201850615285</v>
          </cell>
          <cell r="V30">
            <v>21076.981780024806</v>
          </cell>
          <cell r="W30">
            <v>20361.537727749695</v>
          </cell>
          <cell r="X30">
            <v>17986.263474196319</v>
          </cell>
          <cell r="Y30">
            <v>15825.622436325479</v>
          </cell>
          <cell r="Z30">
            <v>13450.34818277211</v>
          </cell>
          <cell r="AA30">
            <v>11289.707144901271</v>
          </cell>
          <cell r="AB30">
            <v>9601.2591815320066</v>
          </cell>
          <cell r="AC30">
            <v>8399.3131737098156</v>
          </cell>
          <cell r="AD30">
            <v>7148.8759579000925</v>
          </cell>
          <cell r="AE30">
            <v>6094.7883875480939</v>
          </cell>
          <cell r="AF30">
            <v>5202.8681357117875</v>
          </cell>
          <cell r="AG30">
            <v>4689.3382937454298</v>
          </cell>
          <cell r="AH30">
            <v>4057.3627142357468</v>
          </cell>
          <cell r="AI30">
            <v>4062.4154697951944</v>
          </cell>
          <cell r="AJ30">
            <v>3795.3163569458188</v>
          </cell>
          <cell r="AK30">
            <v>3426.9878999571829</v>
          </cell>
          <cell r="AL30">
            <v>3102.5337753013951</v>
          </cell>
        </row>
        <row r="31">
          <cell r="B31" t="str">
            <v>Conventional Light</v>
          </cell>
          <cell r="C31">
            <v>2990</v>
          </cell>
          <cell r="D31">
            <v>2970</v>
          </cell>
          <cell r="E31">
            <v>2790</v>
          </cell>
          <cell r="F31">
            <v>2580</v>
          </cell>
          <cell r="G31">
            <v>2470</v>
          </cell>
          <cell r="H31">
            <v>2390</v>
          </cell>
          <cell r="I31">
            <v>1670</v>
          </cell>
          <cell r="J31">
            <v>2070</v>
          </cell>
          <cell r="K31">
            <v>1960</v>
          </cell>
          <cell r="L31">
            <v>1690</v>
          </cell>
          <cell r="M31">
            <v>1576</v>
          </cell>
          <cell r="N31">
            <v>1428</v>
          </cell>
          <cell r="O31">
            <v>54</v>
          </cell>
          <cell r="P31">
            <v>100</v>
          </cell>
          <cell r="Q31">
            <v>1091.6307692307691</v>
          </cell>
          <cell r="R31">
            <v>1109.9644927536233</v>
          </cell>
          <cell r="S31">
            <v>1057.4353104988802</v>
          </cell>
          <cell r="T31">
            <v>961.60523548491892</v>
          </cell>
          <cell r="U31">
            <v>932.75707842037127</v>
          </cell>
          <cell r="V31">
            <v>904.77436606776018</v>
          </cell>
          <cell r="W31">
            <v>877.63113508572735</v>
          </cell>
          <cell r="X31">
            <v>842.77983940018203</v>
          </cell>
          <cell r="Y31">
            <v>809.23179417711435</v>
          </cell>
          <cell r="Z31">
            <v>768.9506313140123</v>
          </cell>
          <cell r="AA31">
            <v>738.11250703735652</v>
          </cell>
          <cell r="AB31">
            <v>708.43261464911745</v>
          </cell>
          <cell r="AC31">
            <v>679.86921454783931</v>
          </cell>
          <cell r="AD31">
            <v>652.38202909945358</v>
          </cell>
          <cell r="AE31">
            <v>632.81056822646997</v>
          </cell>
          <cell r="AF31">
            <v>607.15422671033161</v>
          </cell>
          <cell r="AG31">
            <v>582.46773617375766</v>
          </cell>
          <cell r="AH31">
            <v>564.99370408854486</v>
          </cell>
          <cell r="AI31">
            <v>541.95451637737858</v>
          </cell>
          <cell r="AJ31">
            <v>519.78918559520264</v>
          </cell>
          <cell r="AK31">
            <v>504.19551002734659</v>
          </cell>
          <cell r="AL31">
            <v>483.42843356486094</v>
          </cell>
        </row>
      </sheetData>
      <sheetData sheetId="9">
        <row r="2">
          <cell r="B2" t="str">
            <v>Conventional Light</v>
          </cell>
          <cell r="C2">
            <v>120393.94465812801</v>
          </cell>
          <cell r="D2">
            <v>119335.10154082894</v>
          </cell>
          <cell r="E2">
            <v>128495.40715258461</v>
          </cell>
          <cell r="F2">
            <v>126621.04200308448</v>
          </cell>
          <cell r="G2">
            <v>113421.70271813478</v>
          </cell>
          <cell r="H2">
            <v>115275.72885841444</v>
          </cell>
          <cell r="I2">
            <v>119783.42174049366</v>
          </cell>
          <cell r="J2">
            <v>121609.88327665607</v>
          </cell>
          <cell r="K2">
            <v>130779.05255603722</v>
          </cell>
          <cell r="L2">
            <v>130908.71006835497</v>
          </cell>
          <cell r="M2">
            <v>114675.48064994118</v>
          </cell>
          <cell r="N2">
            <v>107569.05421700577</v>
          </cell>
          <cell r="O2">
            <v>106408.59598512293</v>
          </cell>
          <cell r="P2">
            <v>101814.92553308001</v>
          </cell>
          <cell r="Q2">
            <v>102464.46636704044</v>
          </cell>
          <cell r="R2">
            <v>94689.711503099708</v>
          </cell>
          <cell r="S2">
            <v>94087.300455685341</v>
          </cell>
          <cell r="T2">
            <v>92929.021981167389</v>
          </cell>
          <cell r="U2">
            <v>96267.239416267854</v>
          </cell>
          <cell r="V2">
            <v>96241.830800714233</v>
          </cell>
          <cell r="W2">
            <v>96459.688190394008</v>
          </cell>
          <cell r="X2">
            <v>95264.364046495961</v>
          </cell>
          <cell r="Y2">
            <v>94303.279683359622</v>
          </cell>
          <cell r="Z2">
            <v>92350.281412905853</v>
          </cell>
          <cell r="AA2">
            <v>91494.760425699293</v>
          </cell>
          <cell r="AB2">
            <v>90109.033018704009</v>
          </cell>
          <cell r="AC2">
            <v>90543.972292002873</v>
          </cell>
          <cell r="AD2">
            <v>90884.573802512561</v>
          </cell>
          <cell r="AE2">
            <v>91577.79895061806</v>
          </cell>
          <cell r="AF2">
            <v>93414.041672422783</v>
          </cell>
          <cell r="AG2">
            <v>93546.21344884744</v>
          </cell>
          <cell r="AH2">
            <v>92595.258726848231</v>
          </cell>
          <cell r="AI2">
            <v>91695.382078014634</v>
          </cell>
          <cell r="AJ2">
            <v>89785.889531270965</v>
          </cell>
          <cell r="AK2">
            <v>87395.891371420454</v>
          </cell>
          <cell r="AL2">
            <v>85018.19512328456</v>
          </cell>
        </row>
        <row r="3">
          <cell r="B3" t="str">
            <v>Conventional Heavy</v>
          </cell>
          <cell r="C3">
            <v>95714.371685317979</v>
          </cell>
          <cell r="D3">
            <v>94533.324805817247</v>
          </cell>
          <cell r="E3">
            <v>92093.948245520878</v>
          </cell>
          <cell r="F3">
            <v>87985.541330248874</v>
          </cell>
          <cell r="G3">
            <v>80184.157122495002</v>
          </cell>
          <cell r="H3">
            <v>79544.775663474953</v>
          </cell>
          <cell r="I3">
            <v>79770.543291508366</v>
          </cell>
          <cell r="J3">
            <v>86935.674939329067</v>
          </cell>
          <cell r="K3">
            <v>89225.079665544938</v>
          </cell>
          <cell r="L3">
            <v>98750.054845239487</v>
          </cell>
          <cell r="M3">
            <v>86709.106279142259</v>
          </cell>
          <cell r="N3">
            <v>81282.378465617643</v>
          </cell>
          <cell r="O3">
            <v>85919.878422883514</v>
          </cell>
          <cell r="P3">
            <v>96292.769060109713</v>
          </cell>
          <cell r="Q3">
            <v>103365.51999778616</v>
          </cell>
          <cell r="R3">
            <v>110635.00395299471</v>
          </cell>
          <cell r="S3">
            <v>114008.49065091004</v>
          </cell>
          <cell r="T3">
            <v>115913.00744723386</v>
          </cell>
          <cell r="U3">
            <v>115608.15767443689</v>
          </cell>
          <cell r="V3">
            <v>116380.43557790642</v>
          </cell>
          <cell r="W3">
            <v>115854.49814411832</v>
          </cell>
          <cell r="X3">
            <v>114211.16979298982</v>
          </cell>
          <cell r="Y3">
            <v>110927.73894453386</v>
          </cell>
          <cell r="Z3">
            <v>108577.08893981048</v>
          </cell>
          <cell r="AA3">
            <v>106147.71698578651</v>
          </cell>
          <cell r="AB3">
            <v>103974.62371530225</v>
          </cell>
          <cell r="AC3">
            <v>103125.5939387515</v>
          </cell>
          <cell r="AD3">
            <v>101611.84589515386</v>
          </cell>
          <cell r="AE3">
            <v>99716.445518955035</v>
          </cell>
          <cell r="AF3">
            <v>97987.522577758398</v>
          </cell>
          <cell r="AG3">
            <v>96705.466848892494</v>
          </cell>
          <cell r="AH3">
            <v>95413.696425510978</v>
          </cell>
          <cell r="AI3">
            <v>94668.263241567474</v>
          </cell>
          <cell r="AJ3">
            <v>93473.952537536592</v>
          </cell>
          <cell r="AK3">
            <v>92124.787265955063</v>
          </cell>
          <cell r="AL3">
            <v>90744.689981166899</v>
          </cell>
        </row>
        <row r="4">
          <cell r="B4" t="str">
            <v>C5+</v>
          </cell>
          <cell r="C4">
            <v>24140</v>
          </cell>
          <cell r="D4">
            <v>24810</v>
          </cell>
          <cell r="E4">
            <v>24540</v>
          </cell>
          <cell r="F4">
            <v>23110</v>
          </cell>
          <cell r="G4">
            <v>21400</v>
          </cell>
          <cell r="H4">
            <v>20920</v>
          </cell>
          <cell r="I4">
            <v>20460</v>
          </cell>
          <cell r="J4">
            <v>20000</v>
          </cell>
          <cell r="K4">
            <v>21050</v>
          </cell>
          <cell r="L4">
            <v>24800</v>
          </cell>
          <cell r="M4">
            <v>30699.223013698629</v>
          </cell>
          <cell r="N4">
            <v>32409.198894809721</v>
          </cell>
          <cell r="O4">
            <v>39484.485890410957</v>
          </cell>
          <cell r="P4">
            <v>40373.288315277328</v>
          </cell>
          <cell r="Q4">
            <v>39856.663530952865</v>
          </cell>
          <cell r="R4">
            <v>39298.513154147295</v>
          </cell>
          <cell r="S4">
            <v>38898.073960333757</v>
          </cell>
          <cell r="T4">
            <v>38454.259770167977</v>
          </cell>
          <cell r="U4">
            <v>38298.561190109962</v>
          </cell>
          <cell r="V4">
            <v>38268.302047963705</v>
          </cell>
          <cell r="W4">
            <v>37896.084528642459</v>
          </cell>
          <cell r="X4">
            <v>37694.030343186663</v>
          </cell>
          <cell r="Y4">
            <v>37394.593525981894</v>
          </cell>
          <cell r="Z4">
            <v>37043.972823739903</v>
          </cell>
          <cell r="AA4">
            <v>36758.943691283414</v>
          </cell>
          <cell r="AB4">
            <v>36499.501519991521</v>
          </cell>
          <cell r="AC4">
            <v>36260.788522440736</v>
          </cell>
          <cell r="AD4">
            <v>36031.155726347686</v>
          </cell>
          <cell r="AE4">
            <v>35832.327421476657</v>
          </cell>
          <cell r="AF4">
            <v>35680.888082066835</v>
          </cell>
          <cell r="AG4">
            <v>35541.588585065212</v>
          </cell>
          <cell r="AH4">
            <v>35453.538990442124</v>
          </cell>
          <cell r="AI4">
            <v>35397.689620802543</v>
          </cell>
          <cell r="AJ4">
            <v>35322.47919129589</v>
          </cell>
          <cell r="AK4">
            <v>35257.837069587513</v>
          </cell>
          <cell r="AL4">
            <v>35192.319434576835</v>
          </cell>
        </row>
        <row r="5">
          <cell r="B5" t="str">
            <v>Field Condensate</v>
          </cell>
          <cell r="C5">
            <v>2090</v>
          </cell>
          <cell r="D5">
            <v>2350</v>
          </cell>
          <cell r="E5">
            <v>2750</v>
          </cell>
          <cell r="F5">
            <v>3130</v>
          </cell>
          <cell r="G5">
            <v>2900</v>
          </cell>
          <cell r="H5">
            <v>2710</v>
          </cell>
          <cell r="I5">
            <v>2820</v>
          </cell>
          <cell r="J5">
            <v>2900</v>
          </cell>
          <cell r="K5">
            <v>3550</v>
          </cell>
          <cell r="L5">
            <v>5210</v>
          </cell>
          <cell r="M5">
            <v>5570</v>
          </cell>
          <cell r="N5">
            <v>10168.111506849318</v>
          </cell>
          <cell r="O5">
            <v>12126.514109589039</v>
          </cell>
          <cell r="P5">
            <v>12584.115386571788</v>
          </cell>
          <cell r="Q5">
            <v>12556.033798655801</v>
          </cell>
          <cell r="R5">
            <v>12523.779478429464</v>
          </cell>
          <cell r="S5">
            <v>12539.199966728769</v>
          </cell>
          <cell r="T5">
            <v>12603.576231308894</v>
          </cell>
          <cell r="U5">
            <v>12689.955660666707</v>
          </cell>
          <cell r="V5">
            <v>12807.223675219693</v>
          </cell>
          <cell r="W5">
            <v>12899.624208420959</v>
          </cell>
          <cell r="X5">
            <v>12974.85962722721</v>
          </cell>
          <cell r="Y5">
            <v>13015.232784049589</v>
          </cell>
          <cell r="Z5">
            <v>13035.599689612487</v>
          </cell>
          <cell r="AA5">
            <v>13077.175870274252</v>
          </cell>
          <cell r="AB5">
            <v>13127.101681730441</v>
          </cell>
          <cell r="AC5">
            <v>13184.340754772558</v>
          </cell>
          <cell r="AD5">
            <v>13244.989102466052</v>
          </cell>
          <cell r="AE5">
            <v>13317.011831785203</v>
          </cell>
          <cell r="AF5">
            <v>13405.753219968799</v>
          </cell>
          <cell r="AG5">
            <v>13499.096448479766</v>
          </cell>
          <cell r="AH5">
            <v>13611.565151956585</v>
          </cell>
          <cell r="AI5">
            <v>13736.803270316212</v>
          </cell>
          <cell r="AJ5">
            <v>13855.785897588725</v>
          </cell>
          <cell r="AK5">
            <v>13979.556967378841</v>
          </cell>
          <cell r="AL5">
            <v>14104.145149578913</v>
          </cell>
        </row>
        <row r="6">
          <cell r="B6" t="str">
            <v xml:space="preserve">Mined Bitumen </v>
          </cell>
          <cell r="C6">
            <v>99600</v>
          </cell>
          <cell r="D6">
            <v>120900</v>
          </cell>
          <cell r="E6">
            <v>124700</v>
          </cell>
          <cell r="F6">
            <v>114700</v>
          </cell>
          <cell r="G6">
            <v>131200</v>
          </cell>
          <cell r="H6">
            <v>136242.99205479454</v>
          </cell>
          <cell r="I6">
            <v>141899.05890410958</v>
          </cell>
          <cell r="J6">
            <v>148216.19643835619</v>
          </cell>
          <cell r="K6">
            <v>155178.08602739728</v>
          </cell>
          <cell r="L6">
            <v>152653.42301369866</v>
          </cell>
          <cell r="M6">
            <v>184650.64986301371</v>
          </cell>
          <cell r="N6">
            <v>182833.43972602743</v>
          </cell>
          <cell r="O6">
            <v>202815.78219178083</v>
          </cell>
          <cell r="P6">
            <v>234799.82978469165</v>
          </cell>
          <cell r="Q6">
            <v>254156.63379981264</v>
          </cell>
          <cell r="R6">
            <v>259617.83437279184</v>
          </cell>
          <cell r="S6">
            <v>261022.58625520545</v>
          </cell>
          <cell r="T6">
            <v>261826.63235775448</v>
          </cell>
          <cell r="U6">
            <v>261826.61697683489</v>
          </cell>
          <cell r="V6">
            <v>261826.62684564892</v>
          </cell>
          <cell r="W6">
            <v>261826.62716015082</v>
          </cell>
          <cell r="X6">
            <v>261826.62703786089</v>
          </cell>
          <cell r="Y6">
            <v>261826.627032105</v>
          </cell>
          <cell r="Z6">
            <v>261826.62703364203</v>
          </cell>
          <cell r="AA6">
            <v>261826.62703373685</v>
          </cell>
          <cell r="AB6">
            <v>261826.6270337177</v>
          </cell>
          <cell r="AC6">
            <v>261826.62703371618</v>
          </cell>
          <cell r="AD6">
            <v>260918.32669880448</v>
          </cell>
          <cell r="AE6">
            <v>259282.81498821205</v>
          </cell>
          <cell r="AF6">
            <v>257306.25213540083</v>
          </cell>
          <cell r="AG6">
            <v>255047.42373339791</v>
          </cell>
          <cell r="AH6">
            <v>253110.69799736829</v>
          </cell>
          <cell r="AI6">
            <v>251755.76001759677</v>
          </cell>
          <cell r="AJ6">
            <v>250686.36867928831</v>
          </cell>
          <cell r="AK6">
            <v>249629.7396919489</v>
          </cell>
          <cell r="AL6">
            <v>248585.7207468806</v>
          </cell>
        </row>
        <row r="7">
          <cell r="B7" t="str">
            <v xml:space="preserve">In Situ Bitumen </v>
          </cell>
          <cell r="C7">
            <v>69700</v>
          </cell>
          <cell r="D7">
            <v>78500</v>
          </cell>
          <cell r="E7">
            <v>85200</v>
          </cell>
          <cell r="F7">
            <v>92700</v>
          </cell>
          <cell r="G7">
            <v>105500</v>
          </cell>
          <cell r="H7">
            <v>119629.14712328766</v>
          </cell>
          <cell r="I7">
            <v>134719.58268493149</v>
          </cell>
          <cell r="J7">
            <v>157385.20219178079</v>
          </cell>
          <cell r="K7">
            <v>175859.07172602741</v>
          </cell>
          <cell r="L7">
            <v>200748.64076712329</v>
          </cell>
          <cell r="M7">
            <v>216516.94391559192</v>
          </cell>
          <cell r="N7">
            <v>222306.83333061248</v>
          </cell>
          <cell r="O7">
            <v>245914.92329379948</v>
          </cell>
          <cell r="P7">
            <v>261640.34547641588</v>
          </cell>
          <cell r="Q7">
            <v>273757.26348823449</v>
          </cell>
          <cell r="R7">
            <v>283681.48916161514</v>
          </cell>
          <cell r="S7">
            <v>288325.86230611883</v>
          </cell>
          <cell r="T7">
            <v>292682.61261761619</v>
          </cell>
          <cell r="U7">
            <v>305074.30851720634</v>
          </cell>
          <cell r="V7">
            <v>321274.03996566811</v>
          </cell>
          <cell r="W7">
            <v>335609.62472703506</v>
          </cell>
          <cell r="X7">
            <v>358666.522715092</v>
          </cell>
          <cell r="Y7">
            <v>375954.56890337222</v>
          </cell>
          <cell r="Z7">
            <v>392071.23514178494</v>
          </cell>
          <cell r="AA7">
            <v>396020.8430790946</v>
          </cell>
          <cell r="AB7">
            <v>398516.49347736349</v>
          </cell>
          <cell r="AC7">
            <v>399981.98961715098</v>
          </cell>
          <cell r="AD7">
            <v>406483.74690376862</v>
          </cell>
          <cell r="AE7">
            <v>408398.46783496527</v>
          </cell>
          <cell r="AF7">
            <v>408362.33826701279</v>
          </cell>
          <cell r="AG7">
            <v>408283.81619107048</v>
          </cell>
          <cell r="AH7">
            <v>408191.4548739554</v>
          </cell>
          <cell r="AI7">
            <v>408086.24288439628</v>
          </cell>
          <cell r="AJ7">
            <v>407967.49344223941</v>
          </cell>
          <cell r="AK7">
            <v>407834.09337303642</v>
          </cell>
          <cell r="AL7">
            <v>407686.2596495343</v>
          </cell>
        </row>
        <row r="10">
          <cell r="B10" t="str">
            <v>Conventional Light</v>
          </cell>
          <cell r="C10">
            <v>4645.0814215309774</v>
          </cell>
          <cell r="D10">
            <v>4506.6333115719408</v>
          </cell>
          <cell r="E10">
            <v>4045.0273214285717</v>
          </cell>
          <cell r="F10">
            <v>3676.5833333333326</v>
          </cell>
          <cell r="G10">
            <v>3498.2216820276499</v>
          </cell>
          <cell r="H10">
            <v>3464.9128584229393</v>
          </cell>
          <cell r="I10">
            <v>3237.5430209933434</v>
          </cell>
          <cell r="J10">
            <v>3325.7563966135208</v>
          </cell>
          <cell r="K10">
            <v>3123.6676024065546</v>
          </cell>
          <cell r="L10">
            <v>3412.9239823348694</v>
          </cell>
          <cell r="M10">
            <v>3376.5470302099329</v>
          </cell>
          <cell r="N10">
            <v>3694.2616858237539</v>
          </cell>
          <cell r="O10">
            <v>3350.1810418182517</v>
          </cell>
          <cell r="P10">
            <v>3193.9120688736821</v>
          </cell>
          <cell r="Q10">
            <v>3026.20074896492</v>
          </cell>
          <cell r="R10">
            <v>2828.0864701852011</v>
          </cell>
          <cell r="S10">
            <v>2686.0321054259798</v>
          </cell>
          <cell r="T10">
            <v>2590.677083100059</v>
          </cell>
          <cell r="U10">
            <v>2512.733916684309</v>
          </cell>
          <cell r="V10">
            <v>2456.1747882033064</v>
          </cell>
          <cell r="W10">
            <v>2436.4262705389806</v>
          </cell>
          <cell r="X10">
            <v>2423.5557367128808</v>
          </cell>
          <cell r="Y10">
            <v>2424.5033014658779</v>
          </cell>
          <cell r="Z10">
            <v>2437.4741220141204</v>
          </cell>
          <cell r="AA10">
            <v>2456.9245468375434</v>
          </cell>
          <cell r="AB10">
            <v>2480.0603036060447</v>
          </cell>
          <cell r="AC10">
            <v>2506.8494394327636</v>
          </cell>
          <cell r="AD10">
            <v>2539.1167733329917</v>
          </cell>
          <cell r="AE10">
            <v>2576.661815193444</v>
          </cell>
          <cell r="AF10">
            <v>2619.2996327092487</v>
          </cell>
          <cell r="AG10">
            <v>2662.1254374370105</v>
          </cell>
          <cell r="AH10">
            <v>2705.3632685516</v>
          </cell>
          <cell r="AI10">
            <v>2756.5310061145101</v>
          </cell>
          <cell r="AJ10">
            <v>2811.8507638519154</v>
          </cell>
          <cell r="AK10">
            <v>2870.650783883073</v>
          </cell>
          <cell r="AL10">
            <v>2933.91598690812</v>
          </cell>
        </row>
        <row r="11">
          <cell r="B11" t="str">
            <v>Conventional Heavy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</row>
        <row r="12">
          <cell r="B12" t="str">
            <v>C5+</v>
          </cell>
          <cell r="C12">
            <v>1430</v>
          </cell>
          <cell r="D12">
            <v>1450</v>
          </cell>
          <cell r="E12">
            <v>1290</v>
          </cell>
          <cell r="F12">
            <v>1170</v>
          </cell>
          <cell r="G12">
            <v>1260</v>
          </cell>
          <cell r="H12">
            <v>1420</v>
          </cell>
          <cell r="I12">
            <v>1780</v>
          </cell>
          <cell r="J12">
            <v>2029.9999999999998</v>
          </cell>
          <cell r="K12">
            <v>2460</v>
          </cell>
          <cell r="L12">
            <v>3010</v>
          </cell>
          <cell r="M12">
            <v>3470</v>
          </cell>
          <cell r="N12">
            <v>4181.2090410958917</v>
          </cell>
          <cell r="O12">
            <v>5720.4719178082196</v>
          </cell>
          <cell r="P12">
            <v>6171.8127176489343</v>
          </cell>
          <cell r="Q12">
            <v>6185.7098534800916</v>
          </cell>
          <cell r="R12">
            <v>6217.5431242053746</v>
          </cell>
          <cell r="S12">
            <v>6287.6291813833268</v>
          </cell>
          <cell r="T12">
            <v>6377.1379138480197</v>
          </cell>
          <cell r="U12">
            <v>6470.4979345496031</v>
          </cell>
          <cell r="V12">
            <v>6566.4458295092318</v>
          </cell>
          <cell r="W12">
            <v>6641.7140883865795</v>
          </cell>
          <cell r="X12">
            <v>6697.045699455497</v>
          </cell>
          <cell r="Y12">
            <v>6729.0274529716226</v>
          </cell>
          <cell r="Z12">
            <v>6744.0166135417812</v>
          </cell>
          <cell r="AA12">
            <v>6764.3433708049834</v>
          </cell>
          <cell r="AB12">
            <v>6787.2861732466963</v>
          </cell>
          <cell r="AC12">
            <v>6814.3805236174876</v>
          </cell>
          <cell r="AD12">
            <v>6844.279910698031</v>
          </cell>
          <cell r="AE12">
            <v>6880.0384416735442</v>
          </cell>
          <cell r="AF12">
            <v>6918.8287253513899</v>
          </cell>
          <cell r="AG12">
            <v>6957.7068108586236</v>
          </cell>
          <cell r="AH12">
            <v>7001.2625707680299</v>
          </cell>
          <cell r="AI12">
            <v>7048.0856188746739</v>
          </cell>
          <cell r="AJ12">
            <v>7092.022138569434</v>
          </cell>
          <cell r="AK12">
            <v>7136.1325800962022</v>
          </cell>
          <cell r="AL12">
            <v>7180.4160282396506</v>
          </cell>
        </row>
        <row r="13">
          <cell r="B13" t="str">
            <v>Field Condensate</v>
          </cell>
          <cell r="C13">
            <v>550</v>
          </cell>
          <cell r="D13">
            <v>600</v>
          </cell>
          <cell r="E13">
            <v>660</v>
          </cell>
          <cell r="F13">
            <v>720</v>
          </cell>
          <cell r="G13">
            <v>720</v>
          </cell>
          <cell r="H13">
            <v>790</v>
          </cell>
          <cell r="I13">
            <v>880</v>
          </cell>
          <cell r="J13">
            <v>900</v>
          </cell>
          <cell r="K13">
            <v>960</v>
          </cell>
          <cell r="L13">
            <v>1430</v>
          </cell>
          <cell r="M13">
            <v>1840</v>
          </cell>
          <cell r="N13">
            <v>2536.7909589041078</v>
          </cell>
          <cell r="O13">
            <v>2619.52808219178</v>
          </cell>
          <cell r="P13">
            <v>2854.1890629499831</v>
          </cell>
          <cell r="Q13">
            <v>2888.938799996723</v>
          </cell>
          <cell r="R13">
            <v>2932.5565847204507</v>
          </cell>
          <cell r="S13">
            <v>2994.9757714848761</v>
          </cell>
          <cell r="T13">
            <v>3067.6866741526305</v>
          </cell>
          <cell r="U13">
            <v>3143.4147841167824</v>
          </cell>
          <cell r="V13">
            <v>3221.6113921739638</v>
          </cell>
          <cell r="W13">
            <v>3290.8020613372855</v>
          </cell>
          <cell r="X13">
            <v>3351.0711195397566</v>
          </cell>
          <cell r="Y13">
            <v>3400.4115335406777</v>
          </cell>
          <cell r="Z13">
            <v>3441.728513946136</v>
          </cell>
          <cell r="AA13">
            <v>3486.2812603350094</v>
          </cell>
          <cell r="AB13">
            <v>3532.7404833779715</v>
          </cell>
          <cell r="AC13">
            <v>3581.96018189081</v>
          </cell>
          <cell r="AD13">
            <v>3633.2972731063678</v>
          </cell>
          <cell r="AE13">
            <v>3688.4409338471305</v>
          </cell>
          <cell r="AF13">
            <v>3745.9618157824448</v>
          </cell>
          <cell r="AG13">
            <v>3804.3081566216324</v>
          </cell>
          <cell r="AH13">
            <v>3866.0256193759742</v>
          </cell>
          <cell r="AI13">
            <v>3930.4143014232104</v>
          </cell>
          <cell r="AJ13">
            <v>3994.0733915783076</v>
          </cell>
          <cell r="AK13">
            <v>4058.7066796190393</v>
          </cell>
          <cell r="AL13">
            <v>4124.3276698247701</v>
          </cell>
        </row>
        <row r="14">
          <cell r="B14" t="str">
            <v>Conventional Light</v>
          </cell>
          <cell r="C14">
            <v>61608.885781863297</v>
          </cell>
          <cell r="D14">
            <v>59160.558397498877</v>
          </cell>
          <cell r="E14">
            <v>57156.982398125292</v>
          </cell>
          <cell r="F14">
            <v>55079.4261325193</v>
          </cell>
          <cell r="G14">
            <v>50836.217720381457</v>
          </cell>
          <cell r="H14">
            <v>51338.873677928677</v>
          </cell>
          <cell r="I14">
            <v>56341.617267120324</v>
          </cell>
          <cell r="J14">
            <v>65504.216617338796</v>
          </cell>
          <cell r="K14">
            <v>69200.576338328712</v>
          </cell>
          <cell r="L14">
            <v>71051.166299791337</v>
          </cell>
          <cell r="M14">
            <v>64074.35544146796</v>
          </cell>
          <cell r="N14">
            <v>53323.447957963377</v>
          </cell>
          <cell r="O14">
            <v>53315.231226348718</v>
          </cell>
          <cell r="P14">
            <v>54344.354991857785</v>
          </cell>
          <cell r="Q14">
            <v>54875.50906894244</v>
          </cell>
          <cell r="R14">
            <v>54649.037723472196</v>
          </cell>
          <cell r="S14">
            <v>54411.54111355864</v>
          </cell>
          <cell r="T14">
            <v>54382.474506856379</v>
          </cell>
          <cell r="U14">
            <v>54751.862883647824</v>
          </cell>
          <cell r="V14">
            <v>55557.317303357384</v>
          </cell>
          <cell r="W14">
            <v>56595.261640144898</v>
          </cell>
          <cell r="X14">
            <v>57567.871099585333</v>
          </cell>
          <cell r="Y14">
            <v>58393.451320185835</v>
          </cell>
          <cell r="Z14">
            <v>59060.399402139672</v>
          </cell>
          <cell r="AA14">
            <v>59552.01198903747</v>
          </cell>
          <cell r="AB14">
            <v>59859.922282208288</v>
          </cell>
          <cell r="AC14">
            <v>60046.844619095435</v>
          </cell>
          <cell r="AD14">
            <v>60155.501889187675</v>
          </cell>
          <cell r="AE14">
            <v>60234.741265567514</v>
          </cell>
          <cell r="AF14">
            <v>60294.288851975718</v>
          </cell>
          <cell r="AG14">
            <v>60320.953498620715</v>
          </cell>
          <cell r="AH14">
            <v>60295.068617677789</v>
          </cell>
          <cell r="AI14">
            <v>60194.554338240079</v>
          </cell>
          <cell r="AJ14">
            <v>60008.343485391728</v>
          </cell>
          <cell r="AK14">
            <v>59712.424354078445</v>
          </cell>
          <cell r="AL14">
            <v>59326.210768036362</v>
          </cell>
        </row>
        <row r="15">
          <cell r="B15" t="str">
            <v>Conventional Heavy</v>
          </cell>
          <cell r="C15">
            <v>29193.593812990777</v>
          </cell>
          <cell r="D15">
            <v>27160.952141415612</v>
          </cell>
          <cell r="E15">
            <v>26214.863449288954</v>
          </cell>
          <cell r="F15">
            <v>24858.490534147371</v>
          </cell>
          <cell r="G15">
            <v>22446.045407498725</v>
          </cell>
          <cell r="H15">
            <v>21617.565081031888</v>
          </cell>
          <cell r="I15">
            <v>21535.350062628768</v>
          </cell>
          <cell r="J15">
            <v>22936.758509477593</v>
          </cell>
          <cell r="K15">
            <v>23326.349274190499</v>
          </cell>
          <cell r="L15">
            <v>22640.786462625441</v>
          </cell>
          <cell r="M15">
            <v>20228.204740943693</v>
          </cell>
          <cell r="N15">
            <v>17488.412924688299</v>
          </cell>
          <cell r="O15">
            <v>17204.000523056242</v>
          </cell>
          <cell r="P15">
            <v>16181.945772342844</v>
          </cell>
          <cell r="Q15">
            <v>15181.392219121621</v>
          </cell>
          <cell r="R15">
            <v>14239.265554239504</v>
          </cell>
          <cell r="S15">
            <v>13501.308332104352</v>
          </cell>
          <cell r="T15">
            <v>13007.245081555238</v>
          </cell>
          <cell r="U15">
            <v>12762.341970071888</v>
          </cell>
          <cell r="V15">
            <v>12749.625649301854</v>
          </cell>
          <cell r="W15">
            <v>12890.978755162896</v>
          </cell>
          <cell r="X15">
            <v>13085.199382149936</v>
          </cell>
          <cell r="Y15">
            <v>13291.179406801577</v>
          </cell>
          <cell r="Z15">
            <v>13481.167730925425</v>
          </cell>
          <cell r="AA15">
            <v>13636.818853335064</v>
          </cell>
          <cell r="AB15">
            <v>13754.610100104594</v>
          </cell>
          <cell r="AC15">
            <v>13849.512624626004</v>
          </cell>
          <cell r="AD15">
            <v>13934.013290829913</v>
          </cell>
          <cell r="AE15">
            <v>14012.222727928278</v>
          </cell>
          <cell r="AF15">
            <v>14083.848625982286</v>
          </cell>
          <cell r="AG15">
            <v>14147.4953425981</v>
          </cell>
          <cell r="AH15">
            <v>14197.324116562535</v>
          </cell>
          <cell r="AI15">
            <v>14227.462128390185</v>
          </cell>
          <cell r="AJ15">
            <v>14232.374729186189</v>
          </cell>
          <cell r="AK15">
            <v>14204.169215700713</v>
          </cell>
          <cell r="AL15">
            <v>14147.818339506293</v>
          </cell>
        </row>
        <row r="16">
          <cell r="B16" t="str">
            <v>C5+</v>
          </cell>
          <cell r="C16">
            <v>20570</v>
          </cell>
          <cell r="D16">
            <v>21350</v>
          </cell>
          <cell r="E16">
            <v>21260</v>
          </cell>
          <cell r="F16">
            <v>20070</v>
          </cell>
          <cell r="G16">
            <v>18840</v>
          </cell>
          <cell r="H16">
            <v>18330</v>
          </cell>
          <cell r="I16">
            <v>17720</v>
          </cell>
          <cell r="J16">
            <v>17290</v>
          </cell>
          <cell r="K16">
            <v>18160</v>
          </cell>
          <cell r="L16">
            <v>21230</v>
          </cell>
          <cell r="M16">
            <v>26690</v>
          </cell>
          <cell r="N16">
            <v>27711.679452054788</v>
          </cell>
          <cell r="O16">
            <v>33352.013972602741</v>
          </cell>
          <cell r="P16">
            <v>33799.475597628392</v>
          </cell>
          <cell r="Q16">
            <v>33283.953677472775</v>
          </cell>
          <cell r="R16">
            <v>32757.970029941916</v>
          </cell>
          <cell r="S16">
            <v>32309.444778950434</v>
          </cell>
          <cell r="T16">
            <v>31977.121856319958</v>
          </cell>
          <cell r="U16">
            <v>31728.063255560359</v>
          </cell>
          <cell r="V16">
            <v>31601.856218454472</v>
          </cell>
          <cell r="W16">
            <v>31154.370440255876</v>
          </cell>
          <cell r="X16">
            <v>30896.984643731164</v>
          </cell>
          <cell r="Y16">
            <v>30565.566073010275</v>
          </cell>
          <cell r="Z16">
            <v>30199.956210198121</v>
          </cell>
          <cell r="AA16">
            <v>29894.600320478432</v>
          </cell>
          <cell r="AB16">
            <v>29612.215346744822</v>
          </cell>
          <cell r="AC16">
            <v>29346.407998823248</v>
          </cell>
          <cell r="AD16">
            <v>29086.875815649655</v>
          </cell>
          <cell r="AE16">
            <v>28852.288979803114</v>
          </cell>
          <cell r="AF16">
            <v>28662.059356715446</v>
          </cell>
          <cell r="AG16">
            <v>28483.881774206591</v>
          </cell>
          <cell r="AH16">
            <v>28352.276419674097</v>
          </cell>
          <cell r="AI16">
            <v>28249.60400192787</v>
          </cell>
          <cell r="AJ16">
            <v>28130.457052726455</v>
          </cell>
          <cell r="AK16">
            <v>28021.704489491309</v>
          </cell>
          <cell r="AL16">
            <v>27911.903406337187</v>
          </cell>
        </row>
        <row r="17">
          <cell r="B17" t="str">
            <v>Field Condensate</v>
          </cell>
          <cell r="C17">
            <v>1540</v>
          </cell>
          <cell r="D17">
            <v>1750</v>
          </cell>
          <cell r="E17">
            <v>2090</v>
          </cell>
          <cell r="F17">
            <v>2410</v>
          </cell>
          <cell r="G17">
            <v>2180</v>
          </cell>
          <cell r="H17">
            <v>1920</v>
          </cell>
          <cell r="I17">
            <v>1940</v>
          </cell>
          <cell r="J17">
            <v>2000</v>
          </cell>
          <cell r="K17">
            <v>2590</v>
          </cell>
          <cell r="L17">
            <v>3780</v>
          </cell>
          <cell r="M17">
            <v>3730</v>
          </cell>
          <cell r="N17">
            <v>7631.3205479452108</v>
          </cell>
          <cell r="O17">
            <v>9506.986027397259</v>
          </cell>
          <cell r="P17">
            <v>9729.9263236218048</v>
          </cell>
          <cell r="Q17">
            <v>9667.0949986590786</v>
          </cell>
          <cell r="R17">
            <v>9591.2228937090131</v>
          </cell>
          <cell r="S17">
            <v>9544.2241952438926</v>
          </cell>
          <cell r="T17">
            <v>9535.8895571562643</v>
          </cell>
          <cell r="U17">
            <v>9546.5408765499233</v>
          </cell>
          <cell r="V17">
            <v>9585.6122830457298</v>
          </cell>
          <cell r="W17">
            <v>9608.8221470836743</v>
          </cell>
          <cell r="X17">
            <v>9623.7885076874536</v>
          </cell>
          <cell r="Y17">
            <v>9614.8212505089105</v>
          </cell>
          <cell r="Z17">
            <v>9593.8711756663506</v>
          </cell>
          <cell r="AA17">
            <v>9590.8946099392433</v>
          </cell>
          <cell r="AB17">
            <v>9594.3611983524697</v>
          </cell>
          <cell r="AC17">
            <v>9602.3805728817479</v>
          </cell>
          <cell r="AD17">
            <v>9611.6918293596846</v>
          </cell>
          <cell r="AE17">
            <v>9628.5708979380724</v>
          </cell>
          <cell r="AF17">
            <v>9659.7914041863551</v>
          </cell>
          <cell r="AG17">
            <v>9694.7882918581327</v>
          </cell>
          <cell r="AH17">
            <v>9745.5395325806112</v>
          </cell>
          <cell r="AI17">
            <v>9806.3889688930012</v>
          </cell>
          <cell r="AJ17">
            <v>9861.7125060104172</v>
          </cell>
          <cell r="AK17">
            <v>9920.8502877598021</v>
          </cell>
          <cell r="AL17">
            <v>9979.8174797541433</v>
          </cell>
        </row>
        <row r="18">
          <cell r="B18" t="str">
            <v xml:space="preserve">Mined Bitumen </v>
          </cell>
          <cell r="C18">
            <v>99600</v>
          </cell>
          <cell r="D18">
            <v>120900</v>
          </cell>
          <cell r="E18">
            <v>124700</v>
          </cell>
          <cell r="F18">
            <v>114700</v>
          </cell>
          <cell r="G18">
            <v>131200</v>
          </cell>
          <cell r="H18">
            <v>136242.99205479454</v>
          </cell>
          <cell r="I18">
            <v>141899.05890410958</v>
          </cell>
          <cell r="J18">
            <v>148216.19643835619</v>
          </cell>
          <cell r="K18">
            <v>155178.08602739728</v>
          </cell>
          <cell r="L18">
            <v>152653.42301369866</v>
          </cell>
          <cell r="M18">
            <v>184650.64986301371</v>
          </cell>
          <cell r="N18">
            <v>182833.43972602743</v>
          </cell>
          <cell r="O18">
            <v>202815.78219178083</v>
          </cell>
          <cell r="P18">
            <v>234799.82978469165</v>
          </cell>
          <cell r="Q18">
            <v>254156.63379981264</v>
          </cell>
          <cell r="R18">
            <v>259617.83437279184</v>
          </cell>
          <cell r="S18">
            <v>261022.58625520545</v>
          </cell>
          <cell r="T18">
            <v>261826.63235775448</v>
          </cell>
          <cell r="U18">
            <v>261826.61697683489</v>
          </cell>
          <cell r="V18">
            <v>261826.62684564892</v>
          </cell>
          <cell r="W18">
            <v>261826.62716015082</v>
          </cell>
          <cell r="X18">
            <v>261826.62703786089</v>
          </cell>
          <cell r="Y18">
            <v>261826.627032105</v>
          </cell>
          <cell r="Z18">
            <v>261826.62703364203</v>
          </cell>
          <cell r="AA18">
            <v>261826.62703373685</v>
          </cell>
          <cell r="AB18">
            <v>261826.6270337177</v>
          </cell>
          <cell r="AC18">
            <v>261826.62703371618</v>
          </cell>
          <cell r="AD18">
            <v>260918.32669880448</v>
          </cell>
          <cell r="AE18">
            <v>259282.81498821205</v>
          </cell>
          <cell r="AF18">
            <v>257306.25213540083</v>
          </cell>
          <cell r="AG18">
            <v>255047.42373339791</v>
          </cell>
          <cell r="AH18">
            <v>253110.69799736829</v>
          </cell>
          <cell r="AI18">
            <v>251755.76001759677</v>
          </cell>
          <cell r="AJ18">
            <v>250686.36867928831</v>
          </cell>
          <cell r="AK18">
            <v>249629.7396919489</v>
          </cell>
          <cell r="AL18">
            <v>248585.7207468806</v>
          </cell>
        </row>
        <row r="19">
          <cell r="B19" t="str">
            <v xml:space="preserve">In Situ Bitumen </v>
          </cell>
          <cell r="C19">
            <v>69700</v>
          </cell>
          <cell r="D19">
            <v>78500</v>
          </cell>
          <cell r="E19">
            <v>85200</v>
          </cell>
          <cell r="F19">
            <v>92700</v>
          </cell>
          <cell r="G19">
            <v>105500</v>
          </cell>
          <cell r="H19">
            <v>119629.14712328766</v>
          </cell>
          <cell r="I19">
            <v>134719.58268493149</v>
          </cell>
          <cell r="J19">
            <v>157385.20219178079</v>
          </cell>
          <cell r="K19">
            <v>175859.07172602741</v>
          </cell>
          <cell r="L19">
            <v>200748.64076712329</v>
          </cell>
          <cell r="M19">
            <v>216516.94391559192</v>
          </cell>
          <cell r="N19">
            <v>222306.83333061248</v>
          </cell>
          <cell r="O19">
            <v>245914.92329379948</v>
          </cell>
          <cell r="P19">
            <v>261640.34547641588</v>
          </cell>
          <cell r="Q19">
            <v>273757.26348823449</v>
          </cell>
          <cell r="R19">
            <v>283681.48916161514</v>
          </cell>
          <cell r="S19">
            <v>288325.86230611883</v>
          </cell>
          <cell r="T19">
            <v>292682.61261761619</v>
          </cell>
          <cell r="U19">
            <v>305074.30851720634</v>
          </cell>
          <cell r="V19">
            <v>321274.03996566811</v>
          </cell>
          <cell r="W19">
            <v>335609.62472703506</v>
          </cell>
          <cell r="X19">
            <v>358666.522715092</v>
          </cell>
          <cell r="Y19">
            <v>375954.56890337222</v>
          </cell>
          <cell r="Z19">
            <v>392071.23514178494</v>
          </cell>
          <cell r="AA19">
            <v>396020.8430790946</v>
          </cell>
          <cell r="AB19">
            <v>398516.49347736349</v>
          </cell>
          <cell r="AC19">
            <v>399981.98961715098</v>
          </cell>
          <cell r="AD19">
            <v>406483.74690376862</v>
          </cell>
          <cell r="AE19">
            <v>408398.46783496527</v>
          </cell>
          <cell r="AF19">
            <v>408362.33826701279</v>
          </cell>
          <cell r="AG19">
            <v>408283.81619107048</v>
          </cell>
          <cell r="AH19">
            <v>408191.4548739554</v>
          </cell>
          <cell r="AI19">
            <v>408086.24288439628</v>
          </cell>
          <cell r="AJ19">
            <v>407967.49344223941</v>
          </cell>
          <cell r="AK19">
            <v>407834.09337303642</v>
          </cell>
          <cell r="AL19">
            <v>407686.2596495343</v>
          </cell>
        </row>
        <row r="21">
          <cell r="B21" t="str">
            <v>Conventional Light</v>
          </cell>
          <cell r="C21">
            <v>96.492316484880945</v>
          </cell>
          <cell r="D21">
            <v>679.74809020666567</v>
          </cell>
          <cell r="E21">
            <v>2091.8865299329486</v>
          </cell>
          <cell r="F21">
            <v>6718.4492038985163</v>
          </cell>
          <cell r="G21">
            <v>9701.0385576611534</v>
          </cell>
          <cell r="H21">
            <v>9228.2576536040469</v>
          </cell>
          <cell r="I21">
            <v>9711.9899431634058</v>
          </cell>
          <cell r="J21">
            <v>10965.345709805462</v>
          </cell>
          <cell r="K21">
            <v>11162.071896151936</v>
          </cell>
          <cell r="L21">
            <v>12443.269117385948</v>
          </cell>
          <cell r="M21">
            <v>10860.397371171624</v>
          </cell>
          <cell r="N21">
            <v>9253.1959502336631</v>
          </cell>
          <cell r="O21">
            <v>9004.3643733022636</v>
          </cell>
          <cell r="P21">
            <v>8739.5270246992168</v>
          </cell>
          <cell r="Q21">
            <v>8347.6950442953457</v>
          </cell>
          <cell r="R21">
            <v>7929.8022280612768</v>
          </cell>
          <cell r="S21">
            <v>7609.3479488103167</v>
          </cell>
          <cell r="T21">
            <v>7431.5576055733964</v>
          </cell>
          <cell r="U21">
            <v>7408.9899283187297</v>
          </cell>
          <cell r="V21">
            <v>7536.5984283757989</v>
          </cell>
          <cell r="W21">
            <v>7738.907776800881</v>
          </cell>
          <cell r="X21">
            <v>7946.0056970324813</v>
          </cell>
          <cell r="Y21">
            <v>8141.0689725184702</v>
          </cell>
          <cell r="Z21">
            <v>8318.3565044983461</v>
          </cell>
          <cell r="AA21">
            <v>8471.5462412571815</v>
          </cell>
          <cell r="AB21">
            <v>8600.9863136665172</v>
          </cell>
          <cell r="AC21">
            <v>8720.128262651835</v>
          </cell>
          <cell r="AD21">
            <v>8836.2316237095038</v>
          </cell>
          <cell r="AE21">
            <v>8949.6323766414644</v>
          </cell>
          <cell r="AF21">
            <v>9058.5157583043801</v>
          </cell>
          <cell r="AG21">
            <v>9160.8214336983438</v>
          </cell>
          <cell r="AH21">
            <v>9250.3944845921142</v>
          </cell>
          <cell r="AI21">
            <v>9326.2252056858706</v>
          </cell>
          <cell r="AJ21">
            <v>9385.6499714062065</v>
          </cell>
          <cell r="AK21">
            <v>9426.9985861088189</v>
          </cell>
          <cell r="AL21">
            <v>9448.4992770826011</v>
          </cell>
        </row>
        <row r="22">
          <cell r="B22" t="str">
            <v>Conventional Heavy</v>
          </cell>
          <cell r="C22">
            <v>66520.777872327206</v>
          </cell>
          <cell r="D22">
            <v>67372.372664401628</v>
          </cell>
          <cell r="E22">
            <v>65879.084796231924</v>
          </cell>
          <cell r="F22">
            <v>63127.050796101496</v>
          </cell>
          <cell r="G22">
            <v>57738.111714996281</v>
          </cell>
          <cell r="H22">
            <v>57927.210582443062</v>
          </cell>
          <cell r="I22">
            <v>58235.193228879602</v>
          </cell>
          <cell r="J22">
            <v>63998.916429851473</v>
          </cell>
          <cell r="K22">
            <v>65898.730391354446</v>
          </cell>
          <cell r="L22">
            <v>76109.268382614042</v>
          </cell>
          <cell r="M22">
            <v>66480.901538198566</v>
          </cell>
          <cell r="N22">
            <v>63793.965540929341</v>
          </cell>
          <cell r="O22">
            <v>68379.877899827276</v>
          </cell>
          <cell r="P22">
            <v>72337.115301320446</v>
          </cell>
          <cell r="Q22">
            <v>75681.027521104683</v>
          </cell>
          <cell r="R22">
            <v>77308.64500945824</v>
          </cell>
          <cell r="S22">
            <v>78345.58735553181</v>
          </cell>
          <cell r="T22">
            <v>79327.270203765671</v>
          </cell>
          <cell r="U22">
            <v>80268.309265368531</v>
          </cell>
          <cell r="V22">
            <v>81148.696029911443</v>
          </cell>
          <cell r="W22">
            <v>81697.024428861303</v>
          </cell>
          <cell r="X22">
            <v>81940.622705030488</v>
          </cell>
          <cell r="Y22">
            <v>81969.193325770073</v>
          </cell>
          <cell r="Z22">
            <v>81780.076507940656</v>
          </cell>
          <cell r="AA22">
            <v>81334.088058999187</v>
          </cell>
          <cell r="AB22">
            <v>80714.767025480978</v>
          </cell>
          <cell r="AC22">
            <v>80036.836823044694</v>
          </cell>
          <cell r="AD22">
            <v>79351.494723946191</v>
          </cell>
          <cell r="AE22">
            <v>78605.586904353084</v>
          </cell>
          <cell r="AF22">
            <v>77843.862829005913</v>
          </cell>
          <cell r="AG22">
            <v>77096.271611226184</v>
          </cell>
          <cell r="AH22">
            <v>76195.385950081705</v>
          </cell>
          <cell r="AI22">
            <v>75413.561969305738</v>
          </cell>
          <cell r="AJ22">
            <v>74544.873816629944</v>
          </cell>
          <cell r="AK22">
            <v>73679.720524057338</v>
          </cell>
          <cell r="AL22">
            <v>72757.486094725129</v>
          </cell>
        </row>
        <row r="23">
          <cell r="B23" t="str">
            <v>C5+</v>
          </cell>
          <cell r="C23">
            <v>90</v>
          </cell>
          <cell r="D23">
            <v>100</v>
          </cell>
          <cell r="E23">
            <v>100</v>
          </cell>
          <cell r="F23">
            <v>120</v>
          </cell>
          <cell r="G23">
            <v>170</v>
          </cell>
          <cell r="H23">
            <v>100</v>
          </cell>
          <cell r="I23">
            <v>100</v>
          </cell>
          <cell r="J23">
            <v>100</v>
          </cell>
          <cell r="K23">
            <v>100</v>
          </cell>
          <cell r="L23">
            <v>100</v>
          </cell>
          <cell r="M23">
            <v>100</v>
          </cell>
          <cell r="N23">
            <v>100</v>
          </cell>
          <cell r="O23">
            <v>100</v>
          </cell>
          <cell r="P23">
            <v>100</v>
          </cell>
          <cell r="Q23">
            <v>100</v>
          </cell>
          <cell r="R23">
            <v>100</v>
          </cell>
          <cell r="S23">
            <v>100</v>
          </cell>
          <cell r="T23">
            <v>100</v>
          </cell>
          <cell r="U23">
            <v>100</v>
          </cell>
          <cell r="V23">
            <v>100</v>
          </cell>
          <cell r="W23">
            <v>100</v>
          </cell>
          <cell r="X23">
            <v>100</v>
          </cell>
          <cell r="Y23">
            <v>100</v>
          </cell>
          <cell r="Z23">
            <v>100</v>
          </cell>
          <cell r="AA23">
            <v>100</v>
          </cell>
          <cell r="AB23">
            <v>100</v>
          </cell>
          <cell r="AC23">
            <v>100</v>
          </cell>
          <cell r="AD23">
            <v>100</v>
          </cell>
          <cell r="AE23">
            <v>100</v>
          </cell>
          <cell r="AF23">
            <v>100</v>
          </cell>
          <cell r="AG23">
            <v>100</v>
          </cell>
          <cell r="AH23">
            <v>100</v>
          </cell>
          <cell r="AI23">
            <v>100</v>
          </cell>
          <cell r="AJ23">
            <v>100</v>
          </cell>
          <cell r="AK23">
            <v>100</v>
          </cell>
          <cell r="AL23">
            <v>100</v>
          </cell>
        </row>
        <row r="24">
          <cell r="B24" t="str">
            <v>Conventional Light</v>
          </cell>
          <cell r="C24">
            <v>2203.4851382488482</v>
          </cell>
          <cell r="D24">
            <v>3398.1617415514593</v>
          </cell>
          <cell r="E24">
            <v>3531.5109030977987</v>
          </cell>
          <cell r="F24">
            <v>3746.5833333333339</v>
          </cell>
          <cell r="G24">
            <v>4116.2247580645162</v>
          </cell>
          <cell r="H24">
            <v>4763.6846684587817</v>
          </cell>
          <cell r="I24">
            <v>6462.2715092165899</v>
          </cell>
          <cell r="J24">
            <v>8094.5645528982814</v>
          </cell>
          <cell r="K24">
            <v>8262.7367191500271</v>
          </cell>
          <cell r="L24">
            <v>7781.3506688428042</v>
          </cell>
          <cell r="M24">
            <v>7282.7969105222728</v>
          </cell>
          <cell r="N24">
            <v>6380.9985653812873</v>
          </cell>
          <cell r="O24">
            <v>5830.8193436537013</v>
          </cell>
          <cell r="P24">
            <v>5370.0572684063036</v>
          </cell>
          <cell r="Q24">
            <v>4904.6890168222708</v>
          </cell>
          <cell r="R24">
            <v>4468.1562888542712</v>
          </cell>
          <cell r="S24">
            <v>4092.0264303558301</v>
          </cell>
          <cell r="T24">
            <v>3782.9101481459766</v>
          </cell>
          <cell r="U24">
            <v>3536.4480691582198</v>
          </cell>
          <cell r="V24">
            <v>3333.2340466074616</v>
          </cell>
          <cell r="W24">
            <v>3154.4207615315918</v>
          </cell>
          <cell r="X24">
            <v>3003.649948898169</v>
          </cell>
          <cell r="Y24">
            <v>2874.6117449281064</v>
          </cell>
          <cell r="Z24">
            <v>2760.2548888815395</v>
          </cell>
          <cell r="AA24">
            <v>2655.9913845497877</v>
          </cell>
          <cell r="AB24">
            <v>2558.9056227911856</v>
          </cell>
          <cell r="AC24">
            <v>2469.2318249771606</v>
          </cell>
          <cell r="AD24">
            <v>2387.5343287029964</v>
          </cell>
          <cell r="AE24">
            <v>2314.1388429422491</v>
          </cell>
          <cell r="AF24">
            <v>2248.3597716889208</v>
          </cell>
          <cell r="AG24">
            <v>2189.3979119404908</v>
          </cell>
          <cell r="AH24">
            <v>2132.6962164130364</v>
          </cell>
          <cell r="AI24">
            <v>2064.174173304094</v>
          </cell>
          <cell r="AJ24">
            <v>1995.7812333381444</v>
          </cell>
          <cell r="AK24">
            <v>1932.0846954080873</v>
          </cell>
          <cell r="AL24">
            <v>1870.8345944335927</v>
          </cell>
        </row>
        <row r="25">
          <cell r="B25" t="str">
            <v>Conventional Light</v>
          </cell>
          <cell r="C25">
            <v>380</v>
          </cell>
          <cell r="D25">
            <v>340</v>
          </cell>
          <cell r="E25">
            <v>300</v>
          </cell>
          <cell r="F25">
            <v>270</v>
          </cell>
          <cell r="G25">
            <v>250</v>
          </cell>
          <cell r="H25">
            <v>240</v>
          </cell>
          <cell r="I25">
            <v>220</v>
          </cell>
          <cell r="J25">
            <v>220</v>
          </cell>
          <cell r="K25">
            <v>200</v>
          </cell>
          <cell r="L25">
            <v>190</v>
          </cell>
          <cell r="M25">
            <v>157.3838965693806</v>
          </cell>
          <cell r="N25">
            <v>155.15005760368666</v>
          </cell>
          <cell r="O25">
            <v>94</v>
          </cell>
          <cell r="P25">
            <v>124</v>
          </cell>
          <cell r="Q25">
            <v>129</v>
          </cell>
          <cell r="R25">
            <v>135</v>
          </cell>
          <cell r="S25">
            <v>147.54616102251788</v>
          </cell>
          <cell r="T25">
            <v>146.0706994122927</v>
          </cell>
          <cell r="U25">
            <v>144.60999241816978</v>
          </cell>
          <cell r="V25">
            <v>143.16389249398807</v>
          </cell>
          <cell r="W25">
            <v>141.7322535690482</v>
          </cell>
          <cell r="X25">
            <v>121.45589086151206</v>
          </cell>
          <cell r="Y25">
            <v>119.06677304428182</v>
          </cell>
          <cell r="Z25">
            <v>115.01087867478105</v>
          </cell>
          <cell r="AA25">
            <v>118.89337693559942</v>
          </cell>
          <cell r="AB25">
            <v>118.46587008028297</v>
          </cell>
          <cell r="AC25">
            <v>116.06495735771263</v>
          </cell>
          <cell r="AD25">
            <v>114.69028296925232</v>
          </cell>
          <cell r="AE25">
            <v>112.54671347289313</v>
          </cell>
          <cell r="AF25">
            <v>110.54808061709718</v>
          </cell>
          <cell r="AG25">
            <v>109.2413990804032</v>
          </cell>
          <cell r="AH25">
            <v>107.13898508959919</v>
          </cell>
          <cell r="AI25">
            <v>104.54006640271758</v>
          </cell>
          <cell r="AJ25">
            <v>102.298845524398</v>
          </cell>
          <cell r="AK25">
            <v>100.56919040248737</v>
          </cell>
          <cell r="AL25">
            <v>97.7008451064345</v>
          </cell>
        </row>
        <row r="26">
          <cell r="B26" t="str">
            <v>Conventional Light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/>
          <cell r="Q26"/>
          <cell r="R26"/>
          <cell r="S26"/>
          <cell r="T26"/>
          <cell r="U26"/>
          <cell r="V26"/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</row>
        <row r="27">
          <cell r="B27" t="str">
            <v>Conventional Light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/>
          <cell r="Q27"/>
          <cell r="R27"/>
          <cell r="S27"/>
          <cell r="T27"/>
          <cell r="U27"/>
          <cell r="V27"/>
          <cell r="W27"/>
          <cell r="X27"/>
          <cell r="Y27"/>
          <cell r="Z27"/>
          <cell r="AA27"/>
          <cell r="AB27"/>
          <cell r="AC27"/>
          <cell r="AD27"/>
          <cell r="AE27"/>
          <cell r="AF27"/>
          <cell r="AG27"/>
          <cell r="AH27"/>
          <cell r="AI27"/>
          <cell r="AJ27"/>
          <cell r="AK27"/>
          <cell r="AL27"/>
        </row>
        <row r="28">
          <cell r="B28" t="str">
            <v>C5+</v>
          </cell>
          <cell r="C28">
            <v>2050</v>
          </cell>
          <cell r="D28">
            <v>1910</v>
          </cell>
          <cell r="E28">
            <v>1890</v>
          </cell>
          <cell r="F28">
            <v>1750</v>
          </cell>
          <cell r="G28">
            <v>1130</v>
          </cell>
          <cell r="H28">
            <v>1070</v>
          </cell>
          <cell r="I28">
            <v>860</v>
          </cell>
          <cell r="J28">
            <v>580</v>
          </cell>
          <cell r="K28">
            <v>330</v>
          </cell>
          <cell r="L28">
            <v>460</v>
          </cell>
          <cell r="M28">
            <v>439.2230136986301</v>
          </cell>
          <cell r="N28">
            <v>416.31040165903886</v>
          </cell>
          <cell r="O28">
            <v>312</v>
          </cell>
          <cell r="P28">
            <v>302</v>
          </cell>
          <cell r="Q28">
            <v>287</v>
          </cell>
          <cell r="R28">
            <v>223</v>
          </cell>
          <cell r="S28">
            <v>201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</row>
        <row r="29">
          <cell r="B29" t="str">
            <v>Conventional Light</v>
          </cell>
          <cell r="C29">
            <v>48470</v>
          </cell>
          <cell r="D29">
            <v>48280</v>
          </cell>
          <cell r="E29">
            <v>58580</v>
          </cell>
          <cell r="F29">
            <v>54550</v>
          </cell>
          <cell r="G29">
            <v>42550</v>
          </cell>
          <cell r="H29">
            <v>43850</v>
          </cell>
          <cell r="I29">
            <v>42140</v>
          </cell>
          <cell r="J29">
            <v>31430</v>
          </cell>
          <cell r="K29">
            <v>36870</v>
          </cell>
          <cell r="L29">
            <v>34340</v>
          </cell>
          <cell r="M29">
            <v>27348</v>
          </cell>
          <cell r="N29">
            <v>33334</v>
          </cell>
          <cell r="O29">
            <v>34760</v>
          </cell>
          <cell r="P29">
            <v>29943.074179243024</v>
          </cell>
          <cell r="Q29">
            <v>29968.449411092381</v>
          </cell>
          <cell r="R29">
            <v>23373.788212816609</v>
          </cell>
          <cell r="S29">
            <v>23819.012558388451</v>
          </cell>
          <cell r="T29">
            <v>23313.191624099385</v>
          </cell>
          <cell r="U29">
            <v>26668.918521480115</v>
          </cell>
          <cell r="V29">
            <v>26008.9765202526</v>
          </cell>
          <cell r="W29">
            <v>25222.764641027643</v>
          </cell>
          <cell r="X29">
            <v>23101.052005617599</v>
          </cell>
          <cell r="Y29">
            <v>21315.52846813955</v>
          </cell>
          <cell r="Z29">
            <v>18689.10127746845</v>
          </cell>
          <cell r="AA29">
            <v>17315.590956273947</v>
          </cell>
          <cell r="AB29">
            <v>15610.750049990724</v>
          </cell>
          <cell r="AC29">
            <v>15846.831286431523</v>
          </cell>
          <cell r="AD29">
            <v>16053.54000032391</v>
          </cell>
          <cell r="AE29">
            <v>16622.054031338201</v>
          </cell>
          <cell r="AF29">
            <v>18351.897155786075</v>
          </cell>
          <cell r="AG29">
            <v>18407.787914308949</v>
          </cell>
          <cell r="AH29">
            <v>17434.941505607054</v>
          </cell>
          <cell r="AI29">
            <v>16612.144028718023</v>
          </cell>
          <cell r="AJ29">
            <v>14875.738569860132</v>
          </cell>
          <cell r="AK29">
            <v>12769.901432064178</v>
          </cell>
          <cell r="AL29">
            <v>10786.375798465739</v>
          </cell>
        </row>
        <row r="30">
          <cell r="B30" t="str">
            <v>Conventional Heavy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336</v>
          </cell>
          <cell r="P30">
            <v>7773.7079864464204</v>
          </cell>
          <cell r="Q30">
            <v>12503.100257559858</v>
          </cell>
          <cell r="R30">
            <v>19087.093389296962</v>
          </cell>
          <cell r="S30">
            <v>22161.594963273878</v>
          </cell>
          <cell r="T30">
            <v>23578.492161912942</v>
          </cell>
          <cell r="U30">
            <v>22577.506438996472</v>
          </cell>
          <cell r="V30">
            <v>22482.113898693122</v>
          </cell>
          <cell r="W30">
            <v>21266.494960094125</v>
          </cell>
          <cell r="X30">
            <v>19185.347705809403</v>
          </cell>
          <cell r="Y30">
            <v>15667.366211962224</v>
          </cell>
          <cell r="Z30">
            <v>13315.844700944388</v>
          </cell>
          <cell r="AA30">
            <v>11176.81007345226</v>
          </cell>
          <cell r="AB30">
            <v>9505.2465897166858</v>
          </cell>
          <cell r="AC30">
            <v>9239.2444910807972</v>
          </cell>
          <cell r="AD30">
            <v>8326.3378803777541</v>
          </cell>
          <cell r="AE30">
            <v>7098.6358866736628</v>
          </cell>
          <cell r="AF30">
            <v>6059.8111227701993</v>
          </cell>
          <cell r="AG30">
            <v>5461.6998950682064</v>
          </cell>
          <cell r="AH30">
            <v>5020.9863588667367</v>
          </cell>
          <cell r="AI30">
            <v>5027.2391438715522</v>
          </cell>
          <cell r="AJ30">
            <v>4696.7039917204502</v>
          </cell>
          <cell r="AK30">
            <v>4240.8975261970136</v>
          </cell>
          <cell r="AL30">
            <v>3839.3855469354762</v>
          </cell>
        </row>
        <row r="31">
          <cell r="B31" t="str">
            <v>Conventional Light</v>
          </cell>
          <cell r="C31">
            <v>2990</v>
          </cell>
          <cell r="D31">
            <v>2970</v>
          </cell>
          <cell r="E31">
            <v>2790</v>
          </cell>
          <cell r="F31">
            <v>2580</v>
          </cell>
          <cell r="G31">
            <v>2470</v>
          </cell>
          <cell r="H31">
            <v>2390</v>
          </cell>
          <cell r="I31">
            <v>1670</v>
          </cell>
          <cell r="J31">
            <v>2070</v>
          </cell>
          <cell r="K31">
            <v>1960</v>
          </cell>
          <cell r="L31">
            <v>1690</v>
          </cell>
          <cell r="M31">
            <v>1576</v>
          </cell>
          <cell r="N31">
            <v>1428</v>
          </cell>
          <cell r="O31">
            <v>54</v>
          </cell>
          <cell r="P31">
            <v>100</v>
          </cell>
          <cell r="Q31">
            <v>1212.9230769230767</v>
          </cell>
          <cell r="R31">
            <v>1305.840579710145</v>
          </cell>
          <cell r="S31">
            <v>1321.7941381236001</v>
          </cell>
          <cell r="T31">
            <v>1282.140313979892</v>
          </cell>
          <cell r="U31">
            <v>1243.6761045604951</v>
          </cell>
          <cell r="V31">
            <v>1206.3658214236802</v>
          </cell>
          <cell r="W31">
            <v>1170.1748467809698</v>
          </cell>
          <cell r="X31">
            <v>1100.773667787993</v>
          </cell>
          <cell r="Y31">
            <v>1035.0491030775092</v>
          </cell>
          <cell r="Z31">
            <v>969.68433922894485</v>
          </cell>
          <cell r="AA31">
            <v>923.80193080776769</v>
          </cell>
          <cell r="AB31">
            <v>879.9425763609695</v>
          </cell>
          <cell r="AC31">
            <v>838.02190205643433</v>
          </cell>
          <cell r="AD31">
            <v>797.95890428623284</v>
          </cell>
          <cell r="AE31">
            <v>768.02390546227321</v>
          </cell>
          <cell r="AF31">
            <v>731.13242134135135</v>
          </cell>
          <cell r="AG31">
            <v>695.88585376151161</v>
          </cell>
          <cell r="AH31">
            <v>669.65564891703605</v>
          </cell>
          <cell r="AI31">
            <v>637.21325954934548</v>
          </cell>
          <cell r="AJ31">
            <v>606.22666189844745</v>
          </cell>
          <cell r="AK31">
            <v>583.26232947536823</v>
          </cell>
          <cell r="AL31">
            <v>554.65785325171532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Region" tableColumnId="1"/>
      <queryTableField id="2" name="Type" tableColumnId="2"/>
      <queryTableField id="3" name="Senario" tableColumnId="3"/>
      <queryTableField id="4" name="Year" tableColumnId="4"/>
      <queryTableField id="5" name="Data" tableColumnId="5"/>
      <queryTableField id="6" name="Unit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1" displayName="Table1" ref="A1:AM261" totalsRowShown="0">
  <autoFilter ref="A1:AM261"/>
  <tableColumns count="39">
    <tableColumn id="1" name="Senario"/>
    <tableColumn id="2" name="Region"/>
    <tableColumn id="3" name="Type"/>
    <tableColumn id="4" name="2005"/>
    <tableColumn id="5" name="2006"/>
    <tableColumn id="6" name="2007"/>
    <tableColumn id="7" name="2008"/>
    <tableColumn id="8" name="2009"/>
    <tableColumn id="9" name="2010"/>
    <tableColumn id="10" name="2011"/>
    <tableColumn id="11" name="2012"/>
    <tableColumn id="12" name="2013"/>
    <tableColumn id="13" name="2014"/>
    <tableColumn id="14" name="2015"/>
    <tableColumn id="15" name="2016"/>
    <tableColumn id="16" name="2017"/>
    <tableColumn id="17" name="2018"/>
    <tableColumn id="18" name="2019"/>
    <tableColumn id="19" name="2020"/>
    <tableColumn id="20" name="2021"/>
    <tableColumn id="21" name="2022"/>
    <tableColumn id="22" name="2023"/>
    <tableColumn id="23" name="2024"/>
    <tableColumn id="24" name="2025"/>
    <tableColumn id="25" name="2026"/>
    <tableColumn id="26" name="2027"/>
    <tableColumn id="27" name="2028"/>
    <tableColumn id="28" name="2029"/>
    <tableColumn id="29" name="2030"/>
    <tableColumn id="30" name="2031"/>
    <tableColumn id="31" name="2032"/>
    <tableColumn id="32" name="2033"/>
    <tableColumn id="33" name="2034"/>
    <tableColumn id="34" name="2035"/>
    <tableColumn id="35" name="2036"/>
    <tableColumn id="36" name="2037"/>
    <tableColumn id="37" name="2038"/>
    <tableColumn id="38" name="2039"/>
    <tableColumn id="39" name="20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Oil_Production" displayName="Oil_Production" ref="A1:F9361" tableType="queryTable" totalsRowShown="0" headerRowDxfId="7" dataDxfId="6">
  <autoFilter ref="A1:F9361"/>
  <tableColumns count="6">
    <tableColumn id="1" uniqueName="1" name="Region" queryTableFieldId="1" dataDxfId="5"/>
    <tableColumn id="2" uniqueName="2" name="Type" queryTableFieldId="2" dataDxfId="4"/>
    <tableColumn id="3" uniqueName="3" name="Senario" queryTableFieldId="3" dataDxfId="3"/>
    <tableColumn id="4" uniqueName="4" name="Year" queryTableFieldId="4" dataDxfId="2"/>
    <tableColumn id="5" uniqueName="5" name="Data" queryTableFieldId="5" dataDxfId="1"/>
    <tableColumn id="6" uniqueName="6" name="Unit" queryTableFieldId="6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N205"/>
  <sheetViews>
    <sheetView zoomScale="85" zoomScaleNormal="85" workbookViewId="0">
      <selection activeCell="AF209" sqref="AF209"/>
    </sheetView>
  </sheetViews>
  <sheetFormatPr defaultRowHeight="15" x14ac:dyDescent="0.25"/>
  <cols>
    <col min="1" max="1" width="11.28515625" customWidth="1"/>
    <col min="2" max="2" width="31.85546875" customWidth="1"/>
    <col min="3" max="3" width="29.140625" customWidth="1"/>
    <col min="4" max="4" width="21" customWidth="1"/>
    <col min="5" max="5" width="10.42578125" customWidth="1"/>
  </cols>
  <sheetData>
    <row r="1" spans="1:40" x14ac:dyDescent="0.25">
      <c r="A1" t="s">
        <v>18</v>
      </c>
      <c r="B1" t="s">
        <v>17</v>
      </c>
      <c r="C1" t="s">
        <v>19</v>
      </c>
      <c r="D1" t="s">
        <v>20</v>
      </c>
      <c r="E1">
        <v>2005</v>
      </c>
      <c r="F1">
        <v>2006</v>
      </c>
      <c r="G1">
        <v>2007</v>
      </c>
      <c r="H1">
        <v>2008</v>
      </c>
      <c r="I1">
        <v>2009</v>
      </c>
      <c r="J1">
        <v>2010</v>
      </c>
      <c r="K1">
        <v>2011</v>
      </c>
      <c r="L1">
        <v>2012</v>
      </c>
      <c r="M1">
        <v>2013</v>
      </c>
      <c r="N1">
        <v>2014</v>
      </c>
      <c r="O1">
        <v>2015</v>
      </c>
      <c r="P1">
        <v>2016</v>
      </c>
      <c r="Q1">
        <v>2017</v>
      </c>
      <c r="R1">
        <v>2018</v>
      </c>
      <c r="S1">
        <v>2019</v>
      </c>
      <c r="T1">
        <v>2020</v>
      </c>
      <c r="U1">
        <v>2021</v>
      </c>
      <c r="V1">
        <v>2022</v>
      </c>
      <c r="W1">
        <v>2023</v>
      </c>
      <c r="X1">
        <v>2024</v>
      </c>
      <c r="Y1">
        <v>2025</v>
      </c>
      <c r="Z1">
        <v>2026</v>
      </c>
      <c r="AA1">
        <v>2027</v>
      </c>
      <c r="AB1">
        <v>2028</v>
      </c>
      <c r="AC1">
        <v>2029</v>
      </c>
      <c r="AD1">
        <v>2030</v>
      </c>
      <c r="AE1">
        <v>2031</v>
      </c>
      <c r="AF1">
        <v>2032</v>
      </c>
      <c r="AG1">
        <v>2033</v>
      </c>
      <c r="AH1">
        <v>2034</v>
      </c>
      <c r="AI1">
        <v>2035</v>
      </c>
      <c r="AJ1">
        <v>2036</v>
      </c>
      <c r="AK1">
        <v>2037</v>
      </c>
      <c r="AL1">
        <v>2038</v>
      </c>
      <c r="AM1">
        <v>2039</v>
      </c>
      <c r="AN1">
        <v>2040</v>
      </c>
    </row>
    <row r="2" spans="1:40" x14ac:dyDescent="0.25">
      <c r="A2" t="s">
        <v>21</v>
      </c>
      <c r="B2" t="s">
        <v>22</v>
      </c>
      <c r="C2" t="s">
        <v>0</v>
      </c>
      <c r="D2" t="s">
        <v>23</v>
      </c>
      <c r="E2" s="2">
        <v>412.32154414029498</v>
      </c>
      <c r="F2" s="2">
        <v>440.21519007120355</v>
      </c>
      <c r="G2" s="2">
        <v>457.95667866186193</v>
      </c>
      <c r="H2" s="2">
        <v>448.22719514065324</v>
      </c>
      <c r="I2" s="2">
        <v>454.58081198371809</v>
      </c>
      <c r="J2" s="2">
        <v>474.43830133392009</v>
      </c>
      <c r="K2" s="2">
        <v>500.17762886928222</v>
      </c>
      <c r="L2" s="2">
        <v>536.68146255684792</v>
      </c>
      <c r="M2" s="2">
        <v>576.71551782489382</v>
      </c>
      <c r="N2" s="1">
        <v>617.83834563279288</v>
      </c>
      <c r="O2" s="1">
        <v>650.51794562443592</v>
      </c>
      <c r="P2" s="1">
        <v>694.93746615237342</v>
      </c>
      <c r="Q2" s="1">
        <v>732.227767703989</v>
      </c>
      <c r="R2" s="1">
        <v>759.43906320759595</v>
      </c>
      <c r="S2" s="1">
        <v>772.93335777977086</v>
      </c>
      <c r="T2" s="1">
        <v>776.02381564184407</v>
      </c>
      <c r="U2" s="1">
        <v>783.72726548664468</v>
      </c>
      <c r="V2" s="1">
        <v>800.36755722163616</v>
      </c>
      <c r="W2" s="1">
        <v>820.80122188054247</v>
      </c>
      <c r="X2" s="1">
        <v>841.57650381083658</v>
      </c>
      <c r="Y2" s="1">
        <v>870.28285940405385</v>
      </c>
      <c r="Z2" s="1">
        <v>880.29857978919358</v>
      </c>
      <c r="AA2" s="1">
        <v>890.49285343447377</v>
      </c>
      <c r="AB2" s="1">
        <v>901.47585232210986</v>
      </c>
      <c r="AC2" s="1">
        <v>911.05283411456696</v>
      </c>
      <c r="AD2" s="1">
        <v>919.6454244076341</v>
      </c>
      <c r="AE2" s="1">
        <v>927.19138218660419</v>
      </c>
      <c r="AF2" s="1">
        <v>933.54460801506912</v>
      </c>
      <c r="AG2" s="1">
        <v>938.57137066597272</v>
      </c>
      <c r="AH2" s="1">
        <v>944.24538937291732</v>
      </c>
      <c r="AI2" s="1">
        <v>948.5095366855461</v>
      </c>
      <c r="AJ2" s="1">
        <v>953.62413510505382</v>
      </c>
      <c r="AK2" s="1">
        <v>956.74059698712426</v>
      </c>
      <c r="AL2" s="1">
        <v>958.74014380020537</v>
      </c>
      <c r="AM2" s="1">
        <v>960.26994284514274</v>
      </c>
      <c r="AN2" s="1">
        <v>962.51316097946483</v>
      </c>
    </row>
    <row r="3" spans="1:40" x14ac:dyDescent="0.25">
      <c r="A3" t="s">
        <v>21</v>
      </c>
      <c r="B3" t="s">
        <v>22</v>
      </c>
      <c r="C3" t="s">
        <v>0</v>
      </c>
      <c r="D3" t="s">
        <v>1</v>
      </c>
      <c r="E3" s="2">
        <v>128.28831168826017</v>
      </c>
      <c r="F3" s="2">
        <v>126.34478897909185</v>
      </c>
      <c r="G3" s="2">
        <v>135.93874712035935</v>
      </c>
      <c r="H3" s="2">
        <v>135.62362013430291</v>
      </c>
      <c r="I3" s="2">
        <v>120.25932487977946</v>
      </c>
      <c r="J3" s="2">
        <v>122.30510334305794</v>
      </c>
      <c r="K3" s="2">
        <v>127.59119701118857</v>
      </c>
      <c r="L3" s="2">
        <v>131.12738866479708</v>
      </c>
      <c r="M3" s="2">
        <v>142.6632043022199</v>
      </c>
      <c r="N3" s="1">
        <v>141.65565775841318</v>
      </c>
      <c r="O3" s="1">
        <v>139.78991072572364</v>
      </c>
      <c r="P3" s="1">
        <v>144.63199443563724</v>
      </c>
      <c r="Q3" s="1">
        <v>142.13749220996743</v>
      </c>
      <c r="R3" s="1">
        <v>151.86725980242463</v>
      </c>
      <c r="S3" s="1">
        <v>152.58066001465306</v>
      </c>
      <c r="T3" s="1">
        <v>145.71406554768132</v>
      </c>
      <c r="U3" s="1">
        <v>144.48686558612775</v>
      </c>
      <c r="V3" s="1">
        <v>145.92067295014397</v>
      </c>
      <c r="W3" s="1">
        <v>141.22130835209643</v>
      </c>
      <c r="X3" s="1">
        <v>141.88585967617107</v>
      </c>
      <c r="Y3" s="1">
        <v>156.52383444462012</v>
      </c>
      <c r="Z3" s="1">
        <v>151.62538847920212</v>
      </c>
      <c r="AA3" s="1">
        <v>147.15496473032835</v>
      </c>
      <c r="AB3" s="1">
        <v>144.33590320822799</v>
      </c>
      <c r="AC3" s="1">
        <v>142.51534333564297</v>
      </c>
      <c r="AD3" s="1">
        <v>140.98056935424108</v>
      </c>
      <c r="AE3" s="1">
        <v>137.89458528654129</v>
      </c>
      <c r="AF3" s="1">
        <v>134.09664986506766</v>
      </c>
      <c r="AG3" s="1">
        <v>131.1733592552813</v>
      </c>
      <c r="AH3" s="1">
        <v>129.93063425639411</v>
      </c>
      <c r="AI3" s="1">
        <v>126.59898813234332</v>
      </c>
      <c r="AJ3" s="1">
        <v>124.24959967903705</v>
      </c>
      <c r="AK3" s="1">
        <v>121.86297733289717</v>
      </c>
      <c r="AL3" s="1">
        <v>119.10627581450359</v>
      </c>
      <c r="AM3" s="1">
        <v>116.31599144462902</v>
      </c>
      <c r="AN3" s="1">
        <v>114.45379182939327</v>
      </c>
    </row>
    <row r="4" spans="1:40" x14ac:dyDescent="0.25">
      <c r="A4" t="s">
        <v>21</v>
      </c>
      <c r="B4" t="s">
        <v>22</v>
      </c>
      <c r="C4" t="s">
        <v>0</v>
      </c>
      <c r="D4" t="s">
        <v>2</v>
      </c>
      <c r="E4" s="2">
        <v>88.501955631897658</v>
      </c>
      <c r="F4" s="2">
        <v>87.309644804647562</v>
      </c>
      <c r="G4" s="2">
        <v>84.839993919009089</v>
      </c>
      <c r="H4" s="2">
        <v>78.965096607133901</v>
      </c>
      <c r="I4" s="2">
        <v>73.336177106927792</v>
      </c>
      <c r="J4" s="2">
        <v>72.126752671620608</v>
      </c>
      <c r="K4" s="2">
        <v>72.012838004560294</v>
      </c>
      <c r="L4" s="2">
        <v>77.055157260830484</v>
      </c>
      <c r="M4" s="2">
        <v>77.95570492058205</v>
      </c>
      <c r="N4" s="1">
        <v>79.872764288036109</v>
      </c>
      <c r="O4" s="1">
        <v>78.98950531882798</v>
      </c>
      <c r="P4" s="1">
        <v>77.430024972501855</v>
      </c>
      <c r="Q4" s="1">
        <v>75.778154094307723</v>
      </c>
      <c r="R4" s="1">
        <v>74.241499345485636</v>
      </c>
      <c r="S4" s="1">
        <v>72.845370809960897</v>
      </c>
      <c r="T4" s="1">
        <v>71.609510295228148</v>
      </c>
      <c r="U4" s="1">
        <v>70.534706378417781</v>
      </c>
      <c r="V4" s="1">
        <v>69.673523969239</v>
      </c>
      <c r="W4" s="1">
        <v>68.980745470841484</v>
      </c>
      <c r="X4" s="1">
        <v>68.461920696270738</v>
      </c>
      <c r="Y4" s="1">
        <v>68.081302749634645</v>
      </c>
      <c r="Z4" s="1">
        <v>67.782224117965072</v>
      </c>
      <c r="AA4" s="1">
        <v>67.513095551443911</v>
      </c>
      <c r="AB4" s="1">
        <v>67.173977950524375</v>
      </c>
      <c r="AC4" s="1">
        <v>66.650099817062411</v>
      </c>
      <c r="AD4" s="1">
        <v>65.96477247748777</v>
      </c>
      <c r="AE4" s="1">
        <v>65.182865429422151</v>
      </c>
      <c r="AF4" s="1">
        <v>64.272991938998231</v>
      </c>
      <c r="AG4" s="1">
        <v>63.250723517534354</v>
      </c>
      <c r="AH4" s="1">
        <v>62.185728493532523</v>
      </c>
      <c r="AI4" s="1">
        <v>61.056788513933256</v>
      </c>
      <c r="AJ4" s="1">
        <v>59.989329753640689</v>
      </c>
      <c r="AK4" s="1">
        <v>58.793396199147885</v>
      </c>
      <c r="AL4" s="1">
        <v>57.65395573526289</v>
      </c>
      <c r="AM4" s="1">
        <v>56.4968027314723</v>
      </c>
      <c r="AN4" s="1">
        <v>55.317894944722227</v>
      </c>
    </row>
    <row r="5" spans="1:40" x14ac:dyDescent="0.25">
      <c r="A5" t="s">
        <v>21</v>
      </c>
      <c r="B5" t="s">
        <v>22</v>
      </c>
      <c r="C5" t="s">
        <v>0</v>
      </c>
      <c r="D5" t="s">
        <v>3</v>
      </c>
      <c r="E5" s="2">
        <v>24.138661203698771</v>
      </c>
      <c r="F5" s="2">
        <v>24.807371355957283</v>
      </c>
      <c r="G5" s="2">
        <v>24.533500362219502</v>
      </c>
      <c r="H5" s="2">
        <v>23.111416481408192</v>
      </c>
      <c r="I5" s="2">
        <v>21.391199312079344</v>
      </c>
      <c r="J5" s="2">
        <v>20.997480935679917</v>
      </c>
      <c r="K5" s="2">
        <v>20.557344812437488</v>
      </c>
      <c r="L5" s="2">
        <v>20.096138549028552</v>
      </c>
      <c r="M5" s="2">
        <v>21.143769971954924</v>
      </c>
      <c r="N5" s="1">
        <v>24.896597558946336</v>
      </c>
      <c r="O5" s="1">
        <v>26.253715861757701</v>
      </c>
      <c r="P5" s="1">
        <v>26.35374746081709</v>
      </c>
      <c r="Q5" s="1">
        <v>26.653421131364968</v>
      </c>
      <c r="R5" s="1">
        <v>26.91703434536814</v>
      </c>
      <c r="S5" s="1">
        <v>27.267487058006164</v>
      </c>
      <c r="T5" s="1">
        <v>27.688195240366962</v>
      </c>
      <c r="U5" s="1">
        <v>28.163281272723168</v>
      </c>
      <c r="V5" s="1">
        <v>28.608665530943629</v>
      </c>
      <c r="W5" s="1">
        <v>28.969465400403227</v>
      </c>
      <c r="X5" s="1">
        <v>29.226234346559799</v>
      </c>
      <c r="Y5" s="1">
        <v>29.359815434892798</v>
      </c>
      <c r="Z5" s="1">
        <v>29.42755429743427</v>
      </c>
      <c r="AA5" s="1">
        <v>29.44355062691222</v>
      </c>
      <c r="AB5" s="1">
        <v>29.415988644429337</v>
      </c>
      <c r="AC5" s="1">
        <v>29.405325595225097</v>
      </c>
      <c r="AD5" s="1">
        <v>29.452677807706305</v>
      </c>
      <c r="AE5" s="1">
        <v>29.527798823294262</v>
      </c>
      <c r="AF5" s="1">
        <v>29.635061411342935</v>
      </c>
      <c r="AG5" s="1">
        <v>29.674334053377141</v>
      </c>
      <c r="AH5" s="1">
        <v>29.67121798541368</v>
      </c>
      <c r="AI5" s="1">
        <v>29.652008119864838</v>
      </c>
      <c r="AJ5" s="1">
        <v>29.62527577058254</v>
      </c>
      <c r="AK5" s="1">
        <v>29.6027348674472</v>
      </c>
      <c r="AL5" s="1">
        <v>29.565214716428081</v>
      </c>
      <c r="AM5" s="1">
        <v>29.539989710676416</v>
      </c>
      <c r="AN5" s="1">
        <v>29.525241490232919</v>
      </c>
    </row>
    <row r="6" spans="1:40" x14ac:dyDescent="0.25">
      <c r="A6" t="s">
        <v>21</v>
      </c>
      <c r="B6" t="s">
        <v>22</v>
      </c>
      <c r="C6" t="s">
        <v>0</v>
      </c>
      <c r="D6" t="s">
        <v>4</v>
      </c>
      <c r="E6" s="2">
        <v>2.0926156164383563</v>
      </c>
      <c r="F6" s="2">
        <v>2.3533849315068487</v>
      </c>
      <c r="G6" s="2">
        <v>2.7444372602739726</v>
      </c>
      <c r="H6" s="2">
        <v>3.1270619178082191</v>
      </c>
      <c r="I6" s="2">
        <v>2.894110684931507</v>
      </c>
      <c r="J6" s="2">
        <v>2.7089643835616446</v>
      </c>
      <c r="K6" s="2">
        <v>2.8162490410958907</v>
      </c>
      <c r="L6" s="2">
        <v>2.9027780821917806</v>
      </c>
      <c r="M6" s="2">
        <v>3.5528386301369865</v>
      </c>
      <c r="N6" s="1">
        <v>5.2133260273972599</v>
      </c>
      <c r="O6" s="1">
        <v>5.6635654476805035</v>
      </c>
      <c r="P6" s="1">
        <v>5.6436872232848465</v>
      </c>
      <c r="Q6" s="1">
        <v>5.6257511624015439</v>
      </c>
      <c r="R6" s="1">
        <v>5.6132599449912597</v>
      </c>
      <c r="S6" s="1">
        <v>5.5273573647983856</v>
      </c>
      <c r="T6" s="1">
        <v>5.4384441297163022</v>
      </c>
      <c r="U6" s="1">
        <v>5.4430360141226508</v>
      </c>
      <c r="V6" s="1">
        <v>5.5404687263155079</v>
      </c>
      <c r="W6" s="1">
        <v>5.643740306788116</v>
      </c>
      <c r="X6" s="1">
        <v>5.744029268889598</v>
      </c>
      <c r="Y6" s="1">
        <v>5.8694781313914062</v>
      </c>
      <c r="Z6" s="1">
        <v>5.9959124138235849</v>
      </c>
      <c r="AA6" s="1">
        <v>6.1218494456415442</v>
      </c>
      <c r="AB6" s="1">
        <v>6.2363562388252376</v>
      </c>
      <c r="AC6" s="1">
        <v>6.3264529042665441</v>
      </c>
      <c r="AD6" s="1">
        <v>6.3917476618366242</v>
      </c>
      <c r="AE6" s="1">
        <v>6.4331866865192611</v>
      </c>
      <c r="AF6" s="1">
        <v>6.4496810568037723</v>
      </c>
      <c r="AG6" s="1">
        <v>6.4395124533276178</v>
      </c>
      <c r="AH6" s="1">
        <v>6.4201773480965683</v>
      </c>
      <c r="AI6" s="1">
        <v>6.3739766845557835</v>
      </c>
      <c r="AJ6" s="1">
        <v>6.3265216503753141</v>
      </c>
      <c r="AK6" s="1">
        <v>6.2732923244956602</v>
      </c>
      <c r="AL6" s="1">
        <v>6.2189509254925524</v>
      </c>
      <c r="AM6" s="1">
        <v>6.1529905286416078</v>
      </c>
      <c r="AN6" s="1">
        <v>6.078537227929897</v>
      </c>
    </row>
    <row r="7" spans="1:40" x14ac:dyDescent="0.25">
      <c r="A7" t="s">
        <v>21</v>
      </c>
      <c r="B7" t="s">
        <v>22</v>
      </c>
      <c r="C7" t="s">
        <v>0</v>
      </c>
      <c r="D7" t="s">
        <v>5</v>
      </c>
      <c r="E7" s="2">
        <v>99.6</v>
      </c>
      <c r="F7" s="2">
        <v>120.9</v>
      </c>
      <c r="G7" s="2">
        <v>124.7</v>
      </c>
      <c r="H7" s="2">
        <v>114.7</v>
      </c>
      <c r="I7" s="2">
        <v>131.19999999999999</v>
      </c>
      <c r="J7" s="2">
        <v>136.19999999999999</v>
      </c>
      <c r="K7" s="2">
        <v>141.80000000000001</v>
      </c>
      <c r="L7" s="2">
        <v>147.80000000000001</v>
      </c>
      <c r="M7" s="2">
        <v>155.19999999999999</v>
      </c>
      <c r="N7" s="1">
        <v>165</v>
      </c>
      <c r="O7" s="1">
        <v>179.82124827044612</v>
      </c>
      <c r="P7" s="1">
        <v>200.07385662465876</v>
      </c>
      <c r="Q7" s="1">
        <v>216.87670618151901</v>
      </c>
      <c r="R7" s="1">
        <v>225.30758012041434</v>
      </c>
      <c r="S7" s="1">
        <v>232.51561272951648</v>
      </c>
      <c r="T7" s="1">
        <v>234.45785497924538</v>
      </c>
      <c r="U7" s="1">
        <v>234.5770539620807</v>
      </c>
      <c r="V7" s="1">
        <v>236.86567443251937</v>
      </c>
      <c r="W7" s="1">
        <v>242.3600463707416</v>
      </c>
      <c r="X7" s="1">
        <v>246.2241969260686</v>
      </c>
      <c r="Y7" s="1">
        <v>247.45475113122171</v>
      </c>
      <c r="Z7" s="1">
        <v>248.1699450282338</v>
      </c>
      <c r="AA7" s="1">
        <v>249.65923114318838</v>
      </c>
      <c r="AB7" s="1">
        <v>251.34204031262854</v>
      </c>
      <c r="AC7" s="1">
        <v>251.67860214651662</v>
      </c>
      <c r="AD7" s="1">
        <v>251.67860214651662</v>
      </c>
      <c r="AE7" s="1">
        <v>253.02484948206876</v>
      </c>
      <c r="AF7" s="1">
        <v>254.70765865150895</v>
      </c>
      <c r="AG7" s="1">
        <v>255.04422048539695</v>
      </c>
      <c r="AH7" s="1">
        <v>255.04422048539695</v>
      </c>
      <c r="AI7" s="1">
        <v>256.39046782094914</v>
      </c>
      <c r="AJ7" s="1">
        <v>258.07327699038933</v>
      </c>
      <c r="AK7" s="1">
        <v>258.40983882427736</v>
      </c>
      <c r="AL7" s="1">
        <v>258.40983882427736</v>
      </c>
      <c r="AM7" s="1">
        <v>258.40983882427736</v>
      </c>
      <c r="AN7" s="1">
        <v>258.40983882427736</v>
      </c>
    </row>
    <row r="8" spans="1:40" x14ac:dyDescent="0.25">
      <c r="A8" t="s">
        <v>21</v>
      </c>
      <c r="B8" t="s">
        <v>22</v>
      </c>
      <c r="C8" t="s">
        <v>0</v>
      </c>
      <c r="D8" t="s">
        <v>6</v>
      </c>
      <c r="E8" s="2">
        <v>69.7</v>
      </c>
      <c r="F8" s="2">
        <v>78.5</v>
      </c>
      <c r="G8" s="2">
        <v>85.2</v>
      </c>
      <c r="H8" s="2">
        <v>92.7</v>
      </c>
      <c r="I8" s="2">
        <v>105.5</v>
      </c>
      <c r="J8" s="2">
        <v>120.1</v>
      </c>
      <c r="K8" s="2">
        <v>135.4</v>
      </c>
      <c r="L8" s="2">
        <v>157.69999999999999</v>
      </c>
      <c r="M8" s="2">
        <v>176.2</v>
      </c>
      <c r="N8" s="1">
        <v>201.2</v>
      </c>
      <c r="O8" s="1">
        <v>220</v>
      </c>
      <c r="P8" s="1">
        <v>240.8041554354736</v>
      </c>
      <c r="Q8" s="1">
        <v>265.15624292442828</v>
      </c>
      <c r="R8" s="1">
        <v>275.49242964891192</v>
      </c>
      <c r="S8" s="1">
        <v>282.19686980283592</v>
      </c>
      <c r="T8" s="1">
        <v>291.11574544960598</v>
      </c>
      <c r="U8" s="1">
        <v>300.52232227317268</v>
      </c>
      <c r="V8" s="1">
        <v>313.75855161247466</v>
      </c>
      <c r="W8" s="1">
        <v>333.62591597967156</v>
      </c>
      <c r="X8" s="1">
        <v>350.03426289687673</v>
      </c>
      <c r="Y8" s="1">
        <v>362.99367751229323</v>
      </c>
      <c r="Z8" s="1">
        <v>377.29755545253482</v>
      </c>
      <c r="AA8" s="1">
        <v>390.60016193695941</v>
      </c>
      <c r="AB8" s="1">
        <v>402.97158596747437</v>
      </c>
      <c r="AC8" s="1">
        <v>414.47701031585331</v>
      </c>
      <c r="AD8" s="1">
        <v>425.17705495984569</v>
      </c>
      <c r="AE8" s="1">
        <v>435.12809647875855</v>
      </c>
      <c r="AF8" s="1">
        <v>444.38256509134749</v>
      </c>
      <c r="AG8" s="1">
        <v>452.98922090105532</v>
      </c>
      <c r="AH8" s="1">
        <v>460.99341080408351</v>
      </c>
      <c r="AI8" s="1">
        <v>468.43730741389976</v>
      </c>
      <c r="AJ8" s="1">
        <v>475.36013126102887</v>
      </c>
      <c r="AK8" s="1">
        <v>481.79835743885894</v>
      </c>
      <c r="AL8" s="1">
        <v>487.78590778424092</v>
      </c>
      <c r="AM8" s="1">
        <v>493.35432960544608</v>
      </c>
      <c r="AN8" s="1">
        <v>498.72785666290912</v>
      </c>
    </row>
    <row r="9" spans="1:40" x14ac:dyDescent="0.25">
      <c r="A9" t="s">
        <v>21</v>
      </c>
      <c r="B9" t="s">
        <v>22</v>
      </c>
      <c r="C9" t="s">
        <v>0</v>
      </c>
      <c r="D9" t="s">
        <v>7</v>
      </c>
      <c r="E9" s="2">
        <v>86.9</v>
      </c>
      <c r="F9" s="2">
        <v>104.6</v>
      </c>
      <c r="G9" s="2">
        <v>109.3</v>
      </c>
      <c r="H9" s="2">
        <v>103.9</v>
      </c>
      <c r="I9" s="2">
        <v>121.7</v>
      </c>
      <c r="J9" s="2">
        <v>126.3</v>
      </c>
      <c r="K9" s="2">
        <v>137.1</v>
      </c>
      <c r="L9" s="2">
        <v>145.19999999999999</v>
      </c>
      <c r="M9" s="2">
        <v>148.80000000000001</v>
      </c>
      <c r="N9" s="1">
        <v>151.69999999999999</v>
      </c>
      <c r="O9" s="1">
        <v>158.69999999999999</v>
      </c>
      <c r="P9" s="1">
        <v>161.87062937062939</v>
      </c>
      <c r="Q9" s="1">
        <v>167.94977749523204</v>
      </c>
      <c r="R9" s="1">
        <v>176.74666242848059</v>
      </c>
      <c r="S9" s="1">
        <v>183.58868404322951</v>
      </c>
      <c r="T9" s="1">
        <v>185.23958995549904</v>
      </c>
      <c r="U9" s="1">
        <v>185.34090909090909</v>
      </c>
      <c r="V9" s="1">
        <v>185.34090909090909</v>
      </c>
      <c r="W9" s="1">
        <v>186.48521932612843</v>
      </c>
      <c r="X9" s="1">
        <v>187.9156071201526</v>
      </c>
      <c r="Y9" s="1">
        <v>188.20168467895741</v>
      </c>
      <c r="Z9" s="1">
        <v>188.20168467895741</v>
      </c>
      <c r="AA9" s="1">
        <v>189.34599491417674</v>
      </c>
      <c r="AB9" s="1">
        <v>190.77638270820088</v>
      </c>
      <c r="AC9" s="1">
        <v>191.06246026700572</v>
      </c>
      <c r="AD9" s="1">
        <v>191.06246026700572</v>
      </c>
      <c r="AE9" s="1">
        <v>192.20677050222505</v>
      </c>
      <c r="AF9" s="1">
        <v>193.63715829624923</v>
      </c>
      <c r="AG9" s="1">
        <v>193.92323585505406</v>
      </c>
      <c r="AH9" s="1">
        <v>193.92323585505406</v>
      </c>
      <c r="AI9" s="1">
        <v>195.06754609027337</v>
      </c>
      <c r="AJ9" s="1">
        <v>196.49793388429754</v>
      </c>
      <c r="AK9" s="1">
        <v>196.78401144310234</v>
      </c>
      <c r="AL9" s="1">
        <v>196.78401144310234</v>
      </c>
      <c r="AM9" s="1">
        <v>196.78401144310234</v>
      </c>
      <c r="AN9" s="1">
        <v>196.78401144310234</v>
      </c>
    </row>
    <row r="10" spans="1:40" x14ac:dyDescent="0.25">
      <c r="A10" t="s">
        <v>21</v>
      </c>
      <c r="B10" t="s">
        <v>22</v>
      </c>
      <c r="C10" t="s">
        <v>8</v>
      </c>
      <c r="D10" t="s">
        <v>23</v>
      </c>
      <c r="E10" s="2">
        <v>282.20860407369861</v>
      </c>
      <c r="F10" s="2">
        <v>308.90460787041098</v>
      </c>
      <c r="G10" s="2">
        <v>316.64411771150685</v>
      </c>
      <c r="H10" s="2">
        <v>309.78232814821916</v>
      </c>
      <c r="I10" s="2">
        <v>331.01528414403236</v>
      </c>
      <c r="J10" s="2">
        <v>349.55594720934528</v>
      </c>
      <c r="K10" s="2">
        <v>374.75838962191779</v>
      </c>
      <c r="L10" s="2">
        <v>413.09346524712328</v>
      </c>
      <c r="M10" s="2">
        <v>444.75393532938045</v>
      </c>
      <c r="N10" s="1">
        <v>485.01773166914631</v>
      </c>
      <c r="O10" s="1">
        <v>518.79425732647223</v>
      </c>
      <c r="P10" s="1">
        <v>556.77400974565228</v>
      </c>
      <c r="Q10" s="1">
        <v>596.05259536428662</v>
      </c>
      <c r="R10" s="1">
        <v>613.19843678811412</v>
      </c>
      <c r="S10" s="1">
        <v>625.97808633397267</v>
      </c>
      <c r="T10" s="1">
        <v>636.0942225408246</v>
      </c>
      <c r="U10" s="1">
        <v>645.20375235564325</v>
      </c>
      <c r="V10" s="1">
        <v>660.65677119319491</v>
      </c>
      <c r="W10" s="1">
        <v>686.26683686922479</v>
      </c>
      <c r="X10" s="1">
        <v>707.04062780303616</v>
      </c>
      <c r="Y10" s="1">
        <v>721.9381059950947</v>
      </c>
      <c r="Z10" s="1">
        <v>737.78043794384371</v>
      </c>
      <c r="AA10" s="1">
        <v>753.42208903953963</v>
      </c>
      <c r="AB10" s="1">
        <v>768.20627402287187</v>
      </c>
      <c r="AC10" s="1">
        <v>780.55258668263195</v>
      </c>
      <c r="AD10" s="1">
        <v>791.54048385885812</v>
      </c>
      <c r="AE10" s="1">
        <v>802.89073657304039</v>
      </c>
      <c r="AF10" s="1">
        <v>813.63403421787154</v>
      </c>
      <c r="AG10" s="1">
        <v>822.00964047716138</v>
      </c>
      <c r="AH10" s="1">
        <v>829.32843242183139</v>
      </c>
      <c r="AI10" s="1">
        <v>837.12634046016501</v>
      </c>
      <c r="AJ10" s="1">
        <v>844.80424147497411</v>
      </c>
      <c r="AK10" s="1">
        <v>850.59234456282115</v>
      </c>
      <c r="AL10" s="1">
        <v>855.58902673835746</v>
      </c>
      <c r="AM10" s="1">
        <v>860.03419304054432</v>
      </c>
      <c r="AN10" s="1">
        <v>864.21172326078749</v>
      </c>
    </row>
    <row r="11" spans="1:40" x14ac:dyDescent="0.25">
      <c r="A11" t="s">
        <v>21</v>
      </c>
      <c r="B11" t="s">
        <v>22</v>
      </c>
      <c r="C11" t="s">
        <v>8</v>
      </c>
      <c r="D11" t="s">
        <v>1</v>
      </c>
      <c r="E11" s="2">
        <v>59.4</v>
      </c>
      <c r="F11" s="2">
        <v>57.2</v>
      </c>
      <c r="G11" s="2">
        <v>55.1</v>
      </c>
      <c r="H11" s="2">
        <v>55.1</v>
      </c>
      <c r="I11" s="2">
        <v>50.6</v>
      </c>
      <c r="J11" s="2">
        <v>50.7</v>
      </c>
      <c r="K11" s="2">
        <v>55.7</v>
      </c>
      <c r="L11" s="2">
        <v>65</v>
      </c>
      <c r="M11" s="2">
        <v>68.3</v>
      </c>
      <c r="N11" s="1">
        <v>69.48072267379213</v>
      </c>
      <c r="O11" s="1">
        <v>68.67669172254088</v>
      </c>
      <c r="P11" s="1">
        <v>66.808467376875811</v>
      </c>
      <c r="Q11" s="1">
        <v>65.588578333941413</v>
      </c>
      <c r="R11" s="1">
        <v>64.552873594348839</v>
      </c>
      <c r="S11" s="1">
        <v>63.870452266798274</v>
      </c>
      <c r="T11" s="1">
        <v>63.509300934898988</v>
      </c>
      <c r="U11" s="1">
        <v>63.376502839849209</v>
      </c>
      <c r="V11" s="1">
        <v>63.501849967079615</v>
      </c>
      <c r="W11" s="1">
        <v>63.891618257824796</v>
      </c>
      <c r="X11" s="1">
        <v>64.484367815491112</v>
      </c>
      <c r="Y11" s="1">
        <v>65.261382888389306</v>
      </c>
      <c r="Z11" s="1">
        <v>66.140495801419505</v>
      </c>
      <c r="AA11" s="1">
        <v>67.027017508491753</v>
      </c>
      <c r="AB11" s="1">
        <v>67.803176925774252</v>
      </c>
      <c r="AC11" s="1">
        <v>68.38385499856264</v>
      </c>
      <c r="AD11" s="1">
        <v>68.753461018030876</v>
      </c>
      <c r="AE11" s="1">
        <v>68.917877163827939</v>
      </c>
      <c r="AF11" s="1">
        <v>68.862684916953384</v>
      </c>
      <c r="AG11" s="1">
        <v>68.563009559308057</v>
      </c>
      <c r="AH11" s="1">
        <v>68.195810561883334</v>
      </c>
      <c r="AI11" s="1">
        <v>67.606943729126826</v>
      </c>
      <c r="AJ11" s="1">
        <v>67.048857696838596</v>
      </c>
      <c r="AK11" s="1">
        <v>66.433690122998215</v>
      </c>
      <c r="AL11" s="1">
        <v>65.813937634950733</v>
      </c>
      <c r="AM11" s="1">
        <v>65.064361683296781</v>
      </c>
      <c r="AN11" s="1">
        <v>64.242349089575171</v>
      </c>
    </row>
    <row r="12" spans="1:40" x14ac:dyDescent="0.25">
      <c r="A12" t="s">
        <v>21</v>
      </c>
      <c r="B12" t="s">
        <v>22</v>
      </c>
      <c r="C12" t="s">
        <v>8</v>
      </c>
      <c r="D12" t="s">
        <v>2</v>
      </c>
      <c r="E12" s="2">
        <v>31.4</v>
      </c>
      <c r="F12" s="2">
        <v>29.2</v>
      </c>
      <c r="G12" s="2">
        <v>28.3</v>
      </c>
      <c r="H12" s="2">
        <v>24.8</v>
      </c>
      <c r="I12" s="2">
        <v>22.7</v>
      </c>
      <c r="J12" s="2">
        <v>22.3</v>
      </c>
      <c r="K12" s="2">
        <v>22.2</v>
      </c>
      <c r="L12" s="2">
        <v>23.3</v>
      </c>
      <c r="M12" s="2">
        <v>24.3</v>
      </c>
      <c r="N12" s="1">
        <v>24.352287602542773</v>
      </c>
      <c r="O12" s="1">
        <v>23.813335058866937</v>
      </c>
      <c r="P12" s="1">
        <v>23.121438349198986</v>
      </c>
      <c r="Q12" s="1">
        <v>22.454318836614689</v>
      </c>
      <c r="R12" s="1">
        <v>21.854167613319532</v>
      </c>
      <c r="S12" s="1">
        <v>21.343258214925324</v>
      </c>
      <c r="T12" s="1">
        <v>20.902155428804768</v>
      </c>
      <c r="U12" s="1">
        <v>20.531502672776021</v>
      </c>
      <c r="V12" s="1">
        <v>20.232027795239564</v>
      </c>
      <c r="W12" s="1">
        <v>19.997525778459909</v>
      </c>
      <c r="X12" s="1">
        <v>19.822325072716875</v>
      </c>
      <c r="Y12" s="1">
        <v>19.703620135464213</v>
      </c>
      <c r="Z12" s="1">
        <v>19.625594062689</v>
      </c>
      <c r="AA12" s="1">
        <v>19.568834258531641</v>
      </c>
      <c r="AB12" s="1">
        <v>19.504191216279718</v>
      </c>
      <c r="AC12" s="1">
        <v>19.407158766100626</v>
      </c>
      <c r="AD12" s="1">
        <v>19.271500873603074</v>
      </c>
      <c r="AE12" s="1">
        <v>19.097539740670033</v>
      </c>
      <c r="AF12" s="1">
        <v>18.881112755331287</v>
      </c>
      <c r="AG12" s="1">
        <v>18.615659928516639</v>
      </c>
      <c r="AH12" s="1">
        <v>18.3354345323521</v>
      </c>
      <c r="AI12" s="1">
        <v>17.994367132871563</v>
      </c>
      <c r="AJ12" s="1">
        <v>17.688306563946735</v>
      </c>
      <c r="AK12" s="1">
        <v>17.376054879561785</v>
      </c>
      <c r="AL12" s="1">
        <v>17.074114076824266</v>
      </c>
      <c r="AM12" s="1">
        <v>16.761692790269414</v>
      </c>
      <c r="AN12" s="1">
        <v>16.442081292185076</v>
      </c>
    </row>
    <row r="13" spans="1:40" x14ac:dyDescent="0.25">
      <c r="A13" t="s">
        <v>21</v>
      </c>
      <c r="B13" t="s">
        <v>22</v>
      </c>
      <c r="C13" t="s">
        <v>8</v>
      </c>
      <c r="D13" t="s">
        <v>3</v>
      </c>
      <c r="E13" s="2">
        <v>20.565848731232876</v>
      </c>
      <c r="F13" s="2">
        <v>21.351348966301373</v>
      </c>
      <c r="G13" s="2">
        <v>21.25555168410958</v>
      </c>
      <c r="H13" s="2">
        <v>20.072068970136986</v>
      </c>
      <c r="I13" s="2">
        <v>18.837373459100888</v>
      </c>
      <c r="J13" s="2">
        <v>18.333695154550721</v>
      </c>
      <c r="K13" s="2">
        <v>17.721337841095892</v>
      </c>
      <c r="L13" s="2">
        <v>17.291944699178085</v>
      </c>
      <c r="M13" s="2">
        <v>18.159458343079081</v>
      </c>
      <c r="N13" s="1">
        <v>21.232762368426656</v>
      </c>
      <c r="O13" s="1">
        <v>22.774440921601116</v>
      </c>
      <c r="P13" s="1">
        <v>22.358434721093811</v>
      </c>
      <c r="Q13" s="1">
        <v>22.434965857750459</v>
      </c>
      <c r="R13" s="1">
        <v>22.505530637024734</v>
      </c>
      <c r="S13" s="1">
        <v>22.602888897489489</v>
      </c>
      <c r="T13" s="1">
        <v>22.679663497784858</v>
      </c>
      <c r="U13" s="1">
        <v>22.774039454412772</v>
      </c>
      <c r="V13" s="1">
        <v>22.869567487659424</v>
      </c>
      <c r="W13" s="1">
        <v>22.941583096604397</v>
      </c>
      <c r="X13" s="1">
        <v>22.993319229846353</v>
      </c>
      <c r="Y13" s="1">
        <v>23.000559651753271</v>
      </c>
      <c r="Z13" s="1">
        <v>22.975260825689855</v>
      </c>
      <c r="AA13" s="1">
        <v>22.94738524690991</v>
      </c>
      <c r="AB13" s="1">
        <v>22.923908046723167</v>
      </c>
      <c r="AC13" s="1">
        <v>22.913232285676404</v>
      </c>
      <c r="AD13" s="1">
        <v>22.947177965888127</v>
      </c>
      <c r="AE13" s="1">
        <v>23.000808340868367</v>
      </c>
      <c r="AF13" s="1">
        <v>23.08142781721493</v>
      </c>
      <c r="AG13" s="1">
        <v>23.095127086681767</v>
      </c>
      <c r="AH13" s="1">
        <v>23.076982267773733</v>
      </c>
      <c r="AI13" s="1">
        <v>23.046479401944939</v>
      </c>
      <c r="AJ13" s="1">
        <v>23.01303064714125</v>
      </c>
      <c r="AK13" s="1">
        <v>22.986984030482926</v>
      </c>
      <c r="AL13" s="1">
        <v>22.951275785776783</v>
      </c>
      <c r="AM13" s="1">
        <v>22.930494606356731</v>
      </c>
      <c r="AN13" s="1">
        <v>22.920510541003729</v>
      </c>
    </row>
    <row r="14" spans="1:40" x14ac:dyDescent="0.25">
      <c r="A14" t="s">
        <v>21</v>
      </c>
      <c r="B14" t="s">
        <v>22</v>
      </c>
      <c r="C14" t="s">
        <v>8</v>
      </c>
      <c r="D14" t="s">
        <v>4</v>
      </c>
      <c r="E14" s="2">
        <v>1.5427553424657536</v>
      </c>
      <c r="F14" s="2">
        <v>1.7532589041095885</v>
      </c>
      <c r="G14" s="2">
        <v>2.0885660273972602</v>
      </c>
      <c r="H14" s="2">
        <v>2.4102591780821916</v>
      </c>
      <c r="I14" s="2">
        <v>2.1779106849315073</v>
      </c>
      <c r="J14" s="2">
        <v>1.922252054794521</v>
      </c>
      <c r="K14" s="2">
        <v>1.9370517808219181</v>
      </c>
      <c r="L14" s="2">
        <v>2.0015205479452054</v>
      </c>
      <c r="M14" s="2">
        <v>2.5944769863013697</v>
      </c>
      <c r="N14" s="1">
        <v>3.7833260273972598</v>
      </c>
      <c r="O14" s="1">
        <v>3.7085413530172073</v>
      </c>
      <c r="P14" s="1">
        <v>3.6076572383512939</v>
      </c>
      <c r="Q14" s="1">
        <v>3.5417832300328365</v>
      </c>
      <c r="R14" s="1">
        <v>3.4858551740948371</v>
      </c>
      <c r="S14" s="1">
        <v>3.4490044224071066</v>
      </c>
      <c r="T14" s="1">
        <v>3.4295022504845454</v>
      </c>
      <c r="U14" s="1">
        <v>3.4223311533518572</v>
      </c>
      <c r="V14" s="1">
        <v>3.4290998982222991</v>
      </c>
      <c r="W14" s="1">
        <v>3.4501473859225391</v>
      </c>
      <c r="X14" s="1">
        <v>3.4821558620365201</v>
      </c>
      <c r="Y14" s="1">
        <v>3.5241146759730224</v>
      </c>
      <c r="Z14" s="1">
        <v>3.5715867732766533</v>
      </c>
      <c r="AA14" s="1">
        <v>3.6194589454585544</v>
      </c>
      <c r="AB14" s="1">
        <v>3.6613715539918097</v>
      </c>
      <c r="AC14" s="1">
        <v>3.6927281699223826</v>
      </c>
      <c r="AD14" s="1">
        <v>3.7126868949736673</v>
      </c>
      <c r="AE14" s="1">
        <v>3.7215653668467086</v>
      </c>
      <c r="AF14" s="1">
        <v>3.7185849855154829</v>
      </c>
      <c r="AG14" s="1">
        <v>3.7024025162026351</v>
      </c>
      <c r="AH14" s="1">
        <v>3.6825737703416999</v>
      </c>
      <c r="AI14" s="1">
        <v>3.6507749613728486</v>
      </c>
      <c r="AJ14" s="1">
        <v>3.6206383156292841</v>
      </c>
      <c r="AK14" s="1">
        <v>3.5874192666419034</v>
      </c>
      <c r="AL14" s="1">
        <v>3.5539526322873396</v>
      </c>
      <c r="AM14" s="1">
        <v>3.5134755308980261</v>
      </c>
      <c r="AN14" s="1">
        <v>3.4690868508370594</v>
      </c>
    </row>
    <row r="15" spans="1:40" x14ac:dyDescent="0.25">
      <c r="A15" t="s">
        <v>21</v>
      </c>
      <c r="B15" t="s">
        <v>22</v>
      </c>
      <c r="C15" t="s">
        <v>8</v>
      </c>
      <c r="D15" t="s">
        <v>5</v>
      </c>
      <c r="E15" s="2">
        <v>99.6</v>
      </c>
      <c r="F15" s="2">
        <v>120.9</v>
      </c>
      <c r="G15" s="2">
        <v>124.7</v>
      </c>
      <c r="H15" s="2">
        <v>114.7</v>
      </c>
      <c r="I15" s="2">
        <v>131.19999999999999</v>
      </c>
      <c r="J15" s="2">
        <v>136.19999999999999</v>
      </c>
      <c r="K15" s="2">
        <v>141.80000000000001</v>
      </c>
      <c r="L15" s="2">
        <v>147.80000000000001</v>
      </c>
      <c r="M15" s="2">
        <v>155.19999999999999</v>
      </c>
      <c r="N15" s="1">
        <v>165</v>
      </c>
      <c r="O15" s="1">
        <v>179.82124827044612</v>
      </c>
      <c r="P15" s="1">
        <v>200.07385662465876</v>
      </c>
      <c r="Q15" s="1">
        <v>216.87670618151901</v>
      </c>
      <c r="R15" s="1">
        <v>225.30758012041434</v>
      </c>
      <c r="S15" s="1">
        <v>232.51561272951648</v>
      </c>
      <c r="T15" s="1">
        <v>234.45785497924538</v>
      </c>
      <c r="U15" s="1">
        <v>234.5770539620807</v>
      </c>
      <c r="V15" s="1">
        <v>236.86567443251937</v>
      </c>
      <c r="W15" s="1">
        <v>242.3600463707416</v>
      </c>
      <c r="X15" s="1">
        <v>246.2241969260686</v>
      </c>
      <c r="Y15" s="1">
        <v>247.45475113122171</v>
      </c>
      <c r="Z15" s="1">
        <v>248.1699450282338</v>
      </c>
      <c r="AA15" s="1">
        <v>249.65923114318838</v>
      </c>
      <c r="AB15" s="1">
        <v>251.34204031262854</v>
      </c>
      <c r="AC15" s="1">
        <v>251.67860214651662</v>
      </c>
      <c r="AD15" s="1">
        <v>251.67860214651662</v>
      </c>
      <c r="AE15" s="1">
        <v>253.02484948206876</v>
      </c>
      <c r="AF15" s="1">
        <v>254.70765865150895</v>
      </c>
      <c r="AG15" s="1">
        <v>255.04422048539695</v>
      </c>
      <c r="AH15" s="1">
        <v>255.04422048539695</v>
      </c>
      <c r="AI15" s="1">
        <v>256.39046782094914</v>
      </c>
      <c r="AJ15" s="1">
        <v>258.07327699038933</v>
      </c>
      <c r="AK15" s="1">
        <v>258.40983882427736</v>
      </c>
      <c r="AL15" s="1">
        <v>258.40983882427736</v>
      </c>
      <c r="AM15" s="1">
        <v>258.40983882427736</v>
      </c>
      <c r="AN15" s="1">
        <v>258.40983882427736</v>
      </c>
    </row>
    <row r="16" spans="1:40" x14ac:dyDescent="0.25">
      <c r="A16" t="s">
        <v>21</v>
      </c>
      <c r="B16" t="s">
        <v>22</v>
      </c>
      <c r="C16" t="s">
        <v>8</v>
      </c>
      <c r="D16" t="s">
        <v>6</v>
      </c>
      <c r="E16" s="2">
        <v>69.7</v>
      </c>
      <c r="F16" s="2">
        <v>78.5</v>
      </c>
      <c r="G16" s="2">
        <v>85.2</v>
      </c>
      <c r="H16" s="2">
        <v>92.7</v>
      </c>
      <c r="I16" s="2">
        <v>105.5</v>
      </c>
      <c r="J16" s="2">
        <v>120.1</v>
      </c>
      <c r="K16" s="2">
        <v>135.4</v>
      </c>
      <c r="L16" s="2">
        <v>157.69999999999999</v>
      </c>
      <c r="M16" s="2">
        <v>176.2</v>
      </c>
      <c r="N16" s="1">
        <v>201.2</v>
      </c>
      <c r="O16" s="1">
        <v>220</v>
      </c>
      <c r="P16" s="1">
        <v>240.8041554354736</v>
      </c>
      <c r="Q16" s="1">
        <v>265.15624292442828</v>
      </c>
      <c r="R16" s="1">
        <v>275.49242964891192</v>
      </c>
      <c r="S16" s="1">
        <v>282.19686980283592</v>
      </c>
      <c r="T16" s="1">
        <v>291.11574544960598</v>
      </c>
      <c r="U16" s="1">
        <v>300.52232227317268</v>
      </c>
      <c r="V16" s="1">
        <v>313.75855161247466</v>
      </c>
      <c r="W16" s="1">
        <v>333.62591597967156</v>
      </c>
      <c r="X16" s="1">
        <v>350.03426289687673</v>
      </c>
      <c r="Y16" s="1">
        <v>362.99367751229323</v>
      </c>
      <c r="Z16" s="1">
        <v>377.29755545253482</v>
      </c>
      <c r="AA16" s="1">
        <v>390.60016193695941</v>
      </c>
      <c r="AB16" s="1">
        <v>402.97158596747437</v>
      </c>
      <c r="AC16" s="1">
        <v>414.47701031585331</v>
      </c>
      <c r="AD16" s="1">
        <v>425.17705495984569</v>
      </c>
      <c r="AE16" s="1">
        <v>435.12809647875855</v>
      </c>
      <c r="AF16" s="1">
        <v>444.38256509134749</v>
      </c>
      <c r="AG16" s="1">
        <v>452.98922090105532</v>
      </c>
      <c r="AH16" s="1">
        <v>460.99341080408351</v>
      </c>
      <c r="AI16" s="1">
        <v>468.43730741389976</v>
      </c>
      <c r="AJ16" s="1">
        <v>475.36013126102887</v>
      </c>
      <c r="AK16" s="1">
        <v>481.79835743885894</v>
      </c>
      <c r="AL16" s="1">
        <v>487.78590778424092</v>
      </c>
      <c r="AM16" s="1">
        <v>493.35432960544608</v>
      </c>
      <c r="AN16" s="1">
        <v>498.72785666290912</v>
      </c>
    </row>
    <row r="17" spans="1:40" x14ac:dyDescent="0.25">
      <c r="A17" t="s">
        <v>21</v>
      </c>
      <c r="B17" t="s">
        <v>22</v>
      </c>
      <c r="C17" t="s">
        <v>8</v>
      </c>
      <c r="D17" t="s">
        <v>7</v>
      </c>
      <c r="E17" s="2">
        <v>86.9</v>
      </c>
      <c r="F17" s="2">
        <v>104.6</v>
      </c>
      <c r="G17" s="2">
        <v>109.3</v>
      </c>
      <c r="H17" s="2">
        <v>103.9</v>
      </c>
      <c r="I17" s="2">
        <v>121.7</v>
      </c>
      <c r="J17" s="2">
        <v>126.3</v>
      </c>
      <c r="K17" s="2">
        <v>137.1</v>
      </c>
      <c r="L17" s="2">
        <v>145.19999999999999</v>
      </c>
      <c r="M17" s="2">
        <v>148.80000000000001</v>
      </c>
      <c r="N17" s="1">
        <v>151.69999999999999</v>
      </c>
      <c r="O17" s="1">
        <v>158.69999999999999</v>
      </c>
      <c r="P17" s="1">
        <v>161.87062937062939</v>
      </c>
      <c r="Q17" s="1">
        <v>167.94977749523204</v>
      </c>
      <c r="R17" s="1">
        <v>176.74666242848059</v>
      </c>
      <c r="S17" s="1">
        <v>183.58868404322951</v>
      </c>
      <c r="T17" s="1">
        <v>185.23958995549904</v>
      </c>
      <c r="U17" s="1">
        <v>185.34090909090909</v>
      </c>
      <c r="V17" s="1">
        <v>185.34090909090909</v>
      </c>
      <c r="W17" s="1">
        <v>186.48521932612843</v>
      </c>
      <c r="X17" s="1">
        <v>187.9156071201526</v>
      </c>
      <c r="Y17" s="1">
        <v>188.20168467895741</v>
      </c>
      <c r="Z17" s="1">
        <v>188.20168467895741</v>
      </c>
      <c r="AA17" s="1">
        <v>189.34599491417674</v>
      </c>
      <c r="AB17" s="1">
        <v>190.77638270820088</v>
      </c>
      <c r="AC17" s="1">
        <v>191.06246026700572</v>
      </c>
      <c r="AD17" s="1">
        <v>191.06246026700572</v>
      </c>
      <c r="AE17" s="1">
        <v>192.20677050222505</v>
      </c>
      <c r="AF17" s="1">
        <v>193.63715829624923</v>
      </c>
      <c r="AG17" s="1">
        <v>193.92323585505406</v>
      </c>
      <c r="AH17" s="1">
        <v>193.92323585505406</v>
      </c>
      <c r="AI17" s="1">
        <v>195.06754609027337</v>
      </c>
      <c r="AJ17" s="1">
        <v>196.49793388429754</v>
      </c>
      <c r="AK17" s="1">
        <v>196.78401144310234</v>
      </c>
      <c r="AL17" s="1">
        <v>196.78401144310234</v>
      </c>
      <c r="AM17" s="1">
        <v>196.78401144310234</v>
      </c>
      <c r="AN17" s="1">
        <v>196.78401144310234</v>
      </c>
    </row>
    <row r="18" spans="1:40" x14ac:dyDescent="0.25">
      <c r="A18" t="s">
        <v>21</v>
      </c>
      <c r="B18" t="s">
        <v>22</v>
      </c>
      <c r="C18" t="s">
        <v>9</v>
      </c>
      <c r="D18" t="s">
        <v>23</v>
      </c>
      <c r="E18" s="1">
        <v>7.2869805479452054</v>
      </c>
      <c r="F18" s="1">
        <v>6.622195616438356</v>
      </c>
      <c r="G18" s="1">
        <v>6.1339942465753419</v>
      </c>
      <c r="H18" s="1">
        <v>5.5603625479452052</v>
      </c>
      <c r="I18" s="1">
        <v>5.4598043835616439</v>
      </c>
      <c r="J18" s="1">
        <v>5.553782739726028</v>
      </c>
      <c r="K18" s="1">
        <v>5.9021945205479458</v>
      </c>
      <c r="L18" s="1">
        <v>6.3079616438356165</v>
      </c>
      <c r="M18" s="1">
        <v>6.5653643835616444</v>
      </c>
      <c r="N18" s="1">
        <v>7.872738992871974</v>
      </c>
      <c r="O18" s="1">
        <v>8.7186102451336449</v>
      </c>
      <c r="P18" s="1">
        <v>9.1709999270280811</v>
      </c>
      <c r="Q18" s="1">
        <v>9.5599318529852013</v>
      </c>
      <c r="R18" s="1">
        <v>9.9040928021978925</v>
      </c>
      <c r="S18" s="1">
        <v>10.018508625163278</v>
      </c>
      <c r="T18" s="1">
        <v>10.140118420323033</v>
      </c>
      <c r="U18" s="1">
        <v>10.551033659583075</v>
      </c>
      <c r="V18" s="1">
        <v>11.173641820017002</v>
      </c>
      <c r="W18" s="1">
        <v>11.713118079150348</v>
      </c>
      <c r="X18" s="1">
        <v>12.130732334262815</v>
      </c>
      <c r="Y18" s="1">
        <v>12.515615091940944</v>
      </c>
      <c r="Z18" s="1">
        <v>12.856985291925074</v>
      </c>
      <c r="AA18" s="1">
        <v>13.152430553010376</v>
      </c>
      <c r="AB18" s="1">
        <v>13.388113451543369</v>
      </c>
      <c r="AC18" s="1">
        <v>13.586171590013093</v>
      </c>
      <c r="AD18" s="1">
        <v>13.758619707662254</v>
      </c>
      <c r="AE18" s="1">
        <v>13.899929807127435</v>
      </c>
      <c r="AF18" s="1">
        <v>14.008462307113005</v>
      </c>
      <c r="AG18" s="1">
        <v>14.076908705945762</v>
      </c>
      <c r="AH18" s="1">
        <v>14.119103308857103</v>
      </c>
      <c r="AI18" s="1">
        <v>14.11185002374366</v>
      </c>
      <c r="AJ18" s="1">
        <v>14.090642598062484</v>
      </c>
      <c r="AK18" s="1">
        <v>14.05650657743087</v>
      </c>
      <c r="AL18" s="1">
        <v>14.015364652048014</v>
      </c>
      <c r="AM18" s="1">
        <v>13.958012788005171</v>
      </c>
      <c r="AN18" s="1">
        <v>13.885887807944055</v>
      </c>
    </row>
    <row r="19" spans="1:40" x14ac:dyDescent="0.25">
      <c r="A19" t="s">
        <v>21</v>
      </c>
      <c r="B19" t="s">
        <v>22</v>
      </c>
      <c r="C19" t="s">
        <v>9</v>
      </c>
      <c r="D19" t="s">
        <v>1</v>
      </c>
      <c r="E19" s="1">
        <v>5.3115068493150686</v>
      </c>
      <c r="F19" s="1">
        <v>4.5769863013698631</v>
      </c>
      <c r="G19" s="1">
        <v>4.18958904109589</v>
      </c>
      <c r="H19" s="1">
        <v>3.6761643835616438</v>
      </c>
      <c r="I19" s="1">
        <v>3.4863013698630136</v>
      </c>
      <c r="J19" s="1">
        <v>3.35</v>
      </c>
      <c r="K19" s="1">
        <v>3.24</v>
      </c>
      <c r="L19" s="1">
        <v>3.38</v>
      </c>
      <c r="M19" s="1">
        <v>3.1434000000000002</v>
      </c>
      <c r="N19" s="1">
        <v>3.4303115956117001</v>
      </c>
      <c r="O19" s="1">
        <v>3.9100481893265924</v>
      </c>
      <c r="P19" s="1">
        <v>4.0720599698671043</v>
      </c>
      <c r="Q19" s="1">
        <v>4.1679358647374158</v>
      </c>
      <c r="R19" s="1">
        <v>4.2548095417928451</v>
      </c>
      <c r="S19" s="1">
        <v>4.1567058847825589</v>
      </c>
      <c r="T19" s="1">
        <v>4.0178837584635128</v>
      </c>
      <c r="U19" s="1">
        <v>4.0414097215415872</v>
      </c>
      <c r="V19" s="1">
        <v>4.2227376561864185</v>
      </c>
      <c r="W19" s="1">
        <v>4.3871858417311547</v>
      </c>
      <c r="X19" s="1">
        <v>4.5237468137061567</v>
      </c>
      <c r="Y19" s="1">
        <v>4.6907269108367675</v>
      </c>
      <c r="Z19" s="1">
        <v>4.8486512810938631</v>
      </c>
      <c r="AA19" s="1">
        <v>5.0047810003659787</v>
      </c>
      <c r="AB19" s="1">
        <v>5.1499693696668567</v>
      </c>
      <c r="AC19" s="1">
        <v>5.267449468688322</v>
      </c>
      <c r="AD19" s="1">
        <v>5.3581215337259138</v>
      </c>
      <c r="AE19" s="1">
        <v>5.423242639345105</v>
      </c>
      <c r="AF19" s="1">
        <v>5.4621921425765798</v>
      </c>
      <c r="AG19" s="1">
        <v>5.4742198742499664</v>
      </c>
      <c r="AH19" s="1">
        <v>5.4752071555097368</v>
      </c>
      <c r="AI19" s="1">
        <v>5.4464034463658697</v>
      </c>
      <c r="AJ19" s="1">
        <v>5.411766669492061</v>
      </c>
      <c r="AK19" s="1">
        <v>5.3717461157075146</v>
      </c>
      <c r="AL19" s="1">
        <v>5.3299965864104255</v>
      </c>
      <c r="AM19" s="1">
        <v>5.2790299954871633</v>
      </c>
      <c r="AN19" s="1">
        <v>5.2189007541856753</v>
      </c>
    </row>
    <row r="20" spans="1:40" x14ac:dyDescent="0.25">
      <c r="A20" t="s">
        <v>21</v>
      </c>
      <c r="B20" t="s">
        <v>22</v>
      </c>
      <c r="C20" t="s">
        <v>9</v>
      </c>
      <c r="D20" t="s">
        <v>3</v>
      </c>
      <c r="E20" s="1">
        <v>1.4256134246575345</v>
      </c>
      <c r="F20" s="1">
        <v>1.4450832876712327</v>
      </c>
      <c r="G20" s="1">
        <v>1.2885339726027401</v>
      </c>
      <c r="H20" s="1">
        <v>1.1673954246575342</v>
      </c>
      <c r="I20" s="1">
        <v>1.2573030136986305</v>
      </c>
      <c r="J20" s="1">
        <v>1.4170704109589043</v>
      </c>
      <c r="K20" s="1">
        <v>1.7829972602739728</v>
      </c>
      <c r="L20" s="1">
        <v>2.0267041095890415</v>
      </c>
      <c r="M20" s="1">
        <v>2.4636027397260269</v>
      </c>
      <c r="N20" s="1">
        <v>3.0124273972602742</v>
      </c>
      <c r="O20" s="1">
        <v>2.8535379611437559</v>
      </c>
      <c r="P20" s="1">
        <v>3.0629099722274247</v>
      </c>
      <c r="Q20" s="1">
        <v>3.308028055879078</v>
      </c>
      <c r="R20" s="1">
        <v>3.5218784895086253</v>
      </c>
      <c r="S20" s="1">
        <v>3.7834497979894399</v>
      </c>
      <c r="T20" s="1">
        <v>4.1132927826277639</v>
      </c>
      <c r="U20" s="1">
        <v>4.4889190772706939</v>
      </c>
      <c r="V20" s="1">
        <v>4.8395353357373745</v>
      </c>
      <c r="W20" s="1">
        <v>5.1323393165536171</v>
      </c>
      <c r="X20" s="1">
        <v>5.3451121137035793</v>
      </c>
      <c r="Y20" s="1">
        <v>5.4795247256857937</v>
      </c>
      <c r="Z20" s="1">
        <v>5.5840083702842778</v>
      </c>
      <c r="AA20" s="1">
        <v>5.645259052461407</v>
      </c>
      <c r="AB20" s="1">
        <v>5.663159397043084</v>
      </c>
      <c r="AC20" s="1">
        <v>5.6849973869806094</v>
      </c>
      <c r="AD20" s="1">
        <v>5.7214374070733829</v>
      </c>
      <c r="AE20" s="1">
        <v>5.7650658481097778</v>
      </c>
      <c r="AF20" s="1">
        <v>5.8151740932481362</v>
      </c>
      <c r="AG20" s="1">
        <v>5.8655788945708123</v>
      </c>
      <c r="AH20" s="1">
        <v>5.9062925755924978</v>
      </c>
      <c r="AI20" s="1">
        <v>5.9422448541948549</v>
      </c>
      <c r="AJ20" s="1">
        <v>5.9729925938243937</v>
      </c>
      <c r="AK20" s="1">
        <v>5.998887403869599</v>
      </c>
      <c r="AL20" s="1">
        <v>6.0203697724323755</v>
      </c>
      <c r="AM20" s="1">
        <v>6.0394677947744251</v>
      </c>
      <c r="AN20" s="1">
        <v>6.0575366766655421</v>
      </c>
    </row>
    <row r="21" spans="1:40" x14ac:dyDescent="0.25">
      <c r="A21" t="s">
        <v>21</v>
      </c>
      <c r="B21" t="s">
        <v>22</v>
      </c>
      <c r="C21" t="s">
        <v>9</v>
      </c>
      <c r="D21" t="s">
        <v>10</v>
      </c>
      <c r="E21" s="1">
        <v>0.54986027397260273</v>
      </c>
      <c r="F21" s="1">
        <v>0.60012602739726029</v>
      </c>
      <c r="G21" s="1">
        <v>0.65587123287671234</v>
      </c>
      <c r="H21" s="1">
        <v>0.71680273972602748</v>
      </c>
      <c r="I21" s="1">
        <v>0.71619999999999984</v>
      </c>
      <c r="J21" s="1">
        <v>0.78671232876712338</v>
      </c>
      <c r="K21" s="1">
        <v>0.8791972602739726</v>
      </c>
      <c r="L21" s="1">
        <v>0.90125753424657529</v>
      </c>
      <c r="M21" s="1">
        <v>0.95836164383561662</v>
      </c>
      <c r="N21" s="1">
        <v>1.43</v>
      </c>
      <c r="O21" s="1">
        <v>1.9550240946632962</v>
      </c>
      <c r="P21" s="1">
        <v>2.0360299849335521</v>
      </c>
      <c r="Q21" s="1">
        <v>2.0839679323687079</v>
      </c>
      <c r="R21" s="1">
        <v>2.1274047708964225</v>
      </c>
      <c r="S21" s="1">
        <v>2.0783529423912794</v>
      </c>
      <c r="T21" s="1">
        <v>2.0089418792317564</v>
      </c>
      <c r="U21" s="1">
        <v>2.0207048607707936</v>
      </c>
      <c r="V21" s="1">
        <v>2.1113688280932092</v>
      </c>
      <c r="W21" s="1">
        <v>2.1935929208655773</v>
      </c>
      <c r="X21" s="1">
        <v>2.2618734068530784</v>
      </c>
      <c r="Y21" s="1">
        <v>2.3453634554183838</v>
      </c>
      <c r="Z21" s="1">
        <v>2.4243256405469316</v>
      </c>
      <c r="AA21" s="1">
        <v>2.5023905001829894</v>
      </c>
      <c r="AB21" s="1">
        <v>2.5749846848334284</v>
      </c>
      <c r="AC21" s="1">
        <v>2.633724734344161</v>
      </c>
      <c r="AD21" s="1">
        <v>2.6790607668629569</v>
      </c>
      <c r="AE21" s="1">
        <v>2.7116213196725525</v>
      </c>
      <c r="AF21" s="1">
        <v>2.7310960712882899</v>
      </c>
      <c r="AG21" s="1">
        <v>2.7371099371249832</v>
      </c>
      <c r="AH21" s="1">
        <v>2.7376035777548684</v>
      </c>
      <c r="AI21" s="1">
        <v>2.7232017231829349</v>
      </c>
      <c r="AJ21" s="1">
        <v>2.7058833347460305</v>
      </c>
      <c r="AK21" s="1">
        <v>2.6858730578537573</v>
      </c>
      <c r="AL21" s="1">
        <v>2.6649982932052128</v>
      </c>
      <c r="AM21" s="1">
        <v>2.6395149977435817</v>
      </c>
      <c r="AN21" s="1">
        <v>2.6094503770928377</v>
      </c>
    </row>
    <row r="22" spans="1:40" x14ac:dyDescent="0.25">
      <c r="A22" t="s">
        <v>21</v>
      </c>
      <c r="B22" t="s">
        <v>22</v>
      </c>
      <c r="C22" t="s">
        <v>11</v>
      </c>
      <c r="D22" t="s">
        <v>23</v>
      </c>
      <c r="E22" s="1">
        <v>2.2085945205479454</v>
      </c>
      <c r="F22" s="1">
        <v>3.015890410958904</v>
      </c>
      <c r="G22" s="1">
        <v>3.5317808219178084</v>
      </c>
      <c r="H22" s="1">
        <v>3.7389041095890412</v>
      </c>
      <c r="I22" s="1">
        <v>4.0769863013698631</v>
      </c>
      <c r="J22" s="1">
        <v>4.42</v>
      </c>
      <c r="K22" s="1">
        <v>6.46</v>
      </c>
      <c r="L22" s="1">
        <v>8.1199999999999992</v>
      </c>
      <c r="M22" s="1">
        <v>8.82</v>
      </c>
      <c r="N22" s="1">
        <v>7.3047777861937035</v>
      </c>
      <c r="O22" s="1">
        <v>6.0567660332372943</v>
      </c>
      <c r="P22" s="1">
        <v>5.357643659993478</v>
      </c>
      <c r="Q22" s="1">
        <v>4.8599226734665137</v>
      </c>
      <c r="R22" s="1">
        <v>4.4562376729514295</v>
      </c>
      <c r="S22" s="1">
        <v>4.1447410813674486</v>
      </c>
      <c r="T22" s="1">
        <v>3.8896616841012519</v>
      </c>
      <c r="U22" s="1">
        <v>3.670605472962134</v>
      </c>
      <c r="V22" s="1">
        <v>3.4918447491712454</v>
      </c>
      <c r="W22" s="1">
        <v>3.3469350472843598</v>
      </c>
      <c r="X22" s="1">
        <v>3.2311161595513265</v>
      </c>
      <c r="Y22" s="1">
        <v>3.1444350914356241</v>
      </c>
      <c r="Z22" s="1">
        <v>3.0792477343915987</v>
      </c>
      <c r="AA22" s="1">
        <v>3.0285850411557211</v>
      </c>
      <c r="AB22" s="1">
        <v>2.9821991319754537</v>
      </c>
      <c r="AC22" s="1">
        <v>2.9320619626033224</v>
      </c>
      <c r="AD22" s="1">
        <v>2.8767084819290809</v>
      </c>
      <c r="AE22" s="1">
        <v>2.8169261487422221</v>
      </c>
      <c r="AF22" s="1">
        <v>2.7607404988074986</v>
      </c>
      <c r="AG22" s="1">
        <v>2.700349145184421</v>
      </c>
      <c r="AH22" s="1">
        <v>2.6213634849376195</v>
      </c>
      <c r="AI22" s="1">
        <v>2.5377360545608045</v>
      </c>
      <c r="AJ22" s="1">
        <v>2.459541657784845</v>
      </c>
      <c r="AK22" s="1">
        <v>2.3776369177702614</v>
      </c>
      <c r="AL22" s="1">
        <v>2.3268532759895608</v>
      </c>
      <c r="AM22" s="1">
        <v>2.2806515063926152</v>
      </c>
      <c r="AN22" s="1">
        <v>2.2376280111336575</v>
      </c>
    </row>
    <row r="23" spans="1:40" x14ac:dyDescent="0.25">
      <c r="A23" t="s">
        <v>21</v>
      </c>
      <c r="B23" t="s">
        <v>22</v>
      </c>
      <c r="C23" t="s">
        <v>11</v>
      </c>
      <c r="D23" t="s">
        <v>1</v>
      </c>
      <c r="E23" s="1">
        <v>2.2085945205479454</v>
      </c>
      <c r="F23" s="1">
        <v>3.015890410958904</v>
      </c>
      <c r="G23" s="1">
        <v>3.5317808219178084</v>
      </c>
      <c r="H23" s="1">
        <v>3.7389041095890412</v>
      </c>
      <c r="I23" s="1">
        <v>4.0769863013698631</v>
      </c>
      <c r="J23" s="1">
        <v>4.42</v>
      </c>
      <c r="K23" s="1">
        <v>6.46</v>
      </c>
      <c r="L23" s="1">
        <v>8.1199999999999992</v>
      </c>
      <c r="M23" s="1">
        <v>8.82</v>
      </c>
      <c r="N23" s="1">
        <v>7.3047777861937035</v>
      </c>
      <c r="O23" s="1">
        <v>6.0567660332372943</v>
      </c>
      <c r="P23" s="1">
        <v>5.357643659993478</v>
      </c>
      <c r="Q23" s="1">
        <v>4.8599226734665137</v>
      </c>
      <c r="R23" s="1">
        <v>4.4562376729514295</v>
      </c>
      <c r="S23" s="1">
        <v>4.1447410813674486</v>
      </c>
      <c r="T23" s="1">
        <v>3.8896616841012519</v>
      </c>
      <c r="U23" s="1">
        <v>3.670605472962134</v>
      </c>
      <c r="V23" s="1">
        <v>3.4918447491712454</v>
      </c>
      <c r="W23" s="1">
        <v>3.3469350472843598</v>
      </c>
      <c r="X23" s="1">
        <v>3.2311161595513265</v>
      </c>
      <c r="Y23" s="1">
        <v>3.1444350914356241</v>
      </c>
      <c r="Z23" s="1">
        <v>3.0792477343915987</v>
      </c>
      <c r="AA23" s="1">
        <v>3.0285850411557211</v>
      </c>
      <c r="AB23" s="1">
        <v>2.9821991319754537</v>
      </c>
      <c r="AC23" s="1">
        <v>2.9320619626033224</v>
      </c>
      <c r="AD23" s="1">
        <v>2.8767084819290809</v>
      </c>
      <c r="AE23" s="1">
        <v>2.8169261487422221</v>
      </c>
      <c r="AF23" s="1">
        <v>2.7607404988074986</v>
      </c>
      <c r="AG23" s="1">
        <v>2.700349145184421</v>
      </c>
      <c r="AH23" s="1">
        <v>2.6213634849376195</v>
      </c>
      <c r="AI23" s="1">
        <v>2.5377360545608045</v>
      </c>
      <c r="AJ23" s="1">
        <v>2.459541657784845</v>
      </c>
      <c r="AK23" s="1">
        <v>2.3776369177702614</v>
      </c>
      <c r="AL23" s="1">
        <v>2.3268532759895608</v>
      </c>
      <c r="AM23" s="1">
        <v>2.2806515063926152</v>
      </c>
      <c r="AN23" s="1">
        <v>2.2376280111336575</v>
      </c>
    </row>
    <row r="24" spans="1:40" x14ac:dyDescent="0.25">
      <c r="A24" t="s">
        <v>21</v>
      </c>
      <c r="B24" t="s">
        <v>22</v>
      </c>
      <c r="C24" t="s">
        <v>12</v>
      </c>
      <c r="D24" t="s">
        <v>23</v>
      </c>
      <c r="E24" s="1">
        <v>48.466882191780826</v>
      </c>
      <c r="F24" s="1">
        <v>48.277846575342465</v>
      </c>
      <c r="G24" s="1">
        <v>58.576986301369864</v>
      </c>
      <c r="H24" s="1">
        <v>54.554520547945202</v>
      </c>
      <c r="I24" s="1">
        <v>42.550684931506844</v>
      </c>
      <c r="J24" s="1">
        <v>43.853011524244394</v>
      </c>
      <c r="K24" s="1">
        <v>42.14</v>
      </c>
      <c r="L24" s="1">
        <v>31.429560381305837</v>
      </c>
      <c r="M24" s="1">
        <v>36.872529243563093</v>
      </c>
      <c r="N24" s="1">
        <v>34.344578260774881</v>
      </c>
      <c r="O24" s="1">
        <v>33.948034815394557</v>
      </c>
      <c r="P24" s="1">
        <v>40.893251028192886</v>
      </c>
      <c r="Q24" s="1">
        <v>39.550516165890812</v>
      </c>
      <c r="R24" s="1">
        <v>50.201305689240215</v>
      </c>
      <c r="S24" s="1">
        <v>51.746947988775737</v>
      </c>
      <c r="T24" s="1">
        <v>45.347395485195598</v>
      </c>
      <c r="U24" s="1">
        <v>44.14465659217997</v>
      </c>
      <c r="V24" s="1">
        <v>45.052542005644248</v>
      </c>
      <c r="W24" s="1">
        <v>39.507136670521767</v>
      </c>
      <c r="X24" s="1">
        <v>39.086716925165348</v>
      </c>
      <c r="Y24" s="1">
        <v>52.336565786879646</v>
      </c>
      <c r="Z24" s="1">
        <v>45.940789275095824</v>
      </c>
      <c r="AA24" s="1">
        <v>39.984437415285669</v>
      </c>
      <c r="AB24" s="1">
        <v>35.904751576340786</v>
      </c>
      <c r="AC24" s="1">
        <v>33.177772537536946</v>
      </c>
      <c r="AD24" s="1">
        <v>31.060379430871162</v>
      </c>
      <c r="AE24" s="1">
        <v>27.732695391816115</v>
      </c>
      <c r="AF24" s="1">
        <v>24.043970119384397</v>
      </c>
      <c r="AG24" s="1">
        <v>21.59199376066654</v>
      </c>
      <c r="AH24" s="1">
        <v>21.084469602269998</v>
      </c>
      <c r="AI24" s="1">
        <v>19.067860589901247</v>
      </c>
      <c r="AJ24" s="1">
        <v>17.844162364854853</v>
      </c>
      <c r="AK24" s="1">
        <v>16.685595691783142</v>
      </c>
      <c r="AL24" s="1">
        <v>15.125900406656791</v>
      </c>
      <c r="AM24" s="1">
        <v>13.761476087214938</v>
      </c>
      <c r="AN24" s="1">
        <v>13.405115505733184</v>
      </c>
    </row>
    <row r="25" spans="1:40" x14ac:dyDescent="0.25">
      <c r="A25" t="s">
        <v>21</v>
      </c>
      <c r="B25" t="s">
        <v>22</v>
      </c>
      <c r="C25" t="s">
        <v>12</v>
      </c>
      <c r="D25" t="s">
        <v>1</v>
      </c>
      <c r="E25" s="1">
        <v>48.466882191780826</v>
      </c>
      <c r="F25" s="1">
        <v>48.277846575342465</v>
      </c>
      <c r="G25" s="1">
        <v>58.576986301369864</v>
      </c>
      <c r="H25" s="1">
        <v>54.554520547945202</v>
      </c>
      <c r="I25" s="1">
        <v>42.550684931506844</v>
      </c>
      <c r="J25" s="1">
        <v>43.853011524244394</v>
      </c>
      <c r="K25" s="1">
        <v>42.14</v>
      </c>
      <c r="L25" s="1">
        <v>31.429560381305837</v>
      </c>
      <c r="M25" s="1">
        <v>36.872529243563093</v>
      </c>
      <c r="N25" s="1">
        <v>34.344578260774881</v>
      </c>
      <c r="O25" s="1">
        <v>33.948034815394557</v>
      </c>
      <c r="P25" s="1">
        <v>40.893251028192886</v>
      </c>
      <c r="Q25" s="1">
        <v>39.550516165890812</v>
      </c>
      <c r="R25" s="1">
        <v>50.201305689240215</v>
      </c>
      <c r="S25" s="1">
        <v>51.746947988775737</v>
      </c>
      <c r="T25" s="1">
        <v>45.347395485195598</v>
      </c>
      <c r="U25" s="1">
        <v>44.14465659217997</v>
      </c>
      <c r="V25" s="1">
        <v>45.052542005644248</v>
      </c>
      <c r="W25" s="1">
        <v>39.507136670521767</v>
      </c>
      <c r="X25" s="1">
        <v>39.086716925165348</v>
      </c>
      <c r="Y25" s="1">
        <v>52.336565786879646</v>
      </c>
      <c r="Z25" s="1">
        <v>45.940789275095824</v>
      </c>
      <c r="AA25" s="1">
        <v>39.984437415285669</v>
      </c>
      <c r="AB25" s="1">
        <v>35.904751576340786</v>
      </c>
      <c r="AC25" s="1">
        <v>33.177772537536946</v>
      </c>
      <c r="AD25" s="1">
        <v>31.060379430871162</v>
      </c>
      <c r="AE25" s="1">
        <v>27.732695391816115</v>
      </c>
      <c r="AF25" s="1">
        <v>24.043970119384397</v>
      </c>
      <c r="AG25" s="1">
        <v>21.59199376066654</v>
      </c>
      <c r="AH25" s="1">
        <v>21.084469602269998</v>
      </c>
      <c r="AI25" s="1">
        <v>19.067860589901247</v>
      </c>
      <c r="AJ25" s="1">
        <v>17.844162364854853</v>
      </c>
      <c r="AK25" s="1">
        <v>16.685595691783142</v>
      </c>
      <c r="AL25" s="1">
        <v>15.125900406656791</v>
      </c>
      <c r="AM25" s="1">
        <v>13.761476087214938</v>
      </c>
      <c r="AN25" s="1">
        <v>13.405115505733184</v>
      </c>
    </row>
    <row r="26" spans="1:40" x14ac:dyDescent="0.25">
      <c r="A26" t="s">
        <v>21</v>
      </c>
      <c r="B26" t="s">
        <v>22</v>
      </c>
      <c r="C26" t="s">
        <v>13</v>
      </c>
      <c r="D26" t="s">
        <v>23</v>
      </c>
      <c r="E26" s="1">
        <v>2.9858876712328768</v>
      </c>
      <c r="F26" s="1">
        <v>2.9663753424657533</v>
      </c>
      <c r="G26" s="1">
        <v>2.7860273972602738</v>
      </c>
      <c r="H26" s="1">
        <v>2.5797260273972604</v>
      </c>
      <c r="I26" s="1">
        <v>2.4693150684931506</v>
      </c>
      <c r="J26" s="1">
        <v>2.39</v>
      </c>
      <c r="K26" s="1">
        <v>1.67</v>
      </c>
      <c r="L26" s="1">
        <v>2.0670000000000002</v>
      </c>
      <c r="M26" s="1">
        <v>1.9636499999999999</v>
      </c>
      <c r="N26" s="1">
        <v>1.69</v>
      </c>
      <c r="O26" s="1">
        <v>1.61</v>
      </c>
      <c r="P26" s="1">
        <v>1.5295000000000001</v>
      </c>
      <c r="Q26" s="1">
        <v>1.453025</v>
      </c>
      <c r="R26" s="1">
        <v>1.38037375</v>
      </c>
      <c r="S26" s="1">
        <v>1.3113550624999999</v>
      </c>
      <c r="T26" s="1">
        <v>1.2457873093749998</v>
      </c>
      <c r="U26" s="1">
        <v>1.1834979439062498</v>
      </c>
      <c r="V26" s="1">
        <v>1.1243230467109373</v>
      </c>
      <c r="W26" s="1">
        <v>1.0681068943753904</v>
      </c>
      <c r="X26" s="1">
        <v>1.0147015496566207</v>
      </c>
      <c r="Y26" s="1">
        <v>0.96396647217378961</v>
      </c>
      <c r="Z26" s="1">
        <v>0.91576814856510014</v>
      </c>
      <c r="AA26" s="1">
        <v>0.86997974113684506</v>
      </c>
      <c r="AB26" s="1">
        <v>0.82648075408000277</v>
      </c>
      <c r="AC26" s="1">
        <v>0.78515671637600259</v>
      </c>
      <c r="AD26" s="1">
        <v>0.74589888055720244</v>
      </c>
      <c r="AE26" s="1">
        <v>0.70860393652934228</v>
      </c>
      <c r="AF26" s="1">
        <v>0.67317373970287508</v>
      </c>
      <c r="AG26" s="1">
        <v>0.63951505271773135</v>
      </c>
      <c r="AH26" s="1">
        <v>0.60753930008184476</v>
      </c>
      <c r="AI26" s="1">
        <v>0.5771623350777525</v>
      </c>
      <c r="AJ26" s="1">
        <v>0.54830421832386489</v>
      </c>
      <c r="AK26" s="1">
        <v>0.52088900740767163</v>
      </c>
      <c r="AL26" s="1">
        <v>0.49484455703728802</v>
      </c>
      <c r="AM26" s="1">
        <v>0.47010232918542361</v>
      </c>
      <c r="AN26" s="1">
        <v>0.44659721272615238</v>
      </c>
    </row>
    <row r="27" spans="1:40" x14ac:dyDescent="0.25">
      <c r="A27" t="s">
        <v>21</v>
      </c>
      <c r="B27" t="s">
        <v>22</v>
      </c>
      <c r="C27" t="s">
        <v>13</v>
      </c>
      <c r="D27" t="s">
        <v>1</v>
      </c>
      <c r="E27" s="1">
        <v>2.9858876712328768</v>
      </c>
      <c r="F27" s="1">
        <v>2.9663753424657533</v>
      </c>
      <c r="G27" s="1">
        <v>2.7860273972602738</v>
      </c>
      <c r="H27" s="1">
        <v>2.5797260273972604</v>
      </c>
      <c r="I27" s="1">
        <v>2.4693150684931506</v>
      </c>
      <c r="J27" s="1">
        <v>2.39</v>
      </c>
      <c r="K27" s="1">
        <v>1.67</v>
      </c>
      <c r="L27" s="1">
        <v>2.0670000000000002</v>
      </c>
      <c r="M27" s="1">
        <v>1.9636499999999999</v>
      </c>
      <c r="N27" s="1">
        <v>1.69</v>
      </c>
      <c r="O27" s="1">
        <v>1.61</v>
      </c>
      <c r="P27" s="1">
        <v>1.5295000000000001</v>
      </c>
      <c r="Q27" s="1">
        <v>1.453025</v>
      </c>
      <c r="R27" s="1">
        <v>1.38037375</v>
      </c>
      <c r="S27" s="1">
        <v>1.3113550624999999</v>
      </c>
      <c r="T27" s="1">
        <v>1.2457873093749998</v>
      </c>
      <c r="U27" s="1">
        <v>1.1834979439062498</v>
      </c>
      <c r="V27" s="1">
        <v>1.1243230467109373</v>
      </c>
      <c r="W27" s="1">
        <v>1.0681068943753904</v>
      </c>
      <c r="X27" s="1">
        <v>1.0147015496566207</v>
      </c>
      <c r="Y27" s="1">
        <v>0.96396647217378961</v>
      </c>
      <c r="Z27" s="1">
        <v>0.91576814856510014</v>
      </c>
      <c r="AA27" s="1">
        <v>0.86997974113684506</v>
      </c>
      <c r="AB27" s="1">
        <v>0.82648075408000277</v>
      </c>
      <c r="AC27" s="1">
        <v>0.78515671637600259</v>
      </c>
      <c r="AD27" s="1">
        <v>0.74589888055720244</v>
      </c>
      <c r="AE27" s="1">
        <v>0.70860393652934228</v>
      </c>
      <c r="AF27" s="1">
        <v>0.67317373970287508</v>
      </c>
      <c r="AG27" s="1">
        <v>0.63951505271773135</v>
      </c>
      <c r="AH27" s="1">
        <v>0.60753930008184476</v>
      </c>
      <c r="AI27" s="1">
        <v>0.5771623350777525</v>
      </c>
      <c r="AJ27" s="1">
        <v>0.54830421832386489</v>
      </c>
      <c r="AK27" s="1">
        <v>0.52088900740767163</v>
      </c>
      <c r="AL27" s="1">
        <v>0.49484455703728802</v>
      </c>
      <c r="AM27" s="1">
        <v>0.47010232918542361</v>
      </c>
      <c r="AN27" s="1">
        <v>0.44659721272615238</v>
      </c>
    </row>
    <row r="28" spans="1:40" x14ac:dyDescent="0.25">
      <c r="A28" t="s">
        <v>21</v>
      </c>
      <c r="B28" t="s">
        <v>22</v>
      </c>
      <c r="C28" t="s">
        <v>14</v>
      </c>
      <c r="D28" t="s">
        <v>23</v>
      </c>
      <c r="E28" s="1">
        <v>2.0546041095890408</v>
      </c>
      <c r="F28" s="1">
        <v>1.9127178082191778</v>
      </c>
      <c r="G28" s="1">
        <v>1.8855501369863013</v>
      </c>
      <c r="H28" s="1">
        <v>1.7537218579234968</v>
      </c>
      <c r="I28" s="1">
        <v>1.1252249315068492</v>
      </c>
      <c r="J28" s="1">
        <v>1.0665109589041095</v>
      </c>
      <c r="K28" s="1">
        <v>0.8600093150684931</v>
      </c>
      <c r="L28" s="1">
        <v>0.58448934426229504</v>
      </c>
      <c r="M28" s="1">
        <v>0.3277084931506849</v>
      </c>
      <c r="N28" s="1">
        <v>0.46</v>
      </c>
      <c r="O28" s="1">
        <v>0.43273658301369861</v>
      </c>
      <c r="P28" s="1">
        <v>0.40738720503606557</v>
      </c>
      <c r="Q28" s="1">
        <v>0.38562714764049533</v>
      </c>
      <c r="R28" s="1">
        <v>0.36403202737262752</v>
      </c>
      <c r="S28" s="1">
        <v>0.3436462338397604</v>
      </c>
      <c r="T28" s="1">
        <v>0.32351570036018534</v>
      </c>
      <c r="U28" s="1">
        <v>0.30623553023902866</v>
      </c>
      <c r="V28" s="1">
        <v>0.28908634054564303</v>
      </c>
      <c r="W28" s="1">
        <v>0.27289750547508701</v>
      </c>
      <c r="X28" s="1">
        <v>0.25691137837840433</v>
      </c>
      <c r="Y28" s="1">
        <v>0.24318879143904712</v>
      </c>
      <c r="Z28" s="1">
        <v>0.22957021911846046</v>
      </c>
      <c r="AA28" s="1">
        <v>0.21671428684782665</v>
      </c>
      <c r="AB28" s="1">
        <v>0.20401932971663156</v>
      </c>
      <c r="AC28" s="1">
        <v>0.19312190272442484</v>
      </c>
      <c r="AD28" s="1">
        <v>0.18230707617185704</v>
      </c>
      <c r="AE28" s="1">
        <v>0.17209787990623304</v>
      </c>
      <c r="AF28" s="1">
        <v>0.16201651776090617</v>
      </c>
      <c r="AG28" s="1">
        <v>0.15336261630812087</v>
      </c>
      <c r="AH28" s="1">
        <v>0.14477430979486611</v>
      </c>
      <c r="AI28" s="1">
        <v>0.1366669484463536</v>
      </c>
      <c r="AJ28" s="1">
        <v>0.12866110316031584</v>
      </c>
      <c r="AK28" s="1">
        <v>0.12178883777068976</v>
      </c>
      <c r="AL28" s="1">
        <v>0.11496866285553113</v>
      </c>
      <c r="AM28" s="1">
        <v>0.10853041773562137</v>
      </c>
      <c r="AN28" s="1">
        <v>0.10217278889340355</v>
      </c>
    </row>
    <row r="29" spans="1:40" x14ac:dyDescent="0.25">
      <c r="A29" t="s">
        <v>21</v>
      </c>
      <c r="B29" t="s">
        <v>22</v>
      </c>
      <c r="C29" t="s">
        <v>14</v>
      </c>
      <c r="D29" t="s">
        <v>3</v>
      </c>
      <c r="E29" s="1">
        <v>2.0546041095890408</v>
      </c>
      <c r="F29" s="1">
        <v>1.9127178082191778</v>
      </c>
      <c r="G29" s="1">
        <v>1.8855501369863013</v>
      </c>
      <c r="H29" s="1">
        <v>1.7537218579234968</v>
      </c>
      <c r="I29" s="1">
        <v>1.1252249315068492</v>
      </c>
      <c r="J29" s="1">
        <v>1.0665109589041095</v>
      </c>
      <c r="K29" s="1">
        <v>0.8600093150684931</v>
      </c>
      <c r="L29" s="1">
        <v>0.58448934426229504</v>
      </c>
      <c r="M29" s="1">
        <v>0.3277084931506849</v>
      </c>
      <c r="N29" s="1">
        <v>0.45840739726027402</v>
      </c>
      <c r="O29" s="1">
        <v>0.43273658301369861</v>
      </c>
      <c r="P29" s="1">
        <v>0.40738720503606557</v>
      </c>
      <c r="Q29" s="1">
        <v>0.38562714764049533</v>
      </c>
      <c r="R29" s="1">
        <v>0.36403202737262752</v>
      </c>
      <c r="S29" s="1">
        <v>0.3436462338397604</v>
      </c>
      <c r="T29" s="1">
        <v>0.32351570036018534</v>
      </c>
      <c r="U29" s="1">
        <v>0.30623553023902866</v>
      </c>
      <c r="V29" s="1">
        <v>0.28908634054564303</v>
      </c>
      <c r="W29" s="1">
        <v>0.27289750547508701</v>
      </c>
      <c r="X29" s="1">
        <v>0.25691137837840433</v>
      </c>
      <c r="Y29" s="1">
        <v>0.24318879143904712</v>
      </c>
      <c r="Z29" s="1">
        <v>0.22957021911846046</v>
      </c>
      <c r="AA29" s="1">
        <v>0.21671428684782665</v>
      </c>
      <c r="AB29" s="1">
        <v>0.20401932971663156</v>
      </c>
      <c r="AC29" s="1">
        <v>0.19312190272442484</v>
      </c>
      <c r="AD29" s="1">
        <v>0.18230707617185704</v>
      </c>
      <c r="AE29" s="1">
        <v>0.17209787990623304</v>
      </c>
      <c r="AF29" s="1">
        <v>0.16201651776090617</v>
      </c>
      <c r="AG29" s="1">
        <v>0.15336261630812087</v>
      </c>
      <c r="AH29" s="1">
        <v>0.14477430979486611</v>
      </c>
      <c r="AI29" s="1">
        <v>0.1366669484463536</v>
      </c>
      <c r="AJ29" s="1">
        <v>0.12866110316031584</v>
      </c>
      <c r="AK29" s="1">
        <v>0.12178883777068976</v>
      </c>
      <c r="AL29" s="1">
        <v>0.11496866285553113</v>
      </c>
      <c r="AM29" s="1">
        <v>0.10853041773562137</v>
      </c>
      <c r="AN29" s="1">
        <v>0.10217278889340355</v>
      </c>
    </row>
    <row r="30" spans="1:40" x14ac:dyDescent="0.25">
      <c r="A30" t="s">
        <v>21</v>
      </c>
      <c r="B30" t="s">
        <v>22</v>
      </c>
      <c r="C30" t="s">
        <v>15</v>
      </c>
      <c r="D30" t="s">
        <v>23</v>
      </c>
      <c r="E30" s="1">
        <v>0.38451041602662572</v>
      </c>
      <c r="F30" s="1">
        <v>0.35441595195212494</v>
      </c>
      <c r="G30" s="1">
        <v>0.33669515435451869</v>
      </c>
      <c r="H30" s="1">
        <v>0.26958904109589044</v>
      </c>
      <c r="I30" s="1">
        <v>0.24958904109589042</v>
      </c>
      <c r="J30" s="1">
        <v>0.24</v>
      </c>
      <c r="K30" s="1">
        <v>0.22320000000000001</v>
      </c>
      <c r="L30" s="1">
        <v>0.22</v>
      </c>
      <c r="M30" s="1">
        <v>0.2046</v>
      </c>
      <c r="N30" s="1">
        <v>0.190278</v>
      </c>
      <c r="O30" s="1">
        <v>0.17695854000000003</v>
      </c>
      <c r="P30" s="1">
        <v>0.16457144220000003</v>
      </c>
      <c r="Q30" s="1">
        <v>0.15305144124600004</v>
      </c>
      <c r="R30" s="1">
        <v>0.14233784035878005</v>
      </c>
      <c r="S30" s="1">
        <v>0.13237419153366545</v>
      </c>
      <c r="T30" s="1">
        <v>0.12310799812630888</v>
      </c>
      <c r="U30" s="1">
        <v>0.11449043825746726</v>
      </c>
      <c r="V30" s="1">
        <v>0.10647610757944455</v>
      </c>
      <c r="W30" s="1">
        <v>9.873655395323977E-2</v>
      </c>
      <c r="X30" s="1">
        <v>9.1263992029051402E-2</v>
      </c>
      <c r="Y30" s="1">
        <v>8.4050837960249286E-2</v>
      </c>
      <c r="Z30" s="1">
        <v>7.7089704457387623E-2</v>
      </c>
      <c r="AA30" s="1">
        <v>7.0373395959456311E-2</v>
      </c>
      <c r="AB30" s="1">
        <v>6.3894903919659324E-2</v>
      </c>
      <c r="AC30" s="1">
        <v>5.7647402203070422E-2</v>
      </c>
      <c r="AD30" s="1">
        <v>5.1624242593577216E-2</v>
      </c>
      <c r="AE30" s="1">
        <v>4.5818950407582507E-2</v>
      </c>
      <c r="AF30" s="1">
        <v>4.0225220211990154E-2</v>
      </c>
      <c r="AG30" s="1">
        <v>3.4836911644058464E-2</v>
      </c>
      <c r="AH30" s="1">
        <v>2.9648045330759248E-2</v>
      </c>
      <c r="AI30" s="1">
        <v>2.4652798905334377E-2</v>
      </c>
      <c r="AJ30" s="1">
        <v>1.9845503118794194E-2</v>
      </c>
      <c r="AK30" s="1">
        <v>1.5220638044153486E-2</v>
      </c>
      <c r="AL30" s="1">
        <v>1.0772829371250891E-2</v>
      </c>
      <c r="AM30" s="1">
        <v>6.4968447900467371E-3</v>
      </c>
      <c r="AN30" s="1">
        <v>2.3875904603422489E-3</v>
      </c>
    </row>
    <row r="31" spans="1:40" x14ac:dyDescent="0.25">
      <c r="A31" t="s">
        <v>21</v>
      </c>
      <c r="B31" t="s">
        <v>22</v>
      </c>
      <c r="C31" t="s">
        <v>15</v>
      </c>
      <c r="D31" t="s">
        <v>1</v>
      </c>
      <c r="E31" s="1">
        <v>0.37693698630136985</v>
      </c>
      <c r="F31" s="1">
        <v>0.34152602739726029</v>
      </c>
      <c r="G31" s="1">
        <v>0.29972602739726029</v>
      </c>
      <c r="H31" s="1">
        <v>0.26958904109589044</v>
      </c>
      <c r="I31" s="1">
        <v>0.24958904109589042</v>
      </c>
      <c r="J31" s="1">
        <v>0.24</v>
      </c>
      <c r="K31" s="1">
        <v>0.22320000000000001</v>
      </c>
      <c r="L31" s="1">
        <v>0.22</v>
      </c>
      <c r="M31" s="1">
        <v>0.2046</v>
      </c>
      <c r="N31" s="1">
        <v>0.190278</v>
      </c>
      <c r="O31" s="1">
        <v>0.17695854000000003</v>
      </c>
      <c r="P31" s="1">
        <v>0.16457144220000003</v>
      </c>
      <c r="Q31" s="1">
        <v>0.15305144124600004</v>
      </c>
      <c r="R31" s="1">
        <v>0.14233784035878005</v>
      </c>
      <c r="S31" s="1">
        <v>0.13237419153366545</v>
      </c>
      <c r="T31" s="1">
        <v>0.12310799812630888</v>
      </c>
      <c r="U31" s="1">
        <v>0.11449043825746726</v>
      </c>
      <c r="V31" s="1">
        <v>0.10647610757944455</v>
      </c>
      <c r="W31" s="1">
        <v>9.873655395323977E-2</v>
      </c>
      <c r="X31" s="1">
        <v>9.1263992029051402E-2</v>
      </c>
      <c r="Y31" s="1">
        <v>8.4050837960249286E-2</v>
      </c>
      <c r="Z31" s="1">
        <v>7.7089704457387623E-2</v>
      </c>
      <c r="AA31" s="1">
        <v>7.0373395959456311E-2</v>
      </c>
      <c r="AB31" s="1">
        <v>6.3894903919659324E-2</v>
      </c>
      <c r="AC31" s="1">
        <v>5.7647402203070422E-2</v>
      </c>
      <c r="AD31" s="1">
        <v>5.1624242593577216E-2</v>
      </c>
      <c r="AE31" s="1">
        <v>4.5818950407582507E-2</v>
      </c>
      <c r="AF31" s="1">
        <v>4.0225220211990154E-2</v>
      </c>
      <c r="AG31" s="1">
        <v>3.4836911644058464E-2</v>
      </c>
      <c r="AH31" s="1">
        <v>2.9648045330759248E-2</v>
      </c>
      <c r="AI31" s="1">
        <v>2.4652798905334377E-2</v>
      </c>
      <c r="AJ31" s="1">
        <v>1.9845503118794194E-2</v>
      </c>
      <c r="AK31" s="1">
        <v>1.5220638044153486E-2</v>
      </c>
      <c r="AL31" s="1">
        <v>1.0772829371250891E-2</v>
      </c>
      <c r="AM31" s="1">
        <v>6.4968447900467371E-3</v>
      </c>
      <c r="AN31" s="1">
        <v>2.3875904603422489E-3</v>
      </c>
    </row>
    <row r="32" spans="1:40" x14ac:dyDescent="0.25">
      <c r="A32" t="s">
        <v>21</v>
      </c>
      <c r="B32" t="s">
        <v>22</v>
      </c>
      <c r="C32" t="s">
        <v>16</v>
      </c>
      <c r="D32" t="s">
        <v>23</v>
      </c>
      <c r="E32" s="1">
        <v>66.733054039199047</v>
      </c>
      <c r="F32" s="1">
        <v>68.174030419970649</v>
      </c>
      <c r="G32" s="1">
        <v>68.098496018848238</v>
      </c>
      <c r="H32" s="1">
        <v>69.988042860537959</v>
      </c>
      <c r="I32" s="1">
        <v>67.633923182151463</v>
      </c>
      <c r="J32" s="1">
        <v>67.359048901700334</v>
      </c>
      <c r="K32" s="1">
        <v>68.163835411747996</v>
      </c>
      <c r="L32" s="1">
        <v>74.858985940320864</v>
      </c>
      <c r="M32" s="1">
        <v>77.207730375237986</v>
      </c>
      <c r="N32" s="1">
        <v>80.928466523533231</v>
      </c>
      <c r="O32" s="1">
        <v>80.780582081184477</v>
      </c>
      <c r="P32" s="1">
        <v>80.640103144270611</v>
      </c>
      <c r="Q32" s="1">
        <v>80.213098058473264</v>
      </c>
      <c r="R32" s="1">
        <v>79.792246637360748</v>
      </c>
      <c r="S32" s="1">
        <v>79.257698262618419</v>
      </c>
      <c r="T32" s="1">
        <v>78.860006503538173</v>
      </c>
      <c r="U32" s="1">
        <v>78.552993493873558</v>
      </c>
      <c r="V32" s="1">
        <v>78.472871958772657</v>
      </c>
      <c r="W32" s="1">
        <v>78.527454260557406</v>
      </c>
      <c r="X32" s="1">
        <v>78.724433668756788</v>
      </c>
      <c r="Y32" s="1">
        <v>79.056931337129853</v>
      </c>
      <c r="Z32" s="1">
        <v>79.418691471796549</v>
      </c>
      <c r="AA32" s="1">
        <v>79.748243961538293</v>
      </c>
      <c r="AB32" s="1">
        <v>79.900119151662082</v>
      </c>
      <c r="AC32" s="1">
        <v>79.768315320478095</v>
      </c>
      <c r="AD32" s="1">
        <v>79.42940272899088</v>
      </c>
      <c r="AE32" s="1">
        <v>78.924573499034992</v>
      </c>
      <c r="AF32" s="1">
        <v>78.221985394216858</v>
      </c>
      <c r="AG32" s="1">
        <v>77.364763996344649</v>
      </c>
      <c r="AH32" s="1">
        <v>76.310058899813868</v>
      </c>
      <c r="AI32" s="1">
        <v>74.927267474745875</v>
      </c>
      <c r="AJ32" s="1">
        <v>73.728736184774576</v>
      </c>
      <c r="AK32" s="1">
        <v>72.370614754096309</v>
      </c>
      <c r="AL32" s="1">
        <v>71.06241267788954</v>
      </c>
      <c r="AM32" s="1">
        <v>69.650479831274595</v>
      </c>
      <c r="AN32" s="1">
        <v>68.221648801786515</v>
      </c>
    </row>
    <row r="33" spans="1:40" x14ac:dyDescent="0.25">
      <c r="A33" t="s">
        <v>21</v>
      </c>
      <c r="B33" t="s">
        <v>22</v>
      </c>
      <c r="C33" t="s">
        <v>16</v>
      </c>
      <c r="D33" t="s">
        <v>1</v>
      </c>
      <c r="E33" s="1">
        <v>9.5385034690820714</v>
      </c>
      <c r="F33" s="1">
        <v>9.9661643215575797</v>
      </c>
      <c r="G33" s="1">
        <v>11.454637531318259</v>
      </c>
      <c r="H33" s="1">
        <v>15.704716024713884</v>
      </c>
      <c r="I33" s="1">
        <v>16.826448167450707</v>
      </c>
      <c r="J33" s="1">
        <v>17.35209181881353</v>
      </c>
      <c r="K33" s="1">
        <v>18.157997011188559</v>
      </c>
      <c r="L33" s="1">
        <v>20.910828283491242</v>
      </c>
      <c r="M33" s="1">
        <v>23.359025058656808</v>
      </c>
      <c r="N33" s="1">
        <v>25.214989442040775</v>
      </c>
      <c r="O33" s="1">
        <v>25.411411425224308</v>
      </c>
      <c r="P33" s="1">
        <v>25.806500958507968</v>
      </c>
      <c r="Q33" s="1">
        <v>26.364462730685286</v>
      </c>
      <c r="R33" s="1">
        <v>26.879321713732502</v>
      </c>
      <c r="S33" s="1">
        <v>27.218083538895375</v>
      </c>
      <c r="T33" s="1">
        <v>27.580928377520628</v>
      </c>
      <c r="U33" s="1">
        <v>27.955702577431136</v>
      </c>
      <c r="V33" s="1">
        <v>28.420899417772038</v>
      </c>
      <c r="W33" s="1">
        <v>28.921589086405714</v>
      </c>
      <c r="X33" s="1">
        <v>29.453946420571462</v>
      </c>
      <c r="Y33" s="1">
        <v>30.042706456944732</v>
      </c>
      <c r="Z33" s="1">
        <v>30.623346534178811</v>
      </c>
      <c r="AA33" s="1">
        <v>31.169790627932933</v>
      </c>
      <c r="AB33" s="1">
        <v>31.605430546470973</v>
      </c>
      <c r="AC33" s="1">
        <v>31.911400249672642</v>
      </c>
      <c r="AD33" s="1">
        <v>32.134375766533253</v>
      </c>
      <c r="AE33" s="1">
        <v>32.249421055872993</v>
      </c>
      <c r="AF33" s="1">
        <v>32.253663227430941</v>
      </c>
      <c r="AG33" s="1">
        <v>32.16943495151051</v>
      </c>
      <c r="AH33" s="1">
        <v>31.916596106380851</v>
      </c>
      <c r="AI33" s="1">
        <v>31.338229178405491</v>
      </c>
      <c r="AJ33" s="1">
        <v>30.917121568624037</v>
      </c>
      <c r="AK33" s="1">
        <v>30.458198839186224</v>
      </c>
      <c r="AL33" s="1">
        <v>30.003970524087528</v>
      </c>
      <c r="AM33" s="1">
        <v>29.453872998262057</v>
      </c>
      <c r="AN33" s="1">
        <v>28.900813665579111</v>
      </c>
    </row>
    <row r="34" spans="1:40" x14ac:dyDescent="0.25">
      <c r="A34" t="s">
        <v>21</v>
      </c>
      <c r="B34" t="s">
        <v>22</v>
      </c>
      <c r="C34" t="s">
        <v>16</v>
      </c>
      <c r="D34" t="s">
        <v>2</v>
      </c>
      <c r="E34" s="1">
        <v>57.10195563189766</v>
      </c>
      <c r="F34" s="1">
        <v>58.109644804647566</v>
      </c>
      <c r="G34" s="1">
        <v>56.539993919009085</v>
      </c>
      <c r="H34" s="1">
        <v>54.165096607133897</v>
      </c>
      <c r="I34" s="1">
        <v>50.636177106927789</v>
      </c>
      <c r="J34" s="1">
        <v>49.826752671620611</v>
      </c>
      <c r="K34" s="1">
        <v>49.812838004560298</v>
      </c>
      <c r="L34" s="1">
        <v>53.755157260830487</v>
      </c>
      <c r="M34" s="1">
        <v>53.655704920582046</v>
      </c>
      <c r="N34" s="1">
        <v>55.520476685493328</v>
      </c>
      <c r="O34" s="1">
        <v>55.17617025996104</v>
      </c>
      <c r="P34" s="1">
        <v>54.308586623302865</v>
      </c>
      <c r="Q34" s="1">
        <v>53.323835257693034</v>
      </c>
      <c r="R34" s="1">
        <v>52.387331732166096</v>
      </c>
      <c r="S34" s="1">
        <v>51.50211259503557</v>
      </c>
      <c r="T34" s="1">
        <v>50.707354866423387</v>
      </c>
      <c r="U34" s="1">
        <v>50.003203705641752</v>
      </c>
      <c r="V34" s="1">
        <v>49.44149617399944</v>
      </c>
      <c r="W34" s="1">
        <v>48.983219692381574</v>
      </c>
      <c r="X34" s="1">
        <v>48.639595623553866</v>
      </c>
      <c r="Y34" s="1">
        <v>48.377682614170432</v>
      </c>
      <c r="Z34" s="1">
        <v>48.156630055276068</v>
      </c>
      <c r="AA34" s="1">
        <v>47.944261292912273</v>
      </c>
      <c r="AB34" s="1">
        <v>47.669786734244653</v>
      </c>
      <c r="AC34" s="1">
        <v>47.242941050961782</v>
      </c>
      <c r="AD34" s="1">
        <v>46.693271603884689</v>
      </c>
      <c r="AE34" s="1">
        <v>46.085325688752121</v>
      </c>
      <c r="AF34" s="1">
        <v>45.391879183666944</v>
      </c>
      <c r="AG34" s="1">
        <v>44.635063589017712</v>
      </c>
      <c r="AH34" s="1">
        <v>43.850293961180427</v>
      </c>
      <c r="AI34" s="1">
        <v>43.062421381061696</v>
      </c>
      <c r="AJ34" s="1">
        <v>42.30102318969395</v>
      </c>
      <c r="AK34" s="1">
        <v>41.4173413195861</v>
      </c>
      <c r="AL34" s="1">
        <v>40.579841658438625</v>
      </c>
      <c r="AM34" s="1">
        <v>39.735109941202886</v>
      </c>
      <c r="AN34" s="1">
        <v>38.875813652537154</v>
      </c>
    </row>
    <row r="35" spans="1:40" x14ac:dyDescent="0.25">
      <c r="A35" t="s">
        <v>21</v>
      </c>
      <c r="B35" t="s">
        <v>22</v>
      </c>
      <c r="C35" t="s">
        <v>16</v>
      </c>
      <c r="D35" t="s">
        <v>3</v>
      </c>
      <c r="E35" s="1">
        <v>9.2594938219321313E-2</v>
      </c>
      <c r="F35" s="1">
        <v>9.8221293765502274E-2</v>
      </c>
      <c r="G35" s="1">
        <v>0.10386456852088388</v>
      </c>
      <c r="H35" s="1">
        <v>0.11823022869017348</v>
      </c>
      <c r="I35" s="1">
        <v>0.1712979077729733</v>
      </c>
      <c r="J35" s="1">
        <v>0.18020441126618261</v>
      </c>
      <c r="K35" s="1">
        <v>0.19300039599913024</v>
      </c>
      <c r="L35" s="1">
        <v>0.19300039599913024</v>
      </c>
      <c r="M35" s="1">
        <v>0.19300039599913024</v>
      </c>
      <c r="N35" s="1">
        <v>0.19300039599913027</v>
      </c>
      <c r="O35" s="1">
        <v>0.19300039599913027</v>
      </c>
      <c r="P35" s="1">
        <v>0.52501556245978909</v>
      </c>
      <c r="Q35" s="1">
        <v>0.52480007009493779</v>
      </c>
      <c r="R35" s="1">
        <v>0.52559319146215311</v>
      </c>
      <c r="S35" s="1">
        <v>0.53750212868747593</v>
      </c>
      <c r="T35" s="1">
        <v>0.57172325959415426</v>
      </c>
      <c r="U35" s="1">
        <v>0.59408721080067228</v>
      </c>
      <c r="V35" s="1">
        <v>0.61047636700118779</v>
      </c>
      <c r="W35" s="1">
        <v>0.62264548177012613</v>
      </c>
      <c r="X35" s="1">
        <v>0.63089162463146364</v>
      </c>
      <c r="Y35" s="1">
        <v>0.63654226601469077</v>
      </c>
      <c r="Z35" s="1">
        <v>0.63871488234167806</v>
      </c>
      <c r="AA35" s="1">
        <v>0.63419204069307866</v>
      </c>
      <c r="AB35" s="1">
        <v>0.62490187094645266</v>
      </c>
      <c r="AC35" s="1">
        <v>0.6139740198436614</v>
      </c>
      <c r="AD35" s="1">
        <v>0.60175535857293805</v>
      </c>
      <c r="AE35" s="1">
        <v>0.58982675440988308</v>
      </c>
      <c r="AF35" s="1">
        <v>0.57644298311896358</v>
      </c>
      <c r="AG35" s="1">
        <v>0.5602654558164385</v>
      </c>
      <c r="AH35" s="1">
        <v>0.54316883225258361</v>
      </c>
      <c r="AI35" s="1">
        <v>0.52661691527868959</v>
      </c>
      <c r="AJ35" s="1">
        <v>0.51059142645658129</v>
      </c>
      <c r="AK35" s="1">
        <v>0.49507459532398479</v>
      </c>
      <c r="AL35" s="1">
        <v>0.47860049536339294</v>
      </c>
      <c r="AM35" s="1">
        <v>0.4614968918096391</v>
      </c>
      <c r="AN35" s="1">
        <v>0.4450214836702413</v>
      </c>
    </row>
    <row r="36" spans="1:40" x14ac:dyDescent="0.25">
      <c r="A36" t="s">
        <v>24</v>
      </c>
      <c r="B36" t="s">
        <v>22</v>
      </c>
      <c r="C36" t="s">
        <v>0</v>
      </c>
      <c r="D36" t="s">
        <v>23</v>
      </c>
      <c r="E36" s="2">
        <v>412.32154414029498</v>
      </c>
      <c r="F36" s="2">
        <v>440.21519007120355</v>
      </c>
      <c r="G36" s="2">
        <v>457.95667866186193</v>
      </c>
      <c r="H36" s="2">
        <v>448.22719514065324</v>
      </c>
      <c r="I36" s="2">
        <v>454.58081198371809</v>
      </c>
      <c r="J36" s="2">
        <v>474.43830133392009</v>
      </c>
      <c r="K36" s="2">
        <v>500.17762886928222</v>
      </c>
      <c r="L36" s="2">
        <v>536.68146255684792</v>
      </c>
      <c r="M36" s="2">
        <v>576.71551782489382</v>
      </c>
      <c r="N36" s="1">
        <v>617.83834563279288</v>
      </c>
      <c r="O36" s="1">
        <v>646.70768204015576</v>
      </c>
      <c r="P36" s="1">
        <v>702.03411146862516</v>
      </c>
      <c r="Q36" s="1">
        <v>744.38307574717635</v>
      </c>
      <c r="R36" s="1">
        <v>772.30300772619603</v>
      </c>
      <c r="S36" s="1">
        <v>794.46964366475095</v>
      </c>
      <c r="T36" s="1">
        <v>813.09508406267241</v>
      </c>
      <c r="U36" s="1">
        <v>836.59640082719307</v>
      </c>
      <c r="V36" s="1">
        <v>872.66720690281306</v>
      </c>
      <c r="W36" s="1">
        <v>907.94794969279656</v>
      </c>
      <c r="X36" s="1">
        <v>945.70920903266722</v>
      </c>
      <c r="Y36" s="1">
        <v>965.67395141992279</v>
      </c>
      <c r="Z36" s="1">
        <v>982.7031273547866</v>
      </c>
      <c r="AA36" s="1">
        <v>998.4820786175917</v>
      </c>
      <c r="AB36" s="1">
        <v>1012.6926814877563</v>
      </c>
      <c r="AC36" s="1">
        <v>1026.1607586218438</v>
      </c>
      <c r="AD36" s="1">
        <v>1040.2529557790604</v>
      </c>
      <c r="AE36" s="1">
        <v>1052.0338868973931</v>
      </c>
      <c r="AF36" s="1">
        <v>1059.9932310172719</v>
      </c>
      <c r="AG36" s="1">
        <v>1067.176869017793</v>
      </c>
      <c r="AH36" s="1">
        <v>1076.8317673173347</v>
      </c>
      <c r="AI36" s="1">
        <v>1083.8294347885017</v>
      </c>
      <c r="AJ36" s="1">
        <v>1089.460029250451</v>
      </c>
      <c r="AK36" s="1">
        <v>1093.6965632336423</v>
      </c>
      <c r="AL36" s="1">
        <v>1096.9923447109795</v>
      </c>
      <c r="AM36" s="1">
        <v>1099.6571425707605</v>
      </c>
      <c r="AN36" s="1">
        <v>1102.9084200289121</v>
      </c>
    </row>
    <row r="37" spans="1:40" x14ac:dyDescent="0.25">
      <c r="A37" t="s">
        <v>24</v>
      </c>
      <c r="B37" t="s">
        <v>22</v>
      </c>
      <c r="C37" t="s">
        <v>0</v>
      </c>
      <c r="D37" t="s">
        <v>1</v>
      </c>
      <c r="E37" s="2">
        <v>128.28831168826017</v>
      </c>
      <c r="F37" s="2">
        <v>126.34478897909185</v>
      </c>
      <c r="G37" s="2">
        <v>135.93874712035935</v>
      </c>
      <c r="H37" s="2">
        <v>135.62362013430291</v>
      </c>
      <c r="I37" s="2">
        <v>120.25932487977946</v>
      </c>
      <c r="J37" s="2">
        <v>122.30510334305794</v>
      </c>
      <c r="K37" s="2">
        <v>127.59119701118857</v>
      </c>
      <c r="L37" s="2">
        <v>131.12738866479708</v>
      </c>
      <c r="M37" s="2">
        <v>142.6632043022199</v>
      </c>
      <c r="N37" s="1">
        <v>141.65565775841318</v>
      </c>
      <c r="O37" s="1">
        <v>141.41773729505786</v>
      </c>
      <c r="P37" s="1">
        <v>148.9937590432244</v>
      </c>
      <c r="Q37" s="1">
        <v>148.87745569177781</v>
      </c>
      <c r="R37" s="1">
        <v>161.21470683141791</v>
      </c>
      <c r="S37" s="1">
        <v>164.23641365425476</v>
      </c>
      <c r="T37" s="1">
        <v>159.22703535805391</v>
      </c>
      <c r="U37" s="1">
        <v>160.07419665164988</v>
      </c>
      <c r="V37" s="1">
        <v>163.82060898885871</v>
      </c>
      <c r="W37" s="1">
        <v>164.75293186345402</v>
      </c>
      <c r="X37" s="1">
        <v>177.54356577945111</v>
      </c>
      <c r="Y37" s="1">
        <v>179.45078552129971</v>
      </c>
      <c r="Z37" s="1">
        <v>175.26032088587206</v>
      </c>
      <c r="AA37" s="1">
        <v>171.40702816006547</v>
      </c>
      <c r="AB37" s="1">
        <v>169.19607873549563</v>
      </c>
      <c r="AC37" s="1">
        <v>168.12037649363447</v>
      </c>
      <c r="AD37" s="1">
        <v>167.17531389856686</v>
      </c>
      <c r="AE37" s="1">
        <v>164.65126478551699</v>
      </c>
      <c r="AF37" s="1">
        <v>161.20834890596427</v>
      </c>
      <c r="AG37" s="1">
        <v>158.54288369152601</v>
      </c>
      <c r="AH37" s="1">
        <v>157.58386093204308</v>
      </c>
      <c r="AI37" s="1">
        <v>154.43116662024411</v>
      </c>
      <c r="AJ37" s="1">
        <v>152.2073655934233</v>
      </c>
      <c r="AK37" s="1">
        <v>149.82526453181367</v>
      </c>
      <c r="AL37" s="1">
        <v>147.01471768776855</v>
      </c>
      <c r="AM37" s="1">
        <v>144.1412307612423</v>
      </c>
      <c r="AN37" s="1">
        <v>142.15899987881187</v>
      </c>
    </row>
    <row r="38" spans="1:40" x14ac:dyDescent="0.25">
      <c r="A38" t="s">
        <v>24</v>
      </c>
      <c r="B38" t="s">
        <v>22</v>
      </c>
      <c r="C38" t="s">
        <v>0</v>
      </c>
      <c r="D38" t="s">
        <v>2</v>
      </c>
      <c r="E38" s="2">
        <v>88.501955631897658</v>
      </c>
      <c r="F38" s="2">
        <v>87.309644804647562</v>
      </c>
      <c r="G38" s="2">
        <v>84.839993919009089</v>
      </c>
      <c r="H38" s="2">
        <v>78.965096607133901</v>
      </c>
      <c r="I38" s="2">
        <v>73.336177106927792</v>
      </c>
      <c r="J38" s="2">
        <v>72.126752671620608</v>
      </c>
      <c r="K38" s="2">
        <v>72.012838004560294</v>
      </c>
      <c r="L38" s="2">
        <v>77.055157260830484</v>
      </c>
      <c r="M38" s="2">
        <v>77.95570492058205</v>
      </c>
      <c r="N38" s="1">
        <v>79.872764288036109</v>
      </c>
      <c r="O38" s="1">
        <v>79.640679451053629</v>
      </c>
      <c r="P38" s="1">
        <v>79.140045560903744</v>
      </c>
      <c r="Q38" s="1">
        <v>78.410524190087244</v>
      </c>
      <c r="R38" s="1">
        <v>77.761749513146526</v>
      </c>
      <c r="S38" s="1">
        <v>77.231351325956325</v>
      </c>
      <c r="T38" s="1">
        <v>76.868943536757087</v>
      </c>
      <c r="U38" s="1">
        <v>76.670140472243673</v>
      </c>
      <c r="V38" s="1">
        <v>76.717511305008486</v>
      </c>
      <c r="W38" s="1">
        <v>76.941086474584068</v>
      </c>
      <c r="X38" s="1">
        <v>77.19889395286485</v>
      </c>
      <c r="Y38" s="1">
        <v>77.481641240188381</v>
      </c>
      <c r="Z38" s="1">
        <v>77.774861925870184</v>
      </c>
      <c r="AA38" s="1">
        <v>78.039557112341299</v>
      </c>
      <c r="AB38" s="1">
        <v>78.195390455109816</v>
      </c>
      <c r="AC38" s="1">
        <v>78.095755976279065</v>
      </c>
      <c r="AD38" s="1">
        <v>77.80253464063756</v>
      </c>
      <c r="AE38" s="1">
        <v>77.34252495809892</v>
      </c>
      <c r="AF38" s="1">
        <v>76.672383474076625</v>
      </c>
      <c r="AG38" s="1">
        <v>75.818188206194193</v>
      </c>
      <c r="AH38" s="1">
        <v>74.873321675667867</v>
      </c>
      <c r="AI38" s="1">
        <v>73.824692668376713</v>
      </c>
      <c r="AJ38" s="1">
        <v>72.825046900327621</v>
      </c>
      <c r="AK38" s="1">
        <v>71.630262800993705</v>
      </c>
      <c r="AL38" s="1">
        <v>70.480899137190747</v>
      </c>
      <c r="AM38" s="1">
        <v>69.284302503624957</v>
      </c>
      <c r="AN38" s="1">
        <v>68.039169546879165</v>
      </c>
    </row>
    <row r="39" spans="1:40" x14ac:dyDescent="0.25">
      <c r="A39" t="s">
        <v>24</v>
      </c>
      <c r="B39" t="s">
        <v>22</v>
      </c>
      <c r="C39" t="s">
        <v>0</v>
      </c>
      <c r="D39" t="s">
        <v>3</v>
      </c>
      <c r="E39" s="2">
        <v>24.138661203698771</v>
      </c>
      <c r="F39" s="2">
        <v>24.807371355957283</v>
      </c>
      <c r="G39" s="2">
        <v>24.533500362219502</v>
      </c>
      <c r="H39" s="2">
        <v>23.111416481408192</v>
      </c>
      <c r="I39" s="2">
        <v>21.391199312079344</v>
      </c>
      <c r="J39" s="2">
        <v>20.997480935679917</v>
      </c>
      <c r="K39" s="2">
        <v>20.557344812437488</v>
      </c>
      <c r="L39" s="2">
        <v>20.096138549028552</v>
      </c>
      <c r="M39" s="2">
        <v>21.143769971954924</v>
      </c>
      <c r="N39" s="1">
        <v>24.896597558946336</v>
      </c>
      <c r="O39" s="1">
        <v>26.016642883480714</v>
      </c>
      <c r="P39" s="1">
        <v>26.93365738297398</v>
      </c>
      <c r="Q39" s="1">
        <v>27.747429466909619</v>
      </c>
      <c r="R39" s="1">
        <v>28.632831388063448</v>
      </c>
      <c r="S39" s="1">
        <v>29.723668922884606</v>
      </c>
      <c r="T39" s="1">
        <v>30.944206817091221</v>
      </c>
      <c r="U39" s="1">
        <v>32.254431079557996</v>
      </c>
      <c r="V39" s="1">
        <v>33.494796590832934</v>
      </c>
      <c r="W39" s="1">
        <v>34.556985941723156</v>
      </c>
      <c r="X39" s="1">
        <v>35.499266398286203</v>
      </c>
      <c r="Y39" s="1">
        <v>36.310244943913439</v>
      </c>
      <c r="Z39" s="1">
        <v>37.011278033091365</v>
      </c>
      <c r="AA39" s="1">
        <v>37.649830054033295</v>
      </c>
      <c r="AB39" s="1">
        <v>38.195334578244932</v>
      </c>
      <c r="AC39" s="1">
        <v>38.629397660707646</v>
      </c>
      <c r="AD39" s="1">
        <v>39.0825897479491</v>
      </c>
      <c r="AE39" s="1">
        <v>39.494422351282211</v>
      </c>
      <c r="AF39" s="1">
        <v>39.782305041808961</v>
      </c>
      <c r="AG39" s="1">
        <v>39.950759346441338</v>
      </c>
      <c r="AH39" s="1">
        <v>40.043219311639383</v>
      </c>
      <c r="AI39" s="1">
        <v>40.073283413165996</v>
      </c>
      <c r="AJ39" s="1">
        <v>40.081582912332607</v>
      </c>
      <c r="AK39" s="1">
        <v>40.072549519561484</v>
      </c>
      <c r="AL39" s="1">
        <v>40.059805802974559</v>
      </c>
      <c r="AM39" s="1">
        <v>40.054198275465971</v>
      </c>
      <c r="AN39" s="1">
        <v>40.043175611644919</v>
      </c>
    </row>
    <row r="40" spans="1:40" x14ac:dyDescent="0.25">
      <c r="A40" t="s">
        <v>24</v>
      </c>
      <c r="B40" t="s">
        <v>22</v>
      </c>
      <c r="C40" t="s">
        <v>0</v>
      </c>
      <c r="D40" t="s">
        <v>4</v>
      </c>
      <c r="E40" s="2">
        <v>2.0926156164383563</v>
      </c>
      <c r="F40" s="2">
        <v>2.3533849315068487</v>
      </c>
      <c r="G40" s="2">
        <v>2.7444372602739726</v>
      </c>
      <c r="H40" s="2">
        <v>3.1270619178082191</v>
      </c>
      <c r="I40" s="2">
        <v>2.894110684931507</v>
      </c>
      <c r="J40" s="2">
        <v>2.7089643835616446</v>
      </c>
      <c r="K40" s="2">
        <v>2.8162490410958907</v>
      </c>
      <c r="L40" s="2">
        <v>2.9027780821917806</v>
      </c>
      <c r="M40" s="2">
        <v>3.5528386301369865</v>
      </c>
      <c r="N40" s="1">
        <v>5.2133260273972599</v>
      </c>
      <c r="O40" s="1">
        <v>5.7259402558200181</v>
      </c>
      <c r="P40" s="1">
        <v>5.8335396782246436</v>
      </c>
      <c r="Q40" s="1">
        <v>5.9356565181739533</v>
      </c>
      <c r="R40" s="1">
        <v>6.0300599471870244</v>
      </c>
      <c r="S40" s="1">
        <v>6.060453631563659</v>
      </c>
      <c r="T40" s="1">
        <v>6.0806199561738961</v>
      </c>
      <c r="U40" s="1">
        <v>6.1806018768304121</v>
      </c>
      <c r="V40" s="1">
        <v>6.3900113765626516</v>
      </c>
      <c r="W40" s="1">
        <v>6.6075358507152115</v>
      </c>
      <c r="X40" s="1">
        <v>6.8090725245981236</v>
      </c>
      <c r="Y40" s="1">
        <v>7.0192037545757824</v>
      </c>
      <c r="Z40" s="1">
        <v>7.2210312216354371</v>
      </c>
      <c r="AA40" s="1">
        <v>7.4161287470097097</v>
      </c>
      <c r="AB40" s="1">
        <v>7.5950115117745653</v>
      </c>
      <c r="AC40" s="1">
        <v>7.7421769694059819</v>
      </c>
      <c r="AD40" s="1">
        <v>7.8588244579926929</v>
      </c>
      <c r="AE40" s="1">
        <v>7.94608622810913</v>
      </c>
      <c r="AF40" s="1">
        <v>7.9988855355118575</v>
      </c>
      <c r="AG40" s="1">
        <v>8.0144837240785041</v>
      </c>
      <c r="AH40" s="1">
        <v>8.0151034086232436</v>
      </c>
      <c r="AI40" s="1">
        <v>7.98242277911163</v>
      </c>
      <c r="AJ40" s="1">
        <v>7.9462330979130673</v>
      </c>
      <c r="AK40" s="1">
        <v>7.8997425285823439</v>
      </c>
      <c r="AL40" s="1">
        <v>7.8500611415542743</v>
      </c>
      <c r="AM40" s="1">
        <v>7.7847011963516906</v>
      </c>
      <c r="AN40" s="1">
        <v>7.7067209761568591</v>
      </c>
    </row>
    <row r="41" spans="1:40" x14ac:dyDescent="0.25">
      <c r="A41" t="s">
        <v>24</v>
      </c>
      <c r="B41" t="s">
        <v>22</v>
      </c>
      <c r="C41" t="s">
        <v>0</v>
      </c>
      <c r="D41" t="s">
        <v>5</v>
      </c>
      <c r="E41" s="2">
        <v>99.6</v>
      </c>
      <c r="F41" s="2">
        <v>120.9</v>
      </c>
      <c r="G41" s="2">
        <v>124.7</v>
      </c>
      <c r="H41" s="2">
        <v>114.7</v>
      </c>
      <c r="I41" s="2">
        <v>131.19999999999999</v>
      </c>
      <c r="J41" s="2">
        <v>136.19999999999999</v>
      </c>
      <c r="K41" s="2">
        <v>141.80000000000001</v>
      </c>
      <c r="L41" s="2">
        <v>147.80000000000001</v>
      </c>
      <c r="M41" s="2">
        <v>155.19999999999999</v>
      </c>
      <c r="N41" s="1">
        <v>165</v>
      </c>
      <c r="O41" s="1">
        <v>179.82124827044612</v>
      </c>
      <c r="P41" s="1">
        <v>200.07385662465876</v>
      </c>
      <c r="Q41" s="1">
        <v>216.87670618151901</v>
      </c>
      <c r="R41" s="1">
        <v>219.92259077820574</v>
      </c>
      <c r="S41" s="1">
        <v>225.78437605175574</v>
      </c>
      <c r="T41" s="1">
        <v>233.11160764369319</v>
      </c>
      <c r="U41" s="1">
        <v>234.5770539620807</v>
      </c>
      <c r="V41" s="1">
        <v>239.00620769604726</v>
      </c>
      <c r="W41" s="1">
        <v>246.08746868105158</v>
      </c>
      <c r="X41" s="1">
        <v>249.12578063647587</v>
      </c>
      <c r="Y41" s="1">
        <v>250.19857148199398</v>
      </c>
      <c r="Z41" s="1">
        <v>252.73961332784864</v>
      </c>
      <c r="AA41" s="1">
        <v>255.01477132493176</v>
      </c>
      <c r="AB41" s="1">
        <v>255.43547361729182</v>
      </c>
      <c r="AC41" s="1">
        <v>255.43547361729182</v>
      </c>
      <c r="AD41" s="1">
        <v>257.11828278673198</v>
      </c>
      <c r="AE41" s="1">
        <v>259.22179424853226</v>
      </c>
      <c r="AF41" s="1">
        <v>259.6424965408923</v>
      </c>
      <c r="AG41" s="1">
        <v>259.6424965408923</v>
      </c>
      <c r="AH41" s="1">
        <v>261.32530571033249</v>
      </c>
      <c r="AI41" s="1">
        <v>263.42881717213265</v>
      </c>
      <c r="AJ41" s="1">
        <v>263.84951946449274</v>
      </c>
      <c r="AK41" s="1">
        <v>263.84951946449274</v>
      </c>
      <c r="AL41" s="1">
        <v>263.84951946449274</v>
      </c>
      <c r="AM41" s="1">
        <v>263.84951946449274</v>
      </c>
      <c r="AN41" s="1">
        <v>263.84951946449274</v>
      </c>
    </row>
    <row r="42" spans="1:40" x14ac:dyDescent="0.25">
      <c r="A42" t="s">
        <v>24</v>
      </c>
      <c r="B42" t="s">
        <v>22</v>
      </c>
      <c r="C42" t="s">
        <v>0</v>
      </c>
      <c r="D42" t="s">
        <v>6</v>
      </c>
      <c r="E42" s="2">
        <v>69.7</v>
      </c>
      <c r="F42" s="2">
        <v>78.5</v>
      </c>
      <c r="G42" s="2">
        <v>85.2</v>
      </c>
      <c r="H42" s="2">
        <v>92.7</v>
      </c>
      <c r="I42" s="2">
        <v>105.5</v>
      </c>
      <c r="J42" s="2">
        <v>120.1</v>
      </c>
      <c r="K42" s="2">
        <v>135.4</v>
      </c>
      <c r="L42" s="2">
        <v>157.69999999999999</v>
      </c>
      <c r="M42" s="2">
        <v>176.2</v>
      </c>
      <c r="N42" s="1">
        <v>201.2</v>
      </c>
      <c r="O42" s="1">
        <v>214.08543388429752</v>
      </c>
      <c r="P42" s="1">
        <v>241.05925317863955</v>
      </c>
      <c r="Q42" s="1">
        <v>266.53530369870873</v>
      </c>
      <c r="R42" s="1">
        <v>278.74106926817535</v>
      </c>
      <c r="S42" s="1">
        <v>291.43338007833586</v>
      </c>
      <c r="T42" s="1">
        <v>306.86267075090319</v>
      </c>
      <c r="U42" s="1">
        <v>326.83997678483047</v>
      </c>
      <c r="V42" s="1">
        <v>353.23807094550307</v>
      </c>
      <c r="W42" s="1">
        <v>379.00194088126852</v>
      </c>
      <c r="X42" s="1">
        <v>399.53262974099107</v>
      </c>
      <c r="Y42" s="1">
        <v>415.21350447795146</v>
      </c>
      <c r="Z42" s="1">
        <v>432.6960219604689</v>
      </c>
      <c r="AA42" s="1">
        <v>448.95476321921018</v>
      </c>
      <c r="AB42" s="1">
        <v>464.07539258983951</v>
      </c>
      <c r="AC42" s="1">
        <v>478.13757790452485</v>
      </c>
      <c r="AD42" s="1">
        <v>491.21541024718226</v>
      </c>
      <c r="AE42" s="1">
        <v>503.37779432585359</v>
      </c>
      <c r="AF42" s="1">
        <v>514.68881151901792</v>
      </c>
      <c r="AG42" s="1">
        <v>525.20805750866066</v>
      </c>
      <c r="AH42" s="1">
        <v>534.99095627902852</v>
      </c>
      <c r="AI42" s="1">
        <v>544.08905213547052</v>
      </c>
      <c r="AJ42" s="1">
        <v>552.5502812819617</v>
      </c>
      <c r="AK42" s="1">
        <v>560.41922438819847</v>
      </c>
      <c r="AL42" s="1">
        <v>567.73734147699861</v>
      </c>
      <c r="AM42" s="1">
        <v>574.54319036958282</v>
      </c>
      <c r="AN42" s="1">
        <v>581.1108345509266</v>
      </c>
    </row>
    <row r="43" spans="1:40" x14ac:dyDescent="0.25">
      <c r="A43" t="s">
        <v>24</v>
      </c>
      <c r="B43" t="s">
        <v>22</v>
      </c>
      <c r="C43" t="s">
        <v>0</v>
      </c>
      <c r="D43" t="s">
        <v>7</v>
      </c>
      <c r="E43" s="2">
        <v>86.9</v>
      </c>
      <c r="F43" s="2">
        <v>104.6</v>
      </c>
      <c r="G43" s="2">
        <v>109.3</v>
      </c>
      <c r="H43" s="2">
        <v>103.9</v>
      </c>
      <c r="I43" s="2">
        <v>121.7</v>
      </c>
      <c r="J43" s="2">
        <v>126.3</v>
      </c>
      <c r="K43" s="2">
        <v>137.1</v>
      </c>
      <c r="L43" s="2">
        <v>145.19999999999999</v>
      </c>
      <c r="M43" s="2">
        <v>148.80000000000001</v>
      </c>
      <c r="N43" s="1">
        <v>151.69999999999999</v>
      </c>
      <c r="O43" s="1">
        <v>159.12428480610299</v>
      </c>
      <c r="P43" s="1">
        <v>161.87062937062939</v>
      </c>
      <c r="Q43" s="1">
        <v>167.94977749523204</v>
      </c>
      <c r="R43" s="1">
        <v>172.1694214876033</v>
      </c>
      <c r="S43" s="1">
        <v>177.86713286713285</v>
      </c>
      <c r="T43" s="1">
        <v>184.09527972027973</v>
      </c>
      <c r="U43" s="1">
        <v>185.34090909090909</v>
      </c>
      <c r="V43" s="1">
        <v>186.77129688493326</v>
      </c>
      <c r="W43" s="1">
        <v>188.55928162746343</v>
      </c>
      <c r="X43" s="1">
        <v>188.91687857596949</v>
      </c>
      <c r="Y43" s="1">
        <v>188.91687857596949</v>
      </c>
      <c r="Z43" s="1">
        <v>190.34726636999366</v>
      </c>
      <c r="AA43" s="1">
        <v>192.13525111252383</v>
      </c>
      <c r="AB43" s="1">
        <v>194.20931341385887</v>
      </c>
      <c r="AC43" s="1">
        <v>196.35489510489512</v>
      </c>
      <c r="AD43" s="1">
        <v>199.93086458995552</v>
      </c>
      <c r="AE43" s="1">
        <v>203.86443102352195</v>
      </c>
      <c r="AF43" s="1">
        <v>204.65114431023522</v>
      </c>
      <c r="AG43" s="1">
        <v>204.65114431023522</v>
      </c>
      <c r="AH43" s="1">
        <v>206.0815321042594</v>
      </c>
      <c r="AI43" s="1">
        <v>207.86951684678957</v>
      </c>
      <c r="AJ43" s="1">
        <v>208.22711379529562</v>
      </c>
      <c r="AK43" s="1">
        <v>208.22711379529562</v>
      </c>
      <c r="AL43" s="1">
        <v>208.22711379529562</v>
      </c>
      <c r="AM43" s="1">
        <v>208.22711379529562</v>
      </c>
      <c r="AN43" s="1">
        <v>208.22711379529562</v>
      </c>
    </row>
    <row r="44" spans="1:40" x14ac:dyDescent="0.25">
      <c r="A44" t="s">
        <v>24</v>
      </c>
      <c r="B44" t="s">
        <v>22</v>
      </c>
      <c r="C44" t="s">
        <v>8</v>
      </c>
      <c r="D44" t="s">
        <v>23</v>
      </c>
      <c r="E44" s="2">
        <v>282.20860407369861</v>
      </c>
      <c r="F44" s="2">
        <v>308.90460787041098</v>
      </c>
      <c r="G44" s="2">
        <v>316.64411771150685</v>
      </c>
      <c r="H44" s="2">
        <v>309.78232814821916</v>
      </c>
      <c r="I44" s="2">
        <v>331.01528414403236</v>
      </c>
      <c r="J44" s="2">
        <v>349.55594720934528</v>
      </c>
      <c r="K44" s="2">
        <v>374.75838962191779</v>
      </c>
      <c r="L44" s="2">
        <v>413.09346524712328</v>
      </c>
      <c r="M44" s="2">
        <v>444.75393532938045</v>
      </c>
      <c r="N44" s="1">
        <v>485.01773166914631</v>
      </c>
      <c r="O44" s="1">
        <v>513.28444658559215</v>
      </c>
      <c r="P44" s="1">
        <v>559.93839170963099</v>
      </c>
      <c r="Q44" s="1">
        <v>602.41677132260543</v>
      </c>
      <c r="R44" s="1">
        <v>617.99085232699338</v>
      </c>
      <c r="S44" s="1">
        <v>637.42047876758136</v>
      </c>
      <c r="T44" s="1">
        <v>661.48481289483016</v>
      </c>
      <c r="U44" s="1">
        <v>684.61554834057756</v>
      </c>
      <c r="V44" s="1">
        <v>717.48755453482215</v>
      </c>
      <c r="W44" s="1">
        <v>752.68118858795629</v>
      </c>
      <c r="X44" s="1">
        <v>778.68593227656686</v>
      </c>
      <c r="Y44" s="1">
        <v>797.84480983240155</v>
      </c>
      <c r="Z44" s="1">
        <v>820.22843783197595</v>
      </c>
      <c r="AA44" s="1">
        <v>841.06625950754778</v>
      </c>
      <c r="AB44" s="1">
        <v>858.68850153644485</v>
      </c>
      <c r="AC44" s="1">
        <v>874.39882819415266</v>
      </c>
      <c r="AD44" s="1">
        <v>890.48656637497106</v>
      </c>
      <c r="AE44" s="1">
        <v>905.71516059465409</v>
      </c>
      <c r="AF44" s="1">
        <v>917.8975616017766</v>
      </c>
      <c r="AG44" s="1">
        <v>928.30985154458176</v>
      </c>
      <c r="AH44" s="1">
        <v>939.43297893378804</v>
      </c>
      <c r="AI44" s="1">
        <v>949.87485875352695</v>
      </c>
      <c r="AJ44" s="1">
        <v>958.03279187632188</v>
      </c>
      <c r="AK44" s="1">
        <v>965.03899788205058</v>
      </c>
      <c r="AL44" s="1">
        <v>971.4729693851325</v>
      </c>
      <c r="AM44" s="1">
        <v>977.20378117461814</v>
      </c>
      <c r="AN44" s="1">
        <v>982.55414957072605</v>
      </c>
    </row>
    <row r="45" spans="1:40" x14ac:dyDescent="0.25">
      <c r="A45" t="s">
        <v>24</v>
      </c>
      <c r="B45" t="s">
        <v>22</v>
      </c>
      <c r="C45" t="s">
        <v>8</v>
      </c>
      <c r="D45" t="s">
        <v>1</v>
      </c>
      <c r="E45" s="2">
        <v>59.4</v>
      </c>
      <c r="F45" s="2">
        <v>57.2</v>
      </c>
      <c r="G45" s="2">
        <v>55.1</v>
      </c>
      <c r="H45" s="2">
        <v>55.1</v>
      </c>
      <c r="I45" s="2">
        <v>50.6</v>
      </c>
      <c r="J45" s="2">
        <v>50.7</v>
      </c>
      <c r="K45" s="2">
        <v>55.7</v>
      </c>
      <c r="L45" s="2">
        <v>65</v>
      </c>
      <c r="M45" s="2">
        <v>68.3</v>
      </c>
      <c r="N45" s="1">
        <v>69.48072267379213</v>
      </c>
      <c r="O45" s="1">
        <v>69.38264264366866</v>
      </c>
      <c r="P45" s="1">
        <v>68.921725825835011</v>
      </c>
      <c r="Q45" s="1">
        <v>68.968545402150212</v>
      </c>
      <c r="R45" s="1">
        <v>69.023722990567208</v>
      </c>
      <c r="S45" s="1">
        <v>69.405423896952058</v>
      </c>
      <c r="T45" s="1">
        <v>70.107573699723204</v>
      </c>
      <c r="U45" s="1">
        <v>71.052708962959585</v>
      </c>
      <c r="V45" s="1">
        <v>72.290948525251451</v>
      </c>
      <c r="W45" s="1">
        <v>73.836411863455098</v>
      </c>
      <c r="X45" s="1">
        <v>75.459138528950021</v>
      </c>
      <c r="Y45" s="1">
        <v>77.089140489329594</v>
      </c>
      <c r="Z45" s="1">
        <v>78.728069966167126</v>
      </c>
      <c r="AA45" s="1">
        <v>80.316461446242556</v>
      </c>
      <c r="AB45" s="1">
        <v>81.750104640327478</v>
      </c>
      <c r="AC45" s="1">
        <v>82.916655627583935</v>
      </c>
      <c r="AD45" s="1">
        <v>83.817410360457757</v>
      </c>
      <c r="AE45" s="1">
        <v>84.460285374894923</v>
      </c>
      <c r="AF45" s="1">
        <v>84.787231655267533</v>
      </c>
      <c r="AG45" s="1">
        <v>84.762219609523115</v>
      </c>
      <c r="AH45" s="1">
        <v>84.608467361335883</v>
      </c>
      <c r="AI45" s="1">
        <v>84.181382757032537</v>
      </c>
      <c r="AJ45" s="1">
        <v>83.76540357576765</v>
      </c>
      <c r="AK45" s="1">
        <v>83.245145323081388</v>
      </c>
      <c r="AL45" s="1">
        <v>82.698640015350904</v>
      </c>
      <c r="AM45" s="1">
        <v>81.981921612059068</v>
      </c>
      <c r="AN45" s="1">
        <v>81.148509204174815</v>
      </c>
    </row>
    <row r="46" spans="1:40" x14ac:dyDescent="0.25">
      <c r="A46" t="s">
        <v>24</v>
      </c>
      <c r="B46" t="s">
        <v>22</v>
      </c>
      <c r="C46" t="s">
        <v>8</v>
      </c>
      <c r="D46" t="s">
        <v>2</v>
      </c>
      <c r="E46" s="2">
        <v>31.4</v>
      </c>
      <c r="F46" s="2">
        <v>29.2</v>
      </c>
      <c r="G46" s="2">
        <v>28.3</v>
      </c>
      <c r="H46" s="2">
        <v>24.8</v>
      </c>
      <c r="I46" s="2">
        <v>22.7</v>
      </c>
      <c r="J46" s="2">
        <v>22.3</v>
      </c>
      <c r="K46" s="2">
        <v>22.2</v>
      </c>
      <c r="L46" s="2">
        <v>23.3</v>
      </c>
      <c r="M46" s="2">
        <v>24.3</v>
      </c>
      <c r="N46" s="1">
        <v>24.352287602542773</v>
      </c>
      <c r="O46" s="1">
        <v>23.93071286625695</v>
      </c>
      <c r="P46" s="1">
        <v>23.537359819459187</v>
      </c>
      <c r="Q46" s="1">
        <v>23.167733052559726</v>
      </c>
      <c r="R46" s="1">
        <v>22.840965694182643</v>
      </c>
      <c r="S46" s="1">
        <v>22.604840333254277</v>
      </c>
      <c r="T46" s="1">
        <v>22.438259168262196</v>
      </c>
      <c r="U46" s="1">
        <v>22.346409604136973</v>
      </c>
      <c r="V46" s="1">
        <v>22.33290766393803</v>
      </c>
      <c r="W46" s="1">
        <v>22.392623947299754</v>
      </c>
      <c r="X46" s="1">
        <v>22.485450370283324</v>
      </c>
      <c r="Y46" s="1">
        <v>22.591283346382827</v>
      </c>
      <c r="Z46" s="1">
        <v>22.711192255919428</v>
      </c>
      <c r="AA46" s="1">
        <v>22.833627171490448</v>
      </c>
      <c r="AB46" s="1">
        <v>22.933827628070507</v>
      </c>
      <c r="AC46" s="1">
        <v>22.982886724037478</v>
      </c>
      <c r="AD46" s="1">
        <v>22.97648061830062</v>
      </c>
      <c r="AE46" s="1">
        <v>22.917878997277153</v>
      </c>
      <c r="AF46" s="1">
        <v>22.792756965865596</v>
      </c>
      <c r="AG46" s="1">
        <v>22.590852990096707</v>
      </c>
      <c r="AH46" s="1">
        <v>22.355650195727829</v>
      </c>
      <c r="AI46" s="1">
        <v>22.038938621699018</v>
      </c>
      <c r="AJ46" s="1">
        <v>21.757512841491366</v>
      </c>
      <c r="AK46" s="1">
        <v>21.458429359712937</v>
      </c>
      <c r="AL46" s="1">
        <v>21.164333481375913</v>
      </c>
      <c r="AM46" s="1">
        <v>20.848947562197012</v>
      </c>
      <c r="AN46" s="1">
        <v>20.516292215210687</v>
      </c>
    </row>
    <row r="47" spans="1:40" x14ac:dyDescent="0.25">
      <c r="A47" t="s">
        <v>24</v>
      </c>
      <c r="B47" t="s">
        <v>22</v>
      </c>
      <c r="C47" t="s">
        <v>8</v>
      </c>
      <c r="D47" t="s">
        <v>3</v>
      </c>
      <c r="E47" s="2">
        <v>20.565848731232876</v>
      </c>
      <c r="F47" s="2">
        <v>21.351348966301373</v>
      </c>
      <c r="G47" s="2">
        <v>21.25555168410958</v>
      </c>
      <c r="H47" s="2">
        <v>20.072068970136986</v>
      </c>
      <c r="I47" s="2">
        <v>18.837373459100888</v>
      </c>
      <c r="J47" s="2">
        <v>18.333695154550721</v>
      </c>
      <c r="K47" s="2">
        <v>17.721337841095892</v>
      </c>
      <c r="L47" s="2">
        <v>17.291944699178085</v>
      </c>
      <c r="M47" s="2">
        <v>18.159458343079081</v>
      </c>
      <c r="N47" s="1">
        <v>21.232762368426656</v>
      </c>
      <c r="O47" s="1">
        <v>22.317746218164846</v>
      </c>
      <c r="P47" s="1">
        <v>22.624423066443427</v>
      </c>
      <c r="Q47" s="1">
        <v>23.144181535951635</v>
      </c>
      <c r="R47" s="1">
        <v>23.735222554371774</v>
      </c>
      <c r="S47" s="1">
        <v>24.444565516847998</v>
      </c>
      <c r="T47" s="1">
        <v>25.178892652463396</v>
      </c>
      <c r="U47" s="1">
        <v>25.962552742569937</v>
      </c>
      <c r="V47" s="1">
        <v>26.715708483718739</v>
      </c>
      <c r="W47" s="1">
        <v>27.375576974254692</v>
      </c>
      <c r="X47" s="1">
        <v>28.008139519303246</v>
      </c>
      <c r="Y47" s="1">
        <v>28.589496450319881</v>
      </c>
      <c r="Z47" s="1">
        <v>29.102224543398815</v>
      </c>
      <c r="AA47" s="1">
        <v>29.60954742757567</v>
      </c>
      <c r="AB47" s="1">
        <v>30.079197410337827</v>
      </c>
      <c r="AC47" s="1">
        <v>30.448734916825011</v>
      </c>
      <c r="AD47" s="1">
        <v>30.83284220283366</v>
      </c>
      <c r="AE47" s="1">
        <v>31.176552237851837</v>
      </c>
      <c r="AF47" s="1">
        <v>31.407754411348783</v>
      </c>
      <c r="AG47" s="1">
        <v>31.529065036494774</v>
      </c>
      <c r="AH47" s="1">
        <v>31.583742149851126</v>
      </c>
      <c r="AI47" s="1">
        <v>31.590873398312471</v>
      </c>
      <c r="AJ47" s="1">
        <v>31.58674291951694</v>
      </c>
      <c r="AK47" s="1">
        <v>31.571441499118617</v>
      </c>
      <c r="AL47" s="1">
        <v>31.557408386085434</v>
      </c>
      <c r="AM47" s="1">
        <v>31.553178399235371</v>
      </c>
      <c r="AN47" s="1">
        <v>31.54697463889573</v>
      </c>
    </row>
    <row r="48" spans="1:40" x14ac:dyDescent="0.25">
      <c r="A48" t="s">
        <v>24</v>
      </c>
      <c r="B48" t="s">
        <v>22</v>
      </c>
      <c r="C48" t="s">
        <v>8</v>
      </c>
      <c r="D48" t="s">
        <v>4</v>
      </c>
      <c r="E48" s="2">
        <v>1.5427553424657536</v>
      </c>
      <c r="F48" s="2">
        <v>1.7532589041095885</v>
      </c>
      <c r="G48" s="2">
        <v>2.0885660273972602</v>
      </c>
      <c r="H48" s="2">
        <v>2.4102591780821916</v>
      </c>
      <c r="I48" s="2">
        <v>2.1779106849315073</v>
      </c>
      <c r="J48" s="2">
        <v>1.922252054794521</v>
      </c>
      <c r="K48" s="2">
        <v>1.9370517808219181</v>
      </c>
      <c r="L48" s="2">
        <v>2.0015205479452054</v>
      </c>
      <c r="M48" s="2">
        <v>2.5944769863013697</v>
      </c>
      <c r="N48" s="1">
        <v>3.7833260273972598</v>
      </c>
      <c r="O48" s="1">
        <v>3.7466627027581074</v>
      </c>
      <c r="P48" s="1">
        <v>3.7217731945950905</v>
      </c>
      <c r="Q48" s="1">
        <v>3.7243014517161113</v>
      </c>
      <c r="R48" s="1">
        <v>3.7272810414906292</v>
      </c>
      <c r="S48" s="1">
        <v>3.747892890435411</v>
      </c>
      <c r="T48" s="1">
        <v>3.7858089797850529</v>
      </c>
      <c r="U48" s="1">
        <v>3.8368462839998174</v>
      </c>
      <c r="V48" s="1">
        <v>3.9037112203635784</v>
      </c>
      <c r="W48" s="1">
        <v>3.9871662406265753</v>
      </c>
      <c r="X48" s="1">
        <v>4.0747934805633008</v>
      </c>
      <c r="Y48" s="1">
        <v>4.1628135864237983</v>
      </c>
      <c r="Z48" s="1">
        <v>4.2513157781730246</v>
      </c>
      <c r="AA48" s="1">
        <v>4.3370889180970984</v>
      </c>
      <c r="AB48" s="1">
        <v>4.4145056505776834</v>
      </c>
      <c r="AC48" s="1">
        <v>4.4774994038895324</v>
      </c>
      <c r="AD48" s="1">
        <v>4.5261401594647186</v>
      </c>
      <c r="AE48" s="1">
        <v>4.5608554102443257</v>
      </c>
      <c r="AF48" s="1">
        <v>4.5785105093844471</v>
      </c>
      <c r="AG48" s="1">
        <v>4.5771598589142481</v>
      </c>
      <c r="AH48" s="1">
        <v>4.5688572375121375</v>
      </c>
      <c r="AI48" s="1">
        <v>4.5457946688797568</v>
      </c>
      <c r="AJ48" s="1">
        <v>4.5233317930914527</v>
      </c>
      <c r="AK48" s="1">
        <v>4.4952378474463952</v>
      </c>
      <c r="AL48" s="1">
        <v>4.4657265608289487</v>
      </c>
      <c r="AM48" s="1">
        <v>4.4270237670511898</v>
      </c>
      <c r="AN48" s="1">
        <v>4.38201949702544</v>
      </c>
    </row>
    <row r="49" spans="1:40" x14ac:dyDescent="0.25">
      <c r="A49" t="s">
        <v>24</v>
      </c>
      <c r="B49" t="s">
        <v>22</v>
      </c>
      <c r="C49" t="s">
        <v>8</v>
      </c>
      <c r="D49" t="s">
        <v>5</v>
      </c>
      <c r="E49" s="2">
        <v>99.6</v>
      </c>
      <c r="F49" s="2">
        <v>120.9</v>
      </c>
      <c r="G49" s="2">
        <v>124.7</v>
      </c>
      <c r="H49" s="2">
        <v>114.7</v>
      </c>
      <c r="I49" s="2">
        <v>131.19999999999999</v>
      </c>
      <c r="J49" s="2">
        <v>136.19999999999999</v>
      </c>
      <c r="K49" s="2">
        <v>141.80000000000001</v>
      </c>
      <c r="L49" s="2">
        <v>147.80000000000001</v>
      </c>
      <c r="M49" s="2">
        <v>155.19999999999999</v>
      </c>
      <c r="N49" s="1">
        <v>165</v>
      </c>
      <c r="O49" s="1">
        <v>179.82124827044612</v>
      </c>
      <c r="P49" s="1">
        <v>200.07385662465876</v>
      </c>
      <c r="Q49" s="1">
        <v>216.87670618151901</v>
      </c>
      <c r="R49" s="1">
        <v>219.92259077820574</v>
      </c>
      <c r="S49" s="1">
        <v>225.78437605175574</v>
      </c>
      <c r="T49" s="1">
        <v>233.11160764369319</v>
      </c>
      <c r="U49" s="1">
        <v>234.5770539620807</v>
      </c>
      <c r="V49" s="1">
        <v>239.00620769604726</v>
      </c>
      <c r="W49" s="1">
        <v>246.08746868105158</v>
      </c>
      <c r="X49" s="1">
        <v>249.12578063647587</v>
      </c>
      <c r="Y49" s="1">
        <v>250.19857148199398</v>
      </c>
      <c r="Z49" s="1">
        <v>252.73961332784864</v>
      </c>
      <c r="AA49" s="1">
        <v>255.01477132493176</v>
      </c>
      <c r="AB49" s="1">
        <v>255.43547361729182</v>
      </c>
      <c r="AC49" s="1">
        <v>255.43547361729182</v>
      </c>
      <c r="AD49" s="1">
        <v>257.11828278673198</v>
      </c>
      <c r="AE49" s="1">
        <v>259.22179424853226</v>
      </c>
      <c r="AF49" s="1">
        <v>259.6424965408923</v>
      </c>
      <c r="AG49" s="1">
        <v>259.6424965408923</v>
      </c>
      <c r="AH49" s="1">
        <v>261.32530571033249</v>
      </c>
      <c r="AI49" s="1">
        <v>263.42881717213265</v>
      </c>
      <c r="AJ49" s="1">
        <v>263.84951946449274</v>
      </c>
      <c r="AK49" s="1">
        <v>263.84951946449274</v>
      </c>
      <c r="AL49" s="1">
        <v>263.84951946449274</v>
      </c>
      <c r="AM49" s="1">
        <v>263.84951946449274</v>
      </c>
      <c r="AN49" s="1">
        <v>263.84951946449274</v>
      </c>
    </row>
    <row r="50" spans="1:40" x14ac:dyDescent="0.25">
      <c r="A50" t="s">
        <v>24</v>
      </c>
      <c r="B50" t="s">
        <v>22</v>
      </c>
      <c r="C50" t="s">
        <v>8</v>
      </c>
      <c r="D50" t="s">
        <v>6</v>
      </c>
      <c r="E50" s="2">
        <v>69.7</v>
      </c>
      <c r="F50" s="2">
        <v>78.5</v>
      </c>
      <c r="G50" s="2">
        <v>85.2</v>
      </c>
      <c r="H50" s="2">
        <v>92.7</v>
      </c>
      <c r="I50" s="2">
        <v>105.5</v>
      </c>
      <c r="J50" s="2">
        <v>120.1</v>
      </c>
      <c r="K50" s="2">
        <v>135.4</v>
      </c>
      <c r="L50" s="2">
        <v>157.69999999999999</v>
      </c>
      <c r="M50" s="2">
        <v>176.2</v>
      </c>
      <c r="N50" s="1">
        <v>201.2</v>
      </c>
      <c r="O50" s="1">
        <v>214.08543388429752</v>
      </c>
      <c r="P50" s="1">
        <v>241.05925317863955</v>
      </c>
      <c r="Q50" s="1">
        <v>266.53530369870873</v>
      </c>
      <c r="R50" s="1">
        <v>278.74106926817535</v>
      </c>
      <c r="S50" s="1">
        <v>291.43338007833586</v>
      </c>
      <c r="T50" s="1">
        <v>306.86267075090319</v>
      </c>
      <c r="U50" s="1">
        <v>326.83997678483047</v>
      </c>
      <c r="V50" s="1">
        <v>353.23807094550307</v>
      </c>
      <c r="W50" s="1">
        <v>379.00194088126852</v>
      </c>
      <c r="X50" s="1">
        <v>399.53262974099107</v>
      </c>
      <c r="Y50" s="1">
        <v>415.21350447795146</v>
      </c>
      <c r="Z50" s="1">
        <v>432.6960219604689</v>
      </c>
      <c r="AA50" s="1">
        <v>448.95476321921018</v>
      </c>
      <c r="AB50" s="1">
        <v>464.07539258983951</v>
      </c>
      <c r="AC50" s="1">
        <v>478.13757790452485</v>
      </c>
      <c r="AD50" s="1">
        <v>491.21541024718226</v>
      </c>
      <c r="AE50" s="1">
        <v>503.37779432585359</v>
      </c>
      <c r="AF50" s="1">
        <v>514.68881151901792</v>
      </c>
      <c r="AG50" s="1">
        <v>525.20805750866066</v>
      </c>
      <c r="AH50" s="1">
        <v>534.99095627902852</v>
      </c>
      <c r="AI50" s="1">
        <v>544.08905213547052</v>
      </c>
      <c r="AJ50" s="1">
        <v>552.5502812819617</v>
      </c>
      <c r="AK50" s="1">
        <v>560.41922438819847</v>
      </c>
      <c r="AL50" s="1">
        <v>567.73734147699861</v>
      </c>
      <c r="AM50" s="1">
        <v>574.54319036958282</v>
      </c>
      <c r="AN50" s="1">
        <v>581.1108345509266</v>
      </c>
    </row>
    <row r="51" spans="1:40" x14ac:dyDescent="0.25">
      <c r="A51" t="s">
        <v>24</v>
      </c>
      <c r="B51" t="s">
        <v>22</v>
      </c>
      <c r="C51" t="s">
        <v>8</v>
      </c>
      <c r="D51" t="s">
        <v>7</v>
      </c>
      <c r="E51" s="2">
        <v>86.9</v>
      </c>
      <c r="F51" s="2">
        <v>104.6</v>
      </c>
      <c r="G51" s="2">
        <v>109.3</v>
      </c>
      <c r="H51" s="2">
        <v>103.9</v>
      </c>
      <c r="I51" s="2">
        <v>121.7</v>
      </c>
      <c r="J51" s="2">
        <v>126.3</v>
      </c>
      <c r="K51" s="2">
        <v>137.1</v>
      </c>
      <c r="L51" s="2">
        <v>145.19999999999999</v>
      </c>
      <c r="M51" s="2">
        <v>148.80000000000001</v>
      </c>
      <c r="N51" s="1">
        <v>151.69999999999999</v>
      </c>
      <c r="O51" s="1">
        <v>159.12428480610299</v>
      </c>
      <c r="P51" s="1">
        <v>161.87062937062939</v>
      </c>
      <c r="Q51" s="1">
        <v>167.94977749523204</v>
      </c>
      <c r="R51" s="1">
        <v>172.1694214876033</v>
      </c>
      <c r="S51" s="1">
        <v>177.86713286713285</v>
      </c>
      <c r="T51" s="1">
        <v>184.09527972027973</v>
      </c>
      <c r="U51" s="1">
        <v>185.34090909090909</v>
      </c>
      <c r="V51" s="1">
        <v>186.77129688493326</v>
      </c>
      <c r="W51" s="1">
        <v>188.55928162746343</v>
      </c>
      <c r="X51" s="1">
        <v>188.91687857596949</v>
      </c>
      <c r="Y51" s="1">
        <v>188.91687857596949</v>
      </c>
      <c r="Z51" s="1">
        <v>190.34726636999366</v>
      </c>
      <c r="AA51" s="1">
        <v>192.13525111252383</v>
      </c>
      <c r="AB51" s="1">
        <v>194.20931341385887</v>
      </c>
      <c r="AC51" s="1">
        <v>196.35489510489512</v>
      </c>
      <c r="AD51" s="1">
        <v>199.93086458995552</v>
      </c>
      <c r="AE51" s="1">
        <v>203.86443102352195</v>
      </c>
      <c r="AF51" s="1">
        <v>204.65114431023522</v>
      </c>
      <c r="AG51" s="1">
        <v>204.65114431023522</v>
      </c>
      <c r="AH51" s="1">
        <v>206.0815321042594</v>
      </c>
      <c r="AI51" s="1">
        <v>207.86951684678957</v>
      </c>
      <c r="AJ51" s="1">
        <v>208.22711379529562</v>
      </c>
      <c r="AK51" s="1">
        <v>208.22711379529562</v>
      </c>
      <c r="AL51" s="1">
        <v>208.22711379529562</v>
      </c>
      <c r="AM51" s="1">
        <v>208.22711379529562</v>
      </c>
      <c r="AN51" s="1">
        <v>208.22711379529562</v>
      </c>
    </row>
    <row r="52" spans="1:40" x14ac:dyDescent="0.25">
      <c r="A52" t="s">
        <v>24</v>
      </c>
      <c r="B52" t="s">
        <v>22</v>
      </c>
      <c r="C52" t="s">
        <v>9</v>
      </c>
      <c r="D52" t="s">
        <v>23</v>
      </c>
      <c r="E52" s="1">
        <v>7.2869805479452054</v>
      </c>
      <c r="F52" s="1">
        <v>6.622195616438356</v>
      </c>
      <c r="G52" s="1">
        <v>6.1339942465753419</v>
      </c>
      <c r="H52" s="1">
        <v>5.5603625479452052</v>
      </c>
      <c r="I52" s="1">
        <v>5.4598043835616439</v>
      </c>
      <c r="J52" s="1">
        <v>5.553782739726028</v>
      </c>
      <c r="K52" s="1">
        <v>5.9021945205479458</v>
      </c>
      <c r="L52" s="1">
        <v>6.3079616438356165</v>
      </c>
      <c r="M52" s="1">
        <v>6.5653643835616444</v>
      </c>
      <c r="N52" s="1">
        <v>7.872738992871974</v>
      </c>
      <c r="O52" s="1">
        <v>9.0109923454887682</v>
      </c>
      <c r="P52" s="1">
        <v>9.7121309999233567</v>
      </c>
      <c r="Q52" s="1">
        <v>10.326885912596078</v>
      </c>
      <c r="R52" s="1">
        <v>10.916320331946078</v>
      </c>
      <c r="S52" s="1">
        <v>11.335637266894116</v>
      </c>
      <c r="T52" s="1">
        <v>11.754508133840012</v>
      </c>
      <c r="U52" s="1">
        <v>12.422822374440141</v>
      </c>
      <c r="V52" s="1">
        <v>13.338425868164578</v>
      </c>
      <c r="W52" s="1">
        <v>14.14697481048916</v>
      </c>
      <c r="X52" s="1">
        <v>14.806161008077558</v>
      </c>
      <c r="Y52" s="1">
        <v>15.410187940595771</v>
      </c>
      <c r="Z52" s="1">
        <v>15.949914718619652</v>
      </c>
      <c r="AA52" s="1">
        <v>16.426495785654559</v>
      </c>
      <c r="AB52" s="1">
        <v>16.82873355083467</v>
      </c>
      <c r="AC52" s="1">
        <v>17.167599517863895</v>
      </c>
      <c r="AD52" s="1">
        <v>17.463738005954568</v>
      </c>
      <c r="AE52" s="1">
        <v>17.711637932708669</v>
      </c>
      <c r="AF52" s="1">
        <v>17.89721620796254</v>
      </c>
      <c r="AG52" s="1">
        <v>18.020037833314767</v>
      </c>
      <c r="AH52" s="1">
        <v>18.11027253307412</v>
      </c>
      <c r="AI52" s="1">
        <v>18.129010481824103</v>
      </c>
      <c r="AJ52" s="1">
        <v>18.12429137766361</v>
      </c>
      <c r="AK52" s="1">
        <v>18.09775863075604</v>
      </c>
      <c r="AL52" s="1">
        <v>18.061832000846174</v>
      </c>
      <c r="AM52" s="1">
        <v>18.004024854586842</v>
      </c>
      <c r="AN52" s="1">
        <v>17.923111137579802</v>
      </c>
    </row>
    <row r="53" spans="1:40" x14ac:dyDescent="0.25">
      <c r="A53" t="s">
        <v>24</v>
      </c>
      <c r="B53" t="s">
        <v>22</v>
      </c>
      <c r="C53" t="s">
        <v>9</v>
      </c>
      <c r="D53" t="s">
        <v>1</v>
      </c>
      <c r="E53" s="1">
        <v>5.3115068493150686</v>
      </c>
      <c r="F53" s="1">
        <v>4.5769863013698631</v>
      </c>
      <c r="G53" s="1">
        <v>4.18958904109589</v>
      </c>
      <c r="H53" s="1">
        <v>3.6761643835616438</v>
      </c>
      <c r="I53" s="1">
        <v>3.4863013698630136</v>
      </c>
      <c r="J53" s="1">
        <v>3.35</v>
      </c>
      <c r="K53" s="1">
        <v>3.24</v>
      </c>
      <c r="L53" s="1">
        <v>3.38</v>
      </c>
      <c r="M53" s="1">
        <v>3.1434000000000002</v>
      </c>
      <c r="N53" s="1">
        <v>3.4303115956117001</v>
      </c>
      <c r="O53" s="1">
        <v>3.9585551061238218</v>
      </c>
      <c r="P53" s="1">
        <v>4.2235329672591062</v>
      </c>
      <c r="Q53" s="1">
        <v>4.4227101329156833</v>
      </c>
      <c r="R53" s="1">
        <v>4.6055578113927904</v>
      </c>
      <c r="S53" s="1">
        <v>4.6251214822564952</v>
      </c>
      <c r="T53" s="1">
        <v>4.5896219527776854</v>
      </c>
      <c r="U53" s="1">
        <v>4.6875111856611893</v>
      </c>
      <c r="V53" s="1">
        <v>4.9726003123981464</v>
      </c>
      <c r="W53" s="1">
        <v>5.2407392201772725</v>
      </c>
      <c r="X53" s="1">
        <v>5.4685580880696447</v>
      </c>
      <c r="Y53" s="1">
        <v>5.7127803363039691</v>
      </c>
      <c r="Z53" s="1">
        <v>5.9394308869248258</v>
      </c>
      <c r="AA53" s="1">
        <v>6.1580796578252235</v>
      </c>
      <c r="AB53" s="1">
        <v>6.361011722393763</v>
      </c>
      <c r="AC53" s="1">
        <v>6.5293551310328999</v>
      </c>
      <c r="AD53" s="1">
        <v>6.6653685970559478</v>
      </c>
      <c r="AE53" s="1">
        <v>6.7704616357296086</v>
      </c>
      <c r="AF53" s="1">
        <v>6.8407500522548208</v>
      </c>
      <c r="AG53" s="1">
        <v>6.8746477303285118</v>
      </c>
      <c r="AH53" s="1">
        <v>6.8924923422222104</v>
      </c>
      <c r="AI53" s="1">
        <v>6.8732562204637464</v>
      </c>
      <c r="AJ53" s="1">
        <v>6.8458026096432283</v>
      </c>
      <c r="AK53" s="1">
        <v>6.8090093622718983</v>
      </c>
      <c r="AL53" s="1">
        <v>6.768669161450652</v>
      </c>
      <c r="AM53" s="1">
        <v>6.7153548586010015</v>
      </c>
      <c r="AN53" s="1">
        <v>6.6494029582628391</v>
      </c>
    </row>
    <row r="54" spans="1:40" x14ac:dyDescent="0.25">
      <c r="A54" t="s">
        <v>24</v>
      </c>
      <c r="B54" t="s">
        <v>22</v>
      </c>
      <c r="C54" t="s">
        <v>9</v>
      </c>
      <c r="D54" t="s">
        <v>3</v>
      </c>
      <c r="E54" s="1">
        <v>1.4256134246575345</v>
      </c>
      <c r="F54" s="1">
        <v>1.4450832876712327</v>
      </c>
      <c r="G54" s="1">
        <v>1.2885339726027401</v>
      </c>
      <c r="H54" s="1">
        <v>1.1673954246575342</v>
      </c>
      <c r="I54" s="1">
        <v>1.2573030136986305</v>
      </c>
      <c r="J54" s="1">
        <v>1.4170704109589043</v>
      </c>
      <c r="K54" s="1">
        <v>1.7829972602739728</v>
      </c>
      <c r="L54" s="1">
        <v>2.0267041095890415</v>
      </c>
      <c r="M54" s="1">
        <v>2.4636027397260269</v>
      </c>
      <c r="N54" s="1">
        <v>3.0124273972602742</v>
      </c>
      <c r="O54" s="1">
        <v>3.0731596863030348</v>
      </c>
      <c r="P54" s="1">
        <v>3.3768315490346974</v>
      </c>
      <c r="Q54" s="1">
        <v>3.6928207132225532</v>
      </c>
      <c r="R54" s="1">
        <v>4.0079836148568928</v>
      </c>
      <c r="S54" s="1">
        <v>4.3979550435093726</v>
      </c>
      <c r="T54" s="1">
        <v>4.8700752046734843</v>
      </c>
      <c r="U54" s="1">
        <v>5.3915555959483568</v>
      </c>
      <c r="V54" s="1">
        <v>5.879525399567358</v>
      </c>
      <c r="W54" s="1">
        <v>6.2858659802232513</v>
      </c>
      <c r="X54" s="1">
        <v>6.6033238759730892</v>
      </c>
      <c r="Y54" s="1">
        <v>6.8410174361398175</v>
      </c>
      <c r="Z54" s="1">
        <v>7.0407683882324141</v>
      </c>
      <c r="AA54" s="1">
        <v>7.1893762989167227</v>
      </c>
      <c r="AB54" s="1">
        <v>7.287215967244026</v>
      </c>
      <c r="AC54" s="1">
        <v>7.3735668213145438</v>
      </c>
      <c r="AD54" s="1">
        <v>7.4656851103706465</v>
      </c>
      <c r="AE54" s="1">
        <v>7.5559454791142571</v>
      </c>
      <c r="AF54" s="1">
        <v>7.6360911295803104</v>
      </c>
      <c r="AG54" s="1">
        <v>7.7080662378219982</v>
      </c>
      <c r="AH54" s="1">
        <v>7.7715340197408045</v>
      </c>
      <c r="AI54" s="1">
        <v>7.8191261511284837</v>
      </c>
      <c r="AJ54" s="1">
        <v>7.8555874631987672</v>
      </c>
      <c r="AK54" s="1">
        <v>7.884244587348193</v>
      </c>
      <c r="AL54" s="1">
        <v>7.9088282586701961</v>
      </c>
      <c r="AM54" s="1">
        <v>7.9309925666853376</v>
      </c>
      <c r="AN54" s="1">
        <v>7.949006700185544</v>
      </c>
    </row>
    <row r="55" spans="1:40" x14ac:dyDescent="0.25">
      <c r="A55" t="s">
        <v>24</v>
      </c>
      <c r="B55" t="s">
        <v>22</v>
      </c>
      <c r="C55" t="s">
        <v>9</v>
      </c>
      <c r="D55" t="s">
        <v>10</v>
      </c>
      <c r="E55" s="1">
        <v>0.54986027397260273</v>
      </c>
      <c r="F55" s="1">
        <v>0.60012602739726029</v>
      </c>
      <c r="G55" s="1">
        <v>0.65587123287671234</v>
      </c>
      <c r="H55" s="1">
        <v>0.71680273972602748</v>
      </c>
      <c r="I55" s="1">
        <v>0.71619999999999984</v>
      </c>
      <c r="J55" s="1">
        <v>0.78671232876712338</v>
      </c>
      <c r="K55" s="1">
        <v>0.8791972602739726</v>
      </c>
      <c r="L55" s="1">
        <v>0.90125753424657529</v>
      </c>
      <c r="M55" s="1">
        <v>0.95836164383561662</v>
      </c>
      <c r="N55" s="1">
        <v>1.43</v>
      </c>
      <c r="O55" s="1">
        <v>1.9792775530619109</v>
      </c>
      <c r="P55" s="1">
        <v>2.1117664836295531</v>
      </c>
      <c r="Q55" s="1">
        <v>2.2113550664578416</v>
      </c>
      <c r="R55" s="1">
        <v>2.3027789056963952</v>
      </c>
      <c r="S55" s="1">
        <v>2.3125607411282476</v>
      </c>
      <c r="T55" s="1">
        <v>2.2948109763888427</v>
      </c>
      <c r="U55" s="1">
        <v>2.3437555928305946</v>
      </c>
      <c r="V55" s="1">
        <v>2.4863001561990732</v>
      </c>
      <c r="W55" s="1">
        <v>2.6203696100886362</v>
      </c>
      <c r="X55" s="1">
        <v>2.7342790440348224</v>
      </c>
      <c r="Y55" s="1">
        <v>2.8563901681519845</v>
      </c>
      <c r="Z55" s="1">
        <v>2.9697154434624129</v>
      </c>
      <c r="AA55" s="1">
        <v>3.0790398289126117</v>
      </c>
      <c r="AB55" s="1">
        <v>3.1805058611968815</v>
      </c>
      <c r="AC55" s="1">
        <v>3.2646775655164499</v>
      </c>
      <c r="AD55" s="1">
        <v>3.3326842985279739</v>
      </c>
      <c r="AE55" s="1">
        <v>3.3852308178648043</v>
      </c>
      <c r="AF55" s="1">
        <v>3.4203750261274104</v>
      </c>
      <c r="AG55" s="1">
        <v>3.4373238651642559</v>
      </c>
      <c r="AH55" s="1">
        <v>3.4462461711111052</v>
      </c>
      <c r="AI55" s="1">
        <v>3.4366281102318732</v>
      </c>
      <c r="AJ55" s="1">
        <v>3.4229013048216141</v>
      </c>
      <c r="AK55" s="1">
        <v>3.4045046811359492</v>
      </c>
      <c r="AL55" s="1">
        <v>3.384334580725326</v>
      </c>
      <c r="AM55" s="1">
        <v>3.3576774293005007</v>
      </c>
      <c r="AN55" s="1">
        <v>3.3247014791314196</v>
      </c>
    </row>
    <row r="56" spans="1:40" x14ac:dyDescent="0.25">
      <c r="A56" t="s">
        <v>24</v>
      </c>
      <c r="B56" t="s">
        <v>22</v>
      </c>
      <c r="C56" t="s">
        <v>11</v>
      </c>
      <c r="D56" t="s">
        <v>23</v>
      </c>
      <c r="E56" s="1">
        <v>2.2085945205479454</v>
      </c>
      <c r="F56" s="1">
        <v>3.015890410958904</v>
      </c>
      <c r="G56" s="1">
        <v>3.5317808219178084</v>
      </c>
      <c r="H56" s="1">
        <v>3.7389041095890412</v>
      </c>
      <c r="I56" s="1">
        <v>4.0769863013698631</v>
      </c>
      <c r="J56" s="1">
        <v>4.42</v>
      </c>
      <c r="K56" s="1">
        <v>6.46</v>
      </c>
      <c r="L56" s="1">
        <v>8.1199999999999992</v>
      </c>
      <c r="M56" s="1">
        <v>8.82</v>
      </c>
      <c r="N56" s="1">
        <v>7.3047777861937035</v>
      </c>
      <c r="O56" s="1">
        <v>6.1017382247334568</v>
      </c>
      <c r="P56" s="1">
        <v>5.4939117724053483</v>
      </c>
      <c r="Q56" s="1">
        <v>5.0744725372243238</v>
      </c>
      <c r="R56" s="1">
        <v>4.7338434999361656</v>
      </c>
      <c r="S56" s="1">
        <v>4.4811902987816925</v>
      </c>
      <c r="T56" s="1">
        <v>4.2799111143455697</v>
      </c>
      <c r="U56" s="1">
        <v>4.1153841133971039</v>
      </c>
      <c r="V56" s="1">
        <v>3.9933459603955264</v>
      </c>
      <c r="W56" s="1">
        <v>3.8945563047680212</v>
      </c>
      <c r="X56" s="1">
        <v>3.8141271406680541</v>
      </c>
      <c r="Y56" s="1">
        <v>3.7527759732944252</v>
      </c>
      <c r="Z56" s="1">
        <v>3.7076966919659777</v>
      </c>
      <c r="AA56" s="1">
        <v>3.6740729050289813</v>
      </c>
      <c r="AB56" s="1">
        <v>3.6419994260015209</v>
      </c>
      <c r="AC56" s="1">
        <v>3.6017636332998215</v>
      </c>
      <c r="AD56" s="1">
        <v>3.5523167340228996</v>
      </c>
      <c r="AE56" s="1">
        <v>3.4958466340993599</v>
      </c>
      <c r="AF56" s="1">
        <v>3.4421223822314753</v>
      </c>
      <c r="AG56" s="1">
        <v>3.3845806610027327</v>
      </c>
      <c r="AH56" s="1">
        <v>3.3167807116096841</v>
      </c>
      <c r="AI56" s="1">
        <v>3.232151987002676</v>
      </c>
      <c r="AJ56" s="1">
        <v>3.1470113342075807</v>
      </c>
      <c r="AK56" s="1">
        <v>3.0541554412840761</v>
      </c>
      <c r="AL56" s="1">
        <v>2.999112507663209</v>
      </c>
      <c r="AM56" s="1">
        <v>2.9479790950895608</v>
      </c>
      <c r="AN56" s="1">
        <v>2.8994191827788409</v>
      </c>
    </row>
    <row r="57" spans="1:40" x14ac:dyDescent="0.25">
      <c r="A57" t="s">
        <v>24</v>
      </c>
      <c r="B57" t="s">
        <v>22</v>
      </c>
      <c r="C57" t="s">
        <v>11</v>
      </c>
      <c r="D57" t="s">
        <v>1</v>
      </c>
      <c r="E57" s="1">
        <v>2.2085945205479454</v>
      </c>
      <c r="F57" s="1">
        <v>3.015890410958904</v>
      </c>
      <c r="G57" s="1">
        <v>3.5317808219178084</v>
      </c>
      <c r="H57" s="1">
        <v>3.7389041095890412</v>
      </c>
      <c r="I57" s="1">
        <v>4.0769863013698631</v>
      </c>
      <c r="J57" s="1">
        <v>4.42</v>
      </c>
      <c r="K57" s="1">
        <v>6.46</v>
      </c>
      <c r="L57" s="1">
        <v>8.1199999999999992</v>
      </c>
      <c r="M57" s="1">
        <v>8.82</v>
      </c>
      <c r="N57" s="1">
        <v>7.3047777861937035</v>
      </c>
      <c r="O57" s="1">
        <v>6.1017382247334568</v>
      </c>
      <c r="P57" s="1">
        <v>5.4939117724053483</v>
      </c>
      <c r="Q57" s="1">
        <v>5.0744725372243238</v>
      </c>
      <c r="R57" s="1">
        <v>4.7338434999361656</v>
      </c>
      <c r="S57" s="1">
        <v>4.4811902987816925</v>
      </c>
      <c r="T57" s="1">
        <v>4.2799111143455697</v>
      </c>
      <c r="U57" s="1">
        <v>4.1153841133971039</v>
      </c>
      <c r="V57" s="1">
        <v>3.9933459603955264</v>
      </c>
      <c r="W57" s="1">
        <v>3.8945563047680212</v>
      </c>
      <c r="X57" s="1">
        <v>3.8141271406680541</v>
      </c>
      <c r="Y57" s="1">
        <v>3.7527759732944252</v>
      </c>
      <c r="Z57" s="1">
        <v>3.7076966919659777</v>
      </c>
      <c r="AA57" s="1">
        <v>3.6740729050289813</v>
      </c>
      <c r="AB57" s="1">
        <v>3.6419994260015209</v>
      </c>
      <c r="AC57" s="1">
        <v>3.6017636332998215</v>
      </c>
      <c r="AD57" s="1">
        <v>3.5523167340228996</v>
      </c>
      <c r="AE57" s="1">
        <v>3.4958466340993599</v>
      </c>
      <c r="AF57" s="1">
        <v>3.4421223822314753</v>
      </c>
      <c r="AG57" s="1">
        <v>3.3845806610027327</v>
      </c>
      <c r="AH57" s="1">
        <v>3.3167807116096841</v>
      </c>
      <c r="AI57" s="1">
        <v>3.232151987002676</v>
      </c>
      <c r="AJ57" s="1">
        <v>3.1470113342075807</v>
      </c>
      <c r="AK57" s="1">
        <v>3.0541554412840761</v>
      </c>
      <c r="AL57" s="1">
        <v>2.999112507663209</v>
      </c>
      <c r="AM57" s="1">
        <v>2.9479790950895608</v>
      </c>
      <c r="AN57" s="1">
        <v>2.8994191827788409</v>
      </c>
    </row>
    <row r="58" spans="1:40" x14ac:dyDescent="0.25">
      <c r="A58" t="s">
        <v>24</v>
      </c>
      <c r="B58" t="s">
        <v>22</v>
      </c>
      <c r="C58" t="s">
        <v>12</v>
      </c>
      <c r="D58" t="s">
        <v>23</v>
      </c>
      <c r="E58" s="1">
        <v>48.466882191780826</v>
      </c>
      <c r="F58" s="1">
        <v>48.277846575342465</v>
      </c>
      <c r="G58" s="1">
        <v>58.576986301369864</v>
      </c>
      <c r="H58" s="1">
        <v>54.554520547945202</v>
      </c>
      <c r="I58" s="1">
        <v>42.550684931506844</v>
      </c>
      <c r="J58" s="1">
        <v>43.853011524244394</v>
      </c>
      <c r="K58" s="1">
        <v>42.14</v>
      </c>
      <c r="L58" s="1">
        <v>31.429560381305837</v>
      </c>
      <c r="M58" s="1">
        <v>36.872529243563093</v>
      </c>
      <c r="N58" s="1">
        <v>34.344578260774881</v>
      </c>
      <c r="O58" s="1">
        <v>34.276616398397984</v>
      </c>
      <c r="P58" s="1">
        <v>41.697857588474243</v>
      </c>
      <c r="Q58" s="1">
        <v>40.724082816903504</v>
      </c>
      <c r="R58" s="1">
        <v>52.192762443854711</v>
      </c>
      <c r="S58" s="1">
        <v>54.317024474232262</v>
      </c>
      <c r="T58" s="1">
        <v>48.052960053717918</v>
      </c>
      <c r="U58" s="1">
        <v>47.219768318872994</v>
      </c>
      <c r="V58" s="1">
        <v>48.641279140613889</v>
      </c>
      <c r="W58" s="1">
        <v>46.883325004948688</v>
      </c>
      <c r="X58" s="1">
        <v>56.992903529231796</v>
      </c>
      <c r="Y58" s="1">
        <v>56.175059201200639</v>
      </c>
      <c r="Z58" s="1">
        <v>49.289968027544987</v>
      </c>
      <c r="AA58" s="1">
        <v>42.84703374307059</v>
      </c>
      <c r="AB58" s="1">
        <v>38.340198304558427</v>
      </c>
      <c r="AC58" s="1">
        <v>35.450004467921524</v>
      </c>
      <c r="AD58" s="1">
        <v>33.089817737976183</v>
      </c>
      <c r="AE58" s="1">
        <v>29.586125559430133</v>
      </c>
      <c r="AF58" s="1">
        <v>25.668524205139889</v>
      </c>
      <c r="AG58" s="1">
        <v>23.044583929688027</v>
      </c>
      <c r="AH58" s="1">
        <v>22.557630716798684</v>
      </c>
      <c r="AI58" s="1">
        <v>20.43319681045206</v>
      </c>
      <c r="AJ58" s="1">
        <v>19.134418156837889</v>
      </c>
      <c r="AK58" s="1">
        <v>17.899435719924085</v>
      </c>
      <c r="AL58" s="1">
        <v>16.225623312562551</v>
      </c>
      <c r="AM58" s="1">
        <v>14.784909058161222</v>
      </c>
      <c r="AN58" s="1">
        <v>14.388013600179159</v>
      </c>
    </row>
    <row r="59" spans="1:40" x14ac:dyDescent="0.25">
      <c r="A59" t="s">
        <v>24</v>
      </c>
      <c r="B59" t="s">
        <v>22</v>
      </c>
      <c r="C59" t="s">
        <v>12</v>
      </c>
      <c r="D59" t="s">
        <v>1</v>
      </c>
      <c r="E59" s="1">
        <v>48.466882191780826</v>
      </c>
      <c r="F59" s="1">
        <v>48.277846575342465</v>
      </c>
      <c r="G59" s="1">
        <v>58.576986301369864</v>
      </c>
      <c r="H59" s="1">
        <v>54.554520547945202</v>
      </c>
      <c r="I59" s="1">
        <v>42.550684931506844</v>
      </c>
      <c r="J59" s="1">
        <v>43.853011524244394</v>
      </c>
      <c r="K59" s="1">
        <v>42.14</v>
      </c>
      <c r="L59" s="1">
        <v>31.429560381305837</v>
      </c>
      <c r="M59" s="1">
        <v>36.872529243563093</v>
      </c>
      <c r="N59" s="1">
        <v>34.344578260774881</v>
      </c>
      <c r="O59" s="1">
        <v>34.276616398397984</v>
      </c>
      <c r="P59" s="1">
        <v>41.697857588474243</v>
      </c>
      <c r="Q59" s="1">
        <v>40.724082816903504</v>
      </c>
      <c r="R59" s="1">
        <v>52.192762443854711</v>
      </c>
      <c r="S59" s="1">
        <v>54.317024474232262</v>
      </c>
      <c r="T59" s="1">
        <v>48.052960053717918</v>
      </c>
      <c r="U59" s="1">
        <v>47.219768318872994</v>
      </c>
      <c r="V59" s="1">
        <v>48.641279140613889</v>
      </c>
      <c r="W59" s="1">
        <v>46.883325004948688</v>
      </c>
      <c r="X59" s="1">
        <v>56.992903529231796</v>
      </c>
      <c r="Y59" s="1">
        <v>56.175059201200639</v>
      </c>
      <c r="Z59" s="1">
        <v>49.289968027544987</v>
      </c>
      <c r="AA59" s="1">
        <v>42.84703374307059</v>
      </c>
      <c r="AB59" s="1">
        <v>38.340198304558427</v>
      </c>
      <c r="AC59" s="1">
        <v>35.450004467921524</v>
      </c>
      <c r="AD59" s="1">
        <v>33.089817737976183</v>
      </c>
      <c r="AE59" s="1">
        <v>29.586125559430133</v>
      </c>
      <c r="AF59" s="1">
        <v>25.668524205139889</v>
      </c>
      <c r="AG59" s="1">
        <v>23.044583929688027</v>
      </c>
      <c r="AH59" s="1">
        <v>22.557630716798684</v>
      </c>
      <c r="AI59" s="1">
        <v>20.43319681045206</v>
      </c>
      <c r="AJ59" s="1">
        <v>19.134418156837889</v>
      </c>
      <c r="AK59" s="1">
        <v>17.899435719924085</v>
      </c>
      <c r="AL59" s="1">
        <v>16.225623312562551</v>
      </c>
      <c r="AM59" s="1">
        <v>14.784909058161222</v>
      </c>
      <c r="AN59" s="1">
        <v>14.388013600179159</v>
      </c>
    </row>
    <row r="60" spans="1:40" x14ac:dyDescent="0.25">
      <c r="A60" t="s">
        <v>24</v>
      </c>
      <c r="B60" t="s">
        <v>22</v>
      </c>
      <c r="C60" t="s">
        <v>13</v>
      </c>
      <c r="D60" t="s">
        <v>23</v>
      </c>
      <c r="E60" s="1">
        <v>2.9858876712328768</v>
      </c>
      <c r="F60" s="1">
        <v>2.9663753424657533</v>
      </c>
      <c r="G60" s="1">
        <v>2.7860273972602738</v>
      </c>
      <c r="H60" s="1">
        <v>2.5797260273972604</v>
      </c>
      <c r="I60" s="1">
        <v>2.4693150684931506</v>
      </c>
      <c r="J60" s="1">
        <v>2.39</v>
      </c>
      <c r="K60" s="1">
        <v>1.67</v>
      </c>
      <c r="L60" s="1">
        <v>2.0670000000000002</v>
      </c>
      <c r="M60" s="1">
        <v>1.9636499999999999</v>
      </c>
      <c r="N60" s="1">
        <v>1.69</v>
      </c>
      <c r="O60" s="1">
        <v>1.6154392349205695</v>
      </c>
      <c r="P60" s="1">
        <v>1.5423406095404135</v>
      </c>
      <c r="Q60" s="1">
        <v>1.4725496969587097</v>
      </c>
      <c r="R60" s="1">
        <v>1.4059168231713279</v>
      </c>
      <c r="S60" s="1">
        <v>1.3422990869228251</v>
      </c>
      <c r="T60" s="1">
        <v>1.281560053239567</v>
      </c>
      <c r="U60" s="1">
        <v>1.2235694608304766</v>
      </c>
      <c r="V60" s="1">
        <v>1.168202942727897</v>
      </c>
      <c r="W60" s="1">
        <v>1.1153417595694597</v>
      </c>
      <c r="X60" s="1">
        <v>1.0648725449489413</v>
      </c>
      <c r="Y60" s="1">
        <v>1.0166870622900017</v>
      </c>
      <c r="Z60" s="1">
        <v>0.97068197272137913</v>
      </c>
      <c r="AA60" s="1">
        <v>0.9267586134557364</v>
      </c>
      <c r="AB60" s="1">
        <v>0.88482278619686439</v>
      </c>
      <c r="AC60" s="1">
        <v>0.84478455512145612</v>
      </c>
      <c r="AD60" s="1">
        <v>0.80655805400221015</v>
      </c>
      <c r="AE60" s="1">
        <v>0.77006130205861001</v>
      </c>
      <c r="AF60" s="1">
        <v>0.73521602814045772</v>
      </c>
      <c r="AG60" s="1">
        <v>0.70194750286710195</v>
      </c>
      <c r="AH60" s="1">
        <v>0.60753930008184476</v>
      </c>
      <c r="AI60" s="1">
        <v>0.5771623350777525</v>
      </c>
      <c r="AJ60" s="1">
        <v>0.54830421832386489</v>
      </c>
      <c r="AK60" s="1">
        <v>0.52088900740767163</v>
      </c>
      <c r="AL60" s="1">
        <v>0.49484455703728802</v>
      </c>
      <c r="AM60" s="1">
        <v>0.47010232918542361</v>
      </c>
      <c r="AN60" s="1">
        <v>0.44659721272615238</v>
      </c>
    </row>
    <row r="61" spans="1:40" x14ac:dyDescent="0.25">
      <c r="A61" t="s">
        <v>24</v>
      </c>
      <c r="B61" t="s">
        <v>22</v>
      </c>
      <c r="C61" t="s">
        <v>13</v>
      </c>
      <c r="D61" t="s">
        <v>1</v>
      </c>
      <c r="E61" s="1">
        <v>2.9858876712328768</v>
      </c>
      <c r="F61" s="1">
        <v>2.9663753424657533</v>
      </c>
      <c r="G61" s="1">
        <v>2.7860273972602738</v>
      </c>
      <c r="H61" s="1">
        <v>2.5797260273972604</v>
      </c>
      <c r="I61" s="1">
        <v>2.4693150684931506</v>
      </c>
      <c r="J61" s="1">
        <v>2.39</v>
      </c>
      <c r="K61" s="1">
        <v>1.67</v>
      </c>
      <c r="L61" s="1">
        <v>2.0670000000000002</v>
      </c>
      <c r="M61" s="1">
        <v>1.9636499999999999</v>
      </c>
      <c r="N61" s="1">
        <v>1.69</v>
      </c>
      <c r="O61" s="1">
        <v>1.6154392349205695</v>
      </c>
      <c r="P61" s="1">
        <v>1.5423406095404135</v>
      </c>
      <c r="Q61" s="1">
        <v>1.4725496969587097</v>
      </c>
      <c r="R61" s="1">
        <v>1.4059168231713279</v>
      </c>
      <c r="S61" s="1">
        <v>1.3422990869228251</v>
      </c>
      <c r="T61" s="1">
        <v>1.281560053239567</v>
      </c>
      <c r="U61" s="1">
        <v>1.2235694608304766</v>
      </c>
      <c r="V61" s="1">
        <v>1.168202942727897</v>
      </c>
      <c r="W61" s="1">
        <v>1.1153417595694597</v>
      </c>
      <c r="X61" s="1">
        <v>1.0648725449489413</v>
      </c>
      <c r="Y61" s="1">
        <v>1.0166870622900017</v>
      </c>
      <c r="Z61" s="1">
        <v>0.97068197272137913</v>
      </c>
      <c r="AA61" s="1">
        <v>0.9267586134557364</v>
      </c>
      <c r="AB61" s="1">
        <v>0.88482278619686439</v>
      </c>
      <c r="AC61" s="1">
        <v>0.84478455512145612</v>
      </c>
      <c r="AD61" s="1">
        <v>0.80655805400221015</v>
      </c>
      <c r="AE61" s="1">
        <v>0.77006130205861001</v>
      </c>
      <c r="AF61" s="1">
        <v>0.73521602814045772</v>
      </c>
      <c r="AG61" s="1">
        <v>0.70194750286710195</v>
      </c>
      <c r="AH61" s="1">
        <v>0.60753930008184476</v>
      </c>
      <c r="AI61" s="1">
        <v>0.5771623350777525</v>
      </c>
      <c r="AJ61" s="1">
        <v>0.54830421832386489</v>
      </c>
      <c r="AK61" s="1">
        <v>0.52088900740767163</v>
      </c>
      <c r="AL61" s="1">
        <v>0.49484455703728802</v>
      </c>
      <c r="AM61" s="1">
        <v>0.47010232918542361</v>
      </c>
      <c r="AN61" s="1">
        <v>0.44659721272615238</v>
      </c>
    </row>
    <row r="62" spans="1:40" x14ac:dyDescent="0.25">
      <c r="A62" t="s">
        <v>24</v>
      </c>
      <c r="B62" t="s">
        <v>22</v>
      </c>
      <c r="C62" t="s">
        <v>14</v>
      </c>
      <c r="D62" t="s">
        <v>23</v>
      </c>
      <c r="E62" s="1">
        <v>2.0546041095890408</v>
      </c>
      <c r="F62" s="1">
        <v>1.9127178082191778</v>
      </c>
      <c r="G62" s="1">
        <v>1.8855501369863013</v>
      </c>
      <c r="H62" s="1">
        <v>1.7537218579234968</v>
      </c>
      <c r="I62" s="1">
        <v>1.1252249315068492</v>
      </c>
      <c r="J62" s="1">
        <v>1.0665109589041095</v>
      </c>
      <c r="K62" s="1">
        <v>0.8600093150684931</v>
      </c>
      <c r="L62" s="1">
        <v>0.58448934426229504</v>
      </c>
      <c r="M62" s="1">
        <v>0.3277084931506849</v>
      </c>
      <c r="N62" s="1">
        <v>0.46</v>
      </c>
      <c r="O62" s="1">
        <v>0.43273658301369861</v>
      </c>
      <c r="P62" s="1">
        <v>0.40738720503606557</v>
      </c>
      <c r="Q62" s="1">
        <v>0.38562714764049533</v>
      </c>
      <c r="R62" s="1">
        <v>0.36403202737262752</v>
      </c>
      <c r="S62" s="1">
        <v>0.3436462338397604</v>
      </c>
      <c r="T62" s="1">
        <v>0.32351570036018534</v>
      </c>
      <c r="U62" s="1">
        <v>0.30623553023902866</v>
      </c>
      <c r="V62" s="1">
        <v>0.28908634054564303</v>
      </c>
      <c r="W62" s="1">
        <v>0.27289750547508701</v>
      </c>
      <c r="X62" s="1">
        <v>0.25691137837840433</v>
      </c>
      <c r="Y62" s="1">
        <v>0.24318879143904712</v>
      </c>
      <c r="Z62" s="1">
        <v>0.22957021911846046</v>
      </c>
      <c r="AA62" s="1">
        <v>0.21671428684782665</v>
      </c>
      <c r="AB62" s="1">
        <v>0.20401932971663156</v>
      </c>
      <c r="AC62" s="1">
        <v>0.19312190272442484</v>
      </c>
      <c r="AD62" s="1">
        <v>0.18230707617185704</v>
      </c>
      <c r="AE62" s="1">
        <v>0.17209787990623304</v>
      </c>
      <c r="AF62" s="1">
        <v>0.16201651776090617</v>
      </c>
      <c r="AG62" s="1">
        <v>0.15336261630812087</v>
      </c>
      <c r="AH62" s="1">
        <v>0.14477430979486611</v>
      </c>
      <c r="AI62" s="1">
        <v>0.1366669484463536</v>
      </c>
      <c r="AJ62" s="1">
        <v>0.12866110316031584</v>
      </c>
      <c r="AK62" s="1">
        <v>0.12178883777068976</v>
      </c>
      <c r="AL62" s="1">
        <v>0.11496866285553113</v>
      </c>
      <c r="AM62" s="1">
        <v>0.10853041773562137</v>
      </c>
      <c r="AN62" s="1">
        <v>0.10217278889340355</v>
      </c>
    </row>
    <row r="63" spans="1:40" x14ac:dyDescent="0.25">
      <c r="A63" t="s">
        <v>24</v>
      </c>
      <c r="B63" t="s">
        <v>22</v>
      </c>
      <c r="C63" t="s">
        <v>14</v>
      </c>
      <c r="D63" t="s">
        <v>3</v>
      </c>
      <c r="E63" s="1">
        <v>2.0546041095890408</v>
      </c>
      <c r="F63" s="1">
        <v>1.9127178082191778</v>
      </c>
      <c r="G63" s="1">
        <v>1.8855501369863013</v>
      </c>
      <c r="H63" s="1">
        <v>1.7537218579234968</v>
      </c>
      <c r="I63" s="1">
        <v>1.1252249315068492</v>
      </c>
      <c r="J63" s="1">
        <v>1.0665109589041095</v>
      </c>
      <c r="K63" s="1">
        <v>0.8600093150684931</v>
      </c>
      <c r="L63" s="1">
        <v>0.58448934426229504</v>
      </c>
      <c r="M63" s="1">
        <v>0.3277084931506849</v>
      </c>
      <c r="N63" s="1">
        <v>0.45840739726027402</v>
      </c>
      <c r="O63" s="1">
        <v>0.43273658301369861</v>
      </c>
      <c r="P63" s="1">
        <v>0.40738720503606557</v>
      </c>
      <c r="Q63" s="1">
        <v>0.38562714764049533</v>
      </c>
      <c r="R63" s="1">
        <v>0.36403202737262752</v>
      </c>
      <c r="S63" s="1">
        <v>0.3436462338397604</v>
      </c>
      <c r="T63" s="1">
        <v>0.32351570036018534</v>
      </c>
      <c r="U63" s="1">
        <v>0.30623553023902866</v>
      </c>
      <c r="V63" s="1">
        <v>0.28908634054564303</v>
      </c>
      <c r="W63" s="1">
        <v>0.27289750547508701</v>
      </c>
      <c r="X63" s="1">
        <v>0.25691137837840433</v>
      </c>
      <c r="Y63" s="1">
        <v>0.24318879143904712</v>
      </c>
      <c r="Z63" s="1">
        <v>0.22957021911846046</v>
      </c>
      <c r="AA63" s="1">
        <v>0.21671428684782665</v>
      </c>
      <c r="AB63" s="1">
        <v>0.20401932971663156</v>
      </c>
      <c r="AC63" s="1">
        <v>0.19312190272442484</v>
      </c>
      <c r="AD63" s="1">
        <v>0.18230707617185704</v>
      </c>
      <c r="AE63" s="1">
        <v>0.17209787990623304</v>
      </c>
      <c r="AF63" s="1">
        <v>0.16201651776090617</v>
      </c>
      <c r="AG63" s="1">
        <v>0.15336261630812087</v>
      </c>
      <c r="AH63" s="1">
        <v>0.14477430979486611</v>
      </c>
      <c r="AI63" s="1">
        <v>0.1366669484463536</v>
      </c>
      <c r="AJ63" s="1">
        <v>0.12866110316031584</v>
      </c>
      <c r="AK63" s="1">
        <v>0.12178883777068976</v>
      </c>
      <c r="AL63" s="1">
        <v>0.11496866285553113</v>
      </c>
      <c r="AM63" s="1">
        <v>0.10853041773562137</v>
      </c>
      <c r="AN63" s="1">
        <v>0.10217278889340355</v>
      </c>
    </row>
    <row r="64" spans="1:40" x14ac:dyDescent="0.25">
      <c r="A64" t="s">
        <v>24</v>
      </c>
      <c r="B64" t="s">
        <v>22</v>
      </c>
      <c r="C64" t="s">
        <v>15</v>
      </c>
      <c r="D64" t="s">
        <v>23</v>
      </c>
      <c r="E64" s="1">
        <v>0.38451041602662572</v>
      </c>
      <c r="F64" s="1">
        <v>0.35441595195212494</v>
      </c>
      <c r="G64" s="1">
        <v>0.33669515435451869</v>
      </c>
      <c r="H64" s="1">
        <v>0.26958904109589044</v>
      </c>
      <c r="I64" s="1">
        <v>0.24958904109589042</v>
      </c>
      <c r="J64" s="1">
        <v>0.24</v>
      </c>
      <c r="K64" s="1">
        <v>0.22320000000000001</v>
      </c>
      <c r="L64" s="1">
        <v>0.22</v>
      </c>
      <c r="M64" s="1">
        <v>0.2046</v>
      </c>
      <c r="N64" s="1">
        <v>0.190278</v>
      </c>
      <c r="O64" s="1">
        <v>0.18647243999999999</v>
      </c>
      <c r="P64" s="1">
        <v>0.18274299119999998</v>
      </c>
      <c r="Q64" s="1">
        <v>0.17908813137599999</v>
      </c>
      <c r="R64" s="1">
        <v>0.17550636874848</v>
      </c>
      <c r="S64" s="1">
        <v>0.17199624137351038</v>
      </c>
      <c r="T64" s="1">
        <v>0.16855631654604017</v>
      </c>
      <c r="U64" s="1">
        <v>0.16518519021511938</v>
      </c>
      <c r="V64" s="1">
        <v>0.16188148641081698</v>
      </c>
      <c r="W64" s="1">
        <v>0.15864385668260064</v>
      </c>
      <c r="X64" s="1">
        <v>0.15547097954894862</v>
      </c>
      <c r="Y64" s="1">
        <v>0.15236155995796966</v>
      </c>
      <c r="Z64" s="1">
        <v>0.14931432875881026</v>
      </c>
      <c r="AA64" s="1">
        <v>0.14632804218363404</v>
      </c>
      <c r="AB64" s="1">
        <v>0.14340148133996136</v>
      </c>
      <c r="AC64" s="1">
        <v>0.14053345171316214</v>
      </c>
      <c r="AD64" s="1">
        <v>0.1377227826788989</v>
      </c>
      <c r="AE64" s="1">
        <v>0.13496832702532091</v>
      </c>
      <c r="AF64" s="1">
        <v>0.13226896048481449</v>
      </c>
      <c r="AG64" s="1">
        <v>0.12962358127511819</v>
      </c>
      <c r="AH64" s="1">
        <v>0.12703110964961584</v>
      </c>
      <c r="AI64" s="1">
        <v>0.12449048745662351</v>
      </c>
      <c r="AJ64" s="1">
        <v>0.12200067770749104</v>
      </c>
      <c r="AK64" s="1">
        <v>0.11956066415334121</v>
      </c>
      <c r="AL64" s="1">
        <v>0.11716945087027439</v>
      </c>
      <c r="AM64" s="1">
        <v>0.11482606185286889</v>
      </c>
      <c r="AN64" s="1">
        <v>0.11252954061581151</v>
      </c>
    </row>
    <row r="65" spans="1:40" x14ac:dyDescent="0.25">
      <c r="A65" t="s">
        <v>24</v>
      </c>
      <c r="B65" t="s">
        <v>22</v>
      </c>
      <c r="C65" t="s">
        <v>15</v>
      </c>
      <c r="D65" t="s">
        <v>1</v>
      </c>
      <c r="E65" s="1">
        <v>0.37693698630136985</v>
      </c>
      <c r="F65" s="1">
        <v>0.34152602739726029</v>
      </c>
      <c r="G65" s="1">
        <v>0.29972602739726029</v>
      </c>
      <c r="H65" s="1">
        <v>0.26958904109589044</v>
      </c>
      <c r="I65" s="1">
        <v>0.24958904109589042</v>
      </c>
      <c r="J65" s="1">
        <v>0.24</v>
      </c>
      <c r="K65" s="1">
        <v>0.22320000000000001</v>
      </c>
      <c r="L65" s="1">
        <v>0.22</v>
      </c>
      <c r="M65" s="1">
        <v>0.2046</v>
      </c>
      <c r="N65" s="1">
        <v>0.190278</v>
      </c>
      <c r="O65" s="1">
        <v>0.18647243999999999</v>
      </c>
      <c r="P65" s="1">
        <v>0.18274299119999998</v>
      </c>
      <c r="Q65" s="1">
        <v>0.17908813137599999</v>
      </c>
      <c r="R65" s="1">
        <v>0.17550636874848</v>
      </c>
      <c r="S65" s="1">
        <v>0.17199624137351038</v>
      </c>
      <c r="T65" s="1">
        <v>0.16855631654604017</v>
      </c>
      <c r="U65" s="1">
        <v>0.16518519021511938</v>
      </c>
      <c r="V65" s="1">
        <v>0.16188148641081698</v>
      </c>
      <c r="W65" s="1">
        <v>0.15864385668260064</v>
      </c>
      <c r="X65" s="1">
        <v>0.15547097954894862</v>
      </c>
      <c r="Y65" s="1">
        <v>0.15236155995796966</v>
      </c>
      <c r="Z65" s="1">
        <v>0.14931432875881026</v>
      </c>
      <c r="AA65" s="1">
        <v>0.14632804218363404</v>
      </c>
      <c r="AB65" s="1">
        <v>0.14340148133996136</v>
      </c>
      <c r="AC65" s="1">
        <v>0.14053345171316214</v>
      </c>
      <c r="AD65" s="1">
        <v>0.1377227826788989</v>
      </c>
      <c r="AE65" s="1">
        <v>0.13496832702532091</v>
      </c>
      <c r="AF65" s="1">
        <v>0.13226896048481449</v>
      </c>
      <c r="AG65" s="1">
        <v>0.12962358127511819</v>
      </c>
      <c r="AH65" s="1">
        <v>0.12703110964961584</v>
      </c>
      <c r="AI65" s="1">
        <v>0.12449048745662351</v>
      </c>
      <c r="AJ65" s="1">
        <v>0.12200067770749104</v>
      </c>
      <c r="AK65" s="1">
        <v>0.11956066415334121</v>
      </c>
      <c r="AL65" s="1">
        <v>0.11716945087027439</v>
      </c>
      <c r="AM65" s="1">
        <v>0.11482606185286889</v>
      </c>
      <c r="AN65" s="1">
        <v>0.11252954061581151</v>
      </c>
    </row>
    <row r="66" spans="1:40" x14ac:dyDescent="0.25">
      <c r="A66" t="s">
        <v>24</v>
      </c>
      <c r="B66" t="s">
        <v>22</v>
      </c>
      <c r="C66" t="s">
        <v>16</v>
      </c>
      <c r="D66" t="s">
        <v>23</v>
      </c>
      <c r="E66" s="1">
        <v>66.733054039199047</v>
      </c>
      <c r="F66" s="1">
        <v>68.174030419970649</v>
      </c>
      <c r="G66" s="1">
        <v>68.098496018848238</v>
      </c>
      <c r="H66" s="1">
        <v>69.988042860537959</v>
      </c>
      <c r="I66" s="1">
        <v>67.633923182151463</v>
      </c>
      <c r="J66" s="1">
        <v>67.359048901700334</v>
      </c>
      <c r="K66" s="1">
        <v>68.163835411747996</v>
      </c>
      <c r="L66" s="1">
        <v>74.858985940320864</v>
      </c>
      <c r="M66" s="1">
        <v>77.207730375237986</v>
      </c>
      <c r="N66" s="1">
        <v>80.928466523533231</v>
      </c>
      <c r="O66" s="1">
        <v>81.799240228009182</v>
      </c>
      <c r="P66" s="1">
        <v>83.059348592414622</v>
      </c>
      <c r="Q66" s="1">
        <v>83.803598181871834</v>
      </c>
      <c r="R66" s="1">
        <v>84.523773904173254</v>
      </c>
      <c r="S66" s="1">
        <v>85.057371295125449</v>
      </c>
      <c r="T66" s="1">
        <v>85.74925979579298</v>
      </c>
      <c r="U66" s="1">
        <v>86.5278874986208</v>
      </c>
      <c r="V66" s="1">
        <v>87.587430629132626</v>
      </c>
      <c r="W66" s="1">
        <v>88.795021862907333</v>
      </c>
      <c r="X66" s="1">
        <v>89.932830175246693</v>
      </c>
      <c r="Y66" s="1">
        <v>91.078881058743349</v>
      </c>
      <c r="Z66" s="1">
        <v>92.17754356408139</v>
      </c>
      <c r="AA66" s="1">
        <v>93.178415733802666</v>
      </c>
      <c r="AB66" s="1">
        <v>93.96100507266334</v>
      </c>
      <c r="AC66" s="1">
        <v>94.36412289904689</v>
      </c>
      <c r="AD66" s="1">
        <v>94.53392901328283</v>
      </c>
      <c r="AE66" s="1">
        <v>94.447988667510685</v>
      </c>
      <c r="AF66" s="1">
        <v>94.058305113775276</v>
      </c>
      <c r="AG66" s="1">
        <v>93.43288134875533</v>
      </c>
      <c r="AH66" s="1">
        <v>92.534759702537784</v>
      </c>
      <c r="AI66" s="1">
        <v>91.32189698471511</v>
      </c>
      <c r="AJ66" s="1">
        <v>90.222550506228444</v>
      </c>
      <c r="AK66" s="1">
        <v>88.843977050295976</v>
      </c>
      <c r="AL66" s="1">
        <v>87.505824834011918</v>
      </c>
      <c r="AM66" s="1">
        <v>86.02298957953073</v>
      </c>
      <c r="AN66" s="1">
        <v>84.482426995412965</v>
      </c>
    </row>
    <row r="67" spans="1:40" x14ac:dyDescent="0.25">
      <c r="A67" t="s">
        <v>24</v>
      </c>
      <c r="B67" t="s">
        <v>22</v>
      </c>
      <c r="C67" t="s">
        <v>16</v>
      </c>
      <c r="D67" t="s">
        <v>1</v>
      </c>
      <c r="E67" s="1">
        <v>9.5385034690820714</v>
      </c>
      <c r="F67" s="1">
        <v>9.9661643215575797</v>
      </c>
      <c r="G67" s="1">
        <v>11.454637531318259</v>
      </c>
      <c r="H67" s="1">
        <v>15.704716024713884</v>
      </c>
      <c r="I67" s="1">
        <v>16.826448167450707</v>
      </c>
      <c r="J67" s="1">
        <v>17.35209181881353</v>
      </c>
      <c r="K67" s="1">
        <v>18.157997011188559</v>
      </c>
      <c r="L67" s="1">
        <v>20.910828283491242</v>
      </c>
      <c r="M67" s="1">
        <v>23.359025058656808</v>
      </c>
      <c r="N67" s="1">
        <v>25.214989442040775</v>
      </c>
      <c r="O67" s="1">
        <v>25.896273247213365</v>
      </c>
      <c r="P67" s="1">
        <v>26.931647288510273</v>
      </c>
      <c r="Q67" s="1">
        <v>28.036006974249371</v>
      </c>
      <c r="R67" s="1">
        <v>29.07739689374722</v>
      </c>
      <c r="S67" s="1">
        <v>29.893358173735923</v>
      </c>
      <c r="T67" s="1">
        <v>30.746852167703942</v>
      </c>
      <c r="U67" s="1">
        <v>31.610069419713437</v>
      </c>
      <c r="V67" s="1">
        <v>32.592350621060994</v>
      </c>
      <c r="W67" s="1">
        <v>33.623913853852898</v>
      </c>
      <c r="X67" s="1">
        <v>34.588494968033714</v>
      </c>
      <c r="Y67" s="1">
        <v>35.551980898923119</v>
      </c>
      <c r="Z67" s="1">
        <v>36.475159011788968</v>
      </c>
      <c r="AA67" s="1">
        <v>37.33829375225875</v>
      </c>
      <c r="AB67" s="1">
        <v>38.074540374677575</v>
      </c>
      <c r="AC67" s="1">
        <v>38.637279626961643</v>
      </c>
      <c r="AD67" s="1">
        <v>39.106119632372952</v>
      </c>
      <c r="AE67" s="1">
        <v>39.433515952279031</v>
      </c>
      <c r="AF67" s="1">
        <v>39.602235622445285</v>
      </c>
      <c r="AG67" s="1">
        <v>39.645280676841409</v>
      </c>
      <c r="AH67" s="1">
        <v>39.473919390345152</v>
      </c>
      <c r="AI67" s="1">
        <v>39.009526022758713</v>
      </c>
      <c r="AJ67" s="1">
        <v>38.644425020935607</v>
      </c>
      <c r="AK67" s="1">
        <v>38.177069013691217</v>
      </c>
      <c r="AL67" s="1">
        <v>37.710658682833696</v>
      </c>
      <c r="AM67" s="1">
        <v>37.126137746293139</v>
      </c>
      <c r="AN67" s="1">
        <v>36.514528180074237</v>
      </c>
    </row>
    <row r="68" spans="1:40" x14ac:dyDescent="0.25">
      <c r="A68" t="s">
        <v>24</v>
      </c>
      <c r="B68" t="s">
        <v>22</v>
      </c>
      <c r="C68" t="s">
        <v>16</v>
      </c>
      <c r="D68" t="s">
        <v>2</v>
      </c>
      <c r="E68" s="1">
        <v>57.10195563189766</v>
      </c>
      <c r="F68" s="1">
        <v>58.109644804647566</v>
      </c>
      <c r="G68" s="1">
        <v>56.539993919009085</v>
      </c>
      <c r="H68" s="1">
        <v>54.165096607133897</v>
      </c>
      <c r="I68" s="1">
        <v>50.636177106927789</v>
      </c>
      <c r="J68" s="1">
        <v>49.826752671620611</v>
      </c>
      <c r="K68" s="1">
        <v>49.812838004560298</v>
      </c>
      <c r="L68" s="1">
        <v>53.755157260830487</v>
      </c>
      <c r="M68" s="1">
        <v>53.655704920582046</v>
      </c>
      <c r="N68" s="1">
        <v>55.520476685493328</v>
      </c>
      <c r="O68" s="1">
        <v>55.709966584796682</v>
      </c>
      <c r="P68" s="1">
        <v>55.60268574144456</v>
      </c>
      <c r="Q68" s="1">
        <v>55.242791137527526</v>
      </c>
      <c r="R68" s="1">
        <v>54.920783818963891</v>
      </c>
      <c r="S68" s="1">
        <v>54.626510992702045</v>
      </c>
      <c r="T68" s="1">
        <v>54.430684368494887</v>
      </c>
      <c r="U68" s="1">
        <v>54.323730868106701</v>
      </c>
      <c r="V68" s="1">
        <v>54.384603641070456</v>
      </c>
      <c r="W68" s="1">
        <v>54.548462527284322</v>
      </c>
      <c r="X68" s="1">
        <v>54.713443582581526</v>
      </c>
      <c r="Y68" s="1">
        <v>54.89035789380555</v>
      </c>
      <c r="Z68" s="1">
        <v>55.063669669950755</v>
      </c>
      <c r="AA68" s="1">
        <v>55.205929940850844</v>
      </c>
      <c r="AB68" s="1">
        <v>55.261562827039306</v>
      </c>
      <c r="AC68" s="1">
        <v>55.11286925224158</v>
      </c>
      <c r="AD68" s="1">
        <v>54.826054022336933</v>
      </c>
      <c r="AE68" s="1">
        <v>54.424645960821771</v>
      </c>
      <c r="AF68" s="1">
        <v>53.879626508211032</v>
      </c>
      <c r="AG68" s="1">
        <v>53.227335216097487</v>
      </c>
      <c r="AH68" s="1">
        <v>52.517671479940034</v>
      </c>
      <c r="AI68" s="1">
        <v>51.785754046677695</v>
      </c>
      <c r="AJ68" s="1">
        <v>51.067534058836252</v>
      </c>
      <c r="AK68" s="1">
        <v>50.171833441280775</v>
      </c>
      <c r="AL68" s="1">
        <v>49.316565655814834</v>
      </c>
      <c r="AM68" s="1">
        <v>48.435354941427953</v>
      </c>
      <c r="AN68" s="1">
        <v>47.522877331668482</v>
      </c>
    </row>
    <row r="69" spans="1:40" x14ac:dyDescent="0.25">
      <c r="A69" t="s">
        <v>24</v>
      </c>
      <c r="B69" t="s">
        <v>22</v>
      </c>
      <c r="C69" t="s">
        <v>16</v>
      </c>
      <c r="D69" t="s">
        <v>3</v>
      </c>
      <c r="E69" s="1">
        <v>9.2594938219321313E-2</v>
      </c>
      <c r="F69" s="1">
        <v>9.8221293765502274E-2</v>
      </c>
      <c r="G69" s="1">
        <v>0.10386456852088388</v>
      </c>
      <c r="H69" s="1">
        <v>0.11823022869017348</v>
      </c>
      <c r="I69" s="1">
        <v>0.1712979077729733</v>
      </c>
      <c r="J69" s="1">
        <v>0.18020441126618261</v>
      </c>
      <c r="K69" s="1">
        <v>0.19300039599913024</v>
      </c>
      <c r="L69" s="1">
        <v>0.19300039599913024</v>
      </c>
      <c r="M69" s="1">
        <v>0.19300039599913024</v>
      </c>
      <c r="N69" s="1">
        <v>0.19300039599913027</v>
      </c>
      <c r="O69" s="1">
        <v>0.19300039599913027</v>
      </c>
      <c r="P69" s="1">
        <v>0.52501556245978909</v>
      </c>
      <c r="Q69" s="1">
        <v>0.52480007009493779</v>
      </c>
      <c r="R69" s="1">
        <v>0.52559319146215311</v>
      </c>
      <c r="S69" s="1">
        <v>0.53750212868747593</v>
      </c>
      <c r="T69" s="1">
        <v>0.57172325959415426</v>
      </c>
      <c r="U69" s="1">
        <v>0.59408721080067228</v>
      </c>
      <c r="V69" s="1">
        <v>0.61047636700118779</v>
      </c>
      <c r="W69" s="1">
        <v>0.62264548177012613</v>
      </c>
      <c r="X69" s="1">
        <v>0.63089162463146364</v>
      </c>
      <c r="Y69" s="1">
        <v>0.63654226601469077</v>
      </c>
      <c r="Z69" s="1">
        <v>0.63871488234167806</v>
      </c>
      <c r="AA69" s="1">
        <v>0.63419204069307866</v>
      </c>
      <c r="AB69" s="1">
        <v>0.62490187094645266</v>
      </c>
      <c r="AC69" s="1">
        <v>0.6139740198436614</v>
      </c>
      <c r="AD69" s="1">
        <v>0.60175535857293805</v>
      </c>
      <c r="AE69" s="1">
        <v>0.58982675440988308</v>
      </c>
      <c r="AF69" s="1">
        <v>0.57644298311896358</v>
      </c>
      <c r="AG69" s="1">
        <v>0.5602654558164385</v>
      </c>
      <c r="AH69" s="1">
        <v>0.54316883225258361</v>
      </c>
      <c r="AI69" s="1">
        <v>0.52661691527868959</v>
      </c>
      <c r="AJ69" s="1">
        <v>0.51059142645658129</v>
      </c>
      <c r="AK69" s="1">
        <v>0.49507459532398479</v>
      </c>
      <c r="AL69" s="1">
        <v>0.47860049536339294</v>
      </c>
      <c r="AM69" s="1">
        <v>0.4614968918096391</v>
      </c>
      <c r="AN69" s="1">
        <v>0.4450214836702413</v>
      </c>
    </row>
    <row r="70" spans="1:40" x14ac:dyDescent="0.25">
      <c r="A70" t="s">
        <v>25</v>
      </c>
      <c r="B70" t="s">
        <v>22</v>
      </c>
      <c r="C70" t="s">
        <v>0</v>
      </c>
      <c r="D70" t="s">
        <v>23</v>
      </c>
      <c r="E70" s="2">
        <v>412.32154414029498</v>
      </c>
      <c r="F70" s="2">
        <v>440.21519007120355</v>
      </c>
      <c r="G70" s="2">
        <v>457.95667866186193</v>
      </c>
      <c r="H70" s="2">
        <v>448.22719514065324</v>
      </c>
      <c r="I70" s="2">
        <v>454.58081198371809</v>
      </c>
      <c r="J70" s="2">
        <v>474.43830133392009</v>
      </c>
      <c r="K70" s="2">
        <v>500.17762886928222</v>
      </c>
      <c r="L70" s="2">
        <v>536.68146255684792</v>
      </c>
      <c r="M70" s="2">
        <v>576.71551782489382</v>
      </c>
      <c r="N70" s="1">
        <v>617.83834563279288</v>
      </c>
      <c r="O70" s="1">
        <v>640.54794747396318</v>
      </c>
      <c r="P70" s="1">
        <v>686.66244022412161</v>
      </c>
      <c r="Q70" s="1">
        <v>719.73785747242528</v>
      </c>
      <c r="R70" s="1">
        <v>742.7442083549962</v>
      </c>
      <c r="S70" s="1">
        <v>750.39686926375282</v>
      </c>
      <c r="T70" s="1">
        <v>744.44877261418333</v>
      </c>
      <c r="U70" s="1">
        <v>742.39094543325541</v>
      </c>
      <c r="V70" s="1">
        <v>743.84992576425429</v>
      </c>
      <c r="W70" s="1">
        <v>740.50637510875981</v>
      </c>
      <c r="X70" s="1">
        <v>740.5281837612805</v>
      </c>
      <c r="Y70" s="1">
        <v>739.58010085178967</v>
      </c>
      <c r="Z70" s="1">
        <v>744.51592930697484</v>
      </c>
      <c r="AA70" s="1">
        <v>744.48210213304787</v>
      </c>
      <c r="AB70" s="1">
        <v>747.4201348419208</v>
      </c>
      <c r="AC70" s="1">
        <v>753.18945064577429</v>
      </c>
      <c r="AD70" s="1">
        <v>763.29179889038608</v>
      </c>
      <c r="AE70" s="1">
        <v>777.10966238069</v>
      </c>
      <c r="AF70" s="1">
        <v>782.34517300168341</v>
      </c>
      <c r="AG70" s="1">
        <v>781.15139766595257</v>
      </c>
      <c r="AH70" s="1">
        <v>780.05939970961811</v>
      </c>
      <c r="AI70" s="1">
        <v>779.7969054721591</v>
      </c>
      <c r="AJ70" s="1">
        <v>777.93951626907472</v>
      </c>
      <c r="AK70" s="1">
        <v>777.68205211653049</v>
      </c>
      <c r="AL70" s="1">
        <v>774.97754979418073</v>
      </c>
      <c r="AM70" s="1">
        <v>772.14026050852465</v>
      </c>
      <c r="AN70" s="1">
        <v>770.075603738577</v>
      </c>
    </row>
    <row r="71" spans="1:40" x14ac:dyDescent="0.25">
      <c r="A71" t="s">
        <v>25</v>
      </c>
      <c r="B71" t="s">
        <v>22</v>
      </c>
      <c r="C71" t="s">
        <v>0</v>
      </c>
      <c r="D71" t="s">
        <v>1</v>
      </c>
      <c r="E71" s="2">
        <v>128.28831168826017</v>
      </c>
      <c r="F71" s="2">
        <v>126.34478897909185</v>
      </c>
      <c r="G71" s="2">
        <v>135.93874712035935</v>
      </c>
      <c r="H71" s="2">
        <v>135.62362013430291</v>
      </c>
      <c r="I71" s="2">
        <v>120.25932487977946</v>
      </c>
      <c r="J71" s="2">
        <v>122.30510334305794</v>
      </c>
      <c r="K71" s="2">
        <v>127.59119701118857</v>
      </c>
      <c r="L71" s="2">
        <v>131.12738866479708</v>
      </c>
      <c r="M71" s="2">
        <v>142.6632043022199</v>
      </c>
      <c r="N71" s="1">
        <v>141.65565775841318</v>
      </c>
      <c r="O71" s="1">
        <v>139.07693686659476</v>
      </c>
      <c r="P71" s="1">
        <v>142.14276639200634</v>
      </c>
      <c r="Q71" s="1">
        <v>137.63289720902384</v>
      </c>
      <c r="R71" s="1">
        <v>145.1502821742082</v>
      </c>
      <c r="S71" s="1">
        <v>143.45003017530286</v>
      </c>
      <c r="T71" s="1">
        <v>135.5493930745495</v>
      </c>
      <c r="U71" s="1">
        <v>133.14157782665964</v>
      </c>
      <c r="V71" s="1">
        <v>133.21560502998068</v>
      </c>
      <c r="W71" s="1">
        <v>127.52786659481646</v>
      </c>
      <c r="X71" s="1">
        <v>126.86068761904853</v>
      </c>
      <c r="Y71" s="1">
        <v>123.75442333003343</v>
      </c>
      <c r="Z71" s="1">
        <v>119.96253282652759</v>
      </c>
      <c r="AA71" s="1">
        <v>113.56210149465035</v>
      </c>
      <c r="AB71" s="1">
        <v>111.13146443943404</v>
      </c>
      <c r="AC71" s="1">
        <v>109.83491676336094</v>
      </c>
      <c r="AD71" s="1">
        <v>111.60788516478729</v>
      </c>
      <c r="AE71" s="1">
        <v>119.57093105821089</v>
      </c>
      <c r="AF71" s="1">
        <v>121.14828403294348</v>
      </c>
      <c r="AG71" s="1">
        <v>117.02251932784311</v>
      </c>
      <c r="AH71" s="1">
        <v>113.34206418783708</v>
      </c>
      <c r="AI71" s="1">
        <v>110.85404930070104</v>
      </c>
      <c r="AJ71" s="1">
        <v>107.04818953828124</v>
      </c>
      <c r="AK71" s="1">
        <v>105.14056476785916</v>
      </c>
      <c r="AL71" s="1">
        <v>100.96495371320427</v>
      </c>
      <c r="AM71" s="1">
        <v>96.888632935075663</v>
      </c>
      <c r="AN71" s="1">
        <v>93.700674434247674</v>
      </c>
    </row>
    <row r="72" spans="1:40" x14ac:dyDescent="0.25">
      <c r="A72" t="s">
        <v>25</v>
      </c>
      <c r="B72" t="s">
        <v>22</v>
      </c>
      <c r="C72" t="s">
        <v>0</v>
      </c>
      <c r="D72" t="s">
        <v>2</v>
      </c>
      <c r="E72" s="2">
        <v>88.501955631897658</v>
      </c>
      <c r="F72" s="2">
        <v>87.309644804647562</v>
      </c>
      <c r="G72" s="2">
        <v>84.839993919009089</v>
      </c>
      <c r="H72" s="2">
        <v>78.965096607133901</v>
      </c>
      <c r="I72" s="2">
        <v>73.336177106927792</v>
      </c>
      <c r="J72" s="2">
        <v>72.126752671620608</v>
      </c>
      <c r="K72" s="2">
        <v>72.012838004560294</v>
      </c>
      <c r="L72" s="2">
        <v>77.055157260830484</v>
      </c>
      <c r="M72" s="2">
        <v>77.95570492058205</v>
      </c>
      <c r="N72" s="1">
        <v>79.872764288036109</v>
      </c>
      <c r="O72" s="1">
        <v>78.614201030023793</v>
      </c>
      <c r="P72" s="1">
        <v>76.398005754087706</v>
      </c>
      <c r="Q72" s="1">
        <v>73.975903080073635</v>
      </c>
      <c r="R72" s="1">
        <v>71.701652715209079</v>
      </c>
      <c r="S72" s="1">
        <v>69.597714054634977</v>
      </c>
      <c r="T72" s="1">
        <v>67.680487764703201</v>
      </c>
      <c r="U72" s="1">
        <v>65.961668371669504</v>
      </c>
      <c r="V72" s="1">
        <v>64.427368711206412</v>
      </c>
      <c r="W72" s="1">
        <v>63.100488097349754</v>
      </c>
      <c r="X72" s="1">
        <v>61.890785281249109</v>
      </c>
      <c r="Y72" s="1">
        <v>60.877671012340635</v>
      </c>
      <c r="Z72" s="1">
        <v>60.011862108633807</v>
      </c>
      <c r="AA72" s="1">
        <v>59.225549566129516</v>
      </c>
      <c r="AB72" s="1">
        <v>58.44036509671551</v>
      </c>
      <c r="AC72" s="1">
        <v>57.544841348134838</v>
      </c>
      <c r="AD72" s="1">
        <v>56.48061535875361</v>
      </c>
      <c r="AE72" s="1">
        <v>55.343692376100549</v>
      </c>
      <c r="AF72" s="1">
        <v>54.212910048734109</v>
      </c>
      <c r="AG72" s="1">
        <v>53.023102756967738</v>
      </c>
      <c r="AH72" s="1">
        <v>51.815502411281642</v>
      </c>
      <c r="AI72" s="1">
        <v>50.56956838884382</v>
      </c>
      <c r="AJ72" s="1">
        <v>49.385935933517523</v>
      </c>
      <c r="AK72" s="1">
        <v>48.126800441771096</v>
      </c>
      <c r="AL72" s="1">
        <v>46.932988079184142</v>
      </c>
      <c r="AM72" s="1">
        <v>45.734368558918291</v>
      </c>
      <c r="AN72" s="1">
        <v>44.532692115527453</v>
      </c>
    </row>
    <row r="73" spans="1:40" x14ac:dyDescent="0.25">
      <c r="A73" t="s">
        <v>25</v>
      </c>
      <c r="B73" t="s">
        <v>22</v>
      </c>
      <c r="C73" t="s">
        <v>0</v>
      </c>
      <c r="D73" t="s">
        <v>3</v>
      </c>
      <c r="E73" s="2">
        <v>24.138661203698771</v>
      </c>
      <c r="F73" s="2">
        <v>24.807371355957283</v>
      </c>
      <c r="G73" s="2">
        <v>24.533500362219502</v>
      </c>
      <c r="H73" s="2">
        <v>23.111416481408192</v>
      </c>
      <c r="I73" s="2">
        <v>21.391199312079344</v>
      </c>
      <c r="J73" s="2">
        <v>20.997480935679917</v>
      </c>
      <c r="K73" s="2">
        <v>20.557344812437488</v>
      </c>
      <c r="L73" s="2">
        <v>20.096138549028552</v>
      </c>
      <c r="M73" s="2">
        <v>21.143769971954924</v>
      </c>
      <c r="N73" s="1">
        <v>24.896597558946336</v>
      </c>
      <c r="O73" s="1">
        <v>25.312784932376012</v>
      </c>
      <c r="P73" s="1">
        <v>25.235978647972789</v>
      </c>
      <c r="Q73" s="1">
        <v>25.304453511015648</v>
      </c>
      <c r="R73" s="1">
        <v>25.343006673313386</v>
      </c>
      <c r="S73" s="1">
        <v>25.510486438385843</v>
      </c>
      <c r="T73" s="1">
        <v>25.810848595354262</v>
      </c>
      <c r="U73" s="1">
        <v>26.183511402828714</v>
      </c>
      <c r="V73" s="1">
        <v>26.50932833122901</v>
      </c>
      <c r="W73" s="1">
        <v>26.751322702293052</v>
      </c>
      <c r="X73" s="1">
        <v>26.937888333051728</v>
      </c>
      <c r="Y73" s="1">
        <v>27.022733834978613</v>
      </c>
      <c r="Z73" s="1">
        <v>27.011821521709685</v>
      </c>
      <c r="AA73" s="1">
        <v>26.974131181624561</v>
      </c>
      <c r="AB73" s="1">
        <v>26.886014868436309</v>
      </c>
      <c r="AC73" s="1">
        <v>26.765045868643586</v>
      </c>
      <c r="AD73" s="1">
        <v>26.643028055447004</v>
      </c>
      <c r="AE73" s="1">
        <v>26.484568293858928</v>
      </c>
      <c r="AF73" s="1">
        <v>26.342312874833084</v>
      </c>
      <c r="AG73" s="1">
        <v>26.194197136303277</v>
      </c>
      <c r="AH73" s="1">
        <v>26.028577503949233</v>
      </c>
      <c r="AI73" s="1">
        <v>25.841763152875291</v>
      </c>
      <c r="AJ73" s="1">
        <v>25.576438079218278</v>
      </c>
      <c r="AK73" s="1">
        <v>25.333138125573182</v>
      </c>
      <c r="AL73" s="1">
        <v>25.070081917237133</v>
      </c>
      <c r="AM73" s="1">
        <v>24.798791617903916</v>
      </c>
      <c r="AN73" s="1">
        <v>24.518507057757422</v>
      </c>
    </row>
    <row r="74" spans="1:40" x14ac:dyDescent="0.25">
      <c r="A74" t="s">
        <v>25</v>
      </c>
      <c r="B74" t="s">
        <v>22</v>
      </c>
      <c r="C74" t="s">
        <v>0</v>
      </c>
      <c r="D74" t="s">
        <v>4</v>
      </c>
      <c r="E74" s="2">
        <v>2.0926156164383563</v>
      </c>
      <c r="F74" s="2">
        <v>2.3533849315068487</v>
      </c>
      <c r="G74" s="2">
        <v>2.7444372602739726</v>
      </c>
      <c r="H74" s="2">
        <v>3.1270619178082191</v>
      </c>
      <c r="I74" s="2">
        <v>2.894110684931507</v>
      </c>
      <c r="J74" s="2">
        <v>2.7089643835616446</v>
      </c>
      <c r="K74" s="2">
        <v>2.8162490410958907</v>
      </c>
      <c r="L74" s="2">
        <v>2.9027780821917806</v>
      </c>
      <c r="M74" s="2">
        <v>3.5528386301369865</v>
      </c>
      <c r="N74" s="1">
        <v>5.2133260273972599</v>
      </c>
      <c r="O74" s="1">
        <v>5.6286171246814369</v>
      </c>
      <c r="P74" s="1">
        <v>5.5323396394709565</v>
      </c>
      <c r="Q74" s="1">
        <v>5.4192500019184262</v>
      </c>
      <c r="R74" s="1">
        <v>5.3143980513806817</v>
      </c>
      <c r="S74" s="1">
        <v>5.1343736090785841</v>
      </c>
      <c r="T74" s="1">
        <v>4.9596446529692724</v>
      </c>
      <c r="U74" s="1">
        <v>4.8939488731953968</v>
      </c>
      <c r="V74" s="1">
        <v>4.9092060933937871</v>
      </c>
      <c r="W74" s="1">
        <v>4.9317956911898388</v>
      </c>
      <c r="X74" s="1">
        <v>4.9477984450620891</v>
      </c>
      <c r="Y74" s="1">
        <v>4.9914024003260753</v>
      </c>
      <c r="Z74" s="1">
        <v>5.0459005394197423</v>
      </c>
      <c r="AA74" s="1">
        <v>5.1056037244566017</v>
      </c>
      <c r="AB74" s="1">
        <v>5.1618622558906004</v>
      </c>
      <c r="AC74" s="1">
        <v>5.2028858395626392</v>
      </c>
      <c r="AD74" s="1">
        <v>5.2203625606596242</v>
      </c>
      <c r="AE74" s="1">
        <v>5.2137007564377331</v>
      </c>
      <c r="AF74" s="1">
        <v>5.1958245891408534</v>
      </c>
      <c r="AG74" s="1">
        <v>5.1624090839527899</v>
      </c>
      <c r="AH74" s="1">
        <v>5.1219912941502876</v>
      </c>
      <c r="AI74" s="1">
        <v>5.05831201243097</v>
      </c>
      <c r="AJ74" s="1">
        <v>4.9943281771852366</v>
      </c>
      <c r="AK74" s="1">
        <v>4.9278111515396059</v>
      </c>
      <c r="AL74" s="1">
        <v>4.8620132820767612</v>
      </c>
      <c r="AM74" s="1">
        <v>4.7867436835456321</v>
      </c>
      <c r="AN74" s="1">
        <v>4.7052428892316387</v>
      </c>
    </row>
    <row r="75" spans="1:40" x14ac:dyDescent="0.25">
      <c r="A75" t="s">
        <v>25</v>
      </c>
      <c r="B75" t="s">
        <v>22</v>
      </c>
      <c r="C75" t="s">
        <v>0</v>
      </c>
      <c r="D75" t="s">
        <v>5</v>
      </c>
      <c r="E75" s="2">
        <v>99.6</v>
      </c>
      <c r="F75" s="2">
        <v>120.9</v>
      </c>
      <c r="G75" s="2">
        <v>124.7</v>
      </c>
      <c r="H75" s="2">
        <v>114.7</v>
      </c>
      <c r="I75" s="2">
        <v>131.19999999999999</v>
      </c>
      <c r="J75" s="2">
        <v>136.19999999999999</v>
      </c>
      <c r="K75" s="2">
        <v>141.80000000000001</v>
      </c>
      <c r="L75" s="2">
        <v>147.80000000000001</v>
      </c>
      <c r="M75" s="2">
        <v>155.19999999999999</v>
      </c>
      <c r="N75" s="1">
        <v>165</v>
      </c>
      <c r="O75" s="1">
        <v>179.82124827044612</v>
      </c>
      <c r="P75" s="1">
        <v>200.07385662465876</v>
      </c>
      <c r="Q75" s="1">
        <v>216.87670618151901</v>
      </c>
      <c r="R75" s="1">
        <v>225.30758012041434</v>
      </c>
      <c r="S75" s="1">
        <v>232.51561272951648</v>
      </c>
      <c r="T75" s="1">
        <v>234.45785497924538</v>
      </c>
      <c r="U75" s="1">
        <v>234.5770539620807</v>
      </c>
      <c r="V75" s="1">
        <v>234.5770539620807</v>
      </c>
      <c r="W75" s="1">
        <v>234.5770539620807</v>
      </c>
      <c r="X75" s="1">
        <v>234.5770539620807</v>
      </c>
      <c r="Y75" s="1">
        <v>236.49545641524256</v>
      </c>
      <c r="Z75" s="1">
        <v>238.8934594816948</v>
      </c>
      <c r="AA75" s="1">
        <v>239.37306009498525</v>
      </c>
      <c r="AB75" s="1">
        <v>239.37306009498525</v>
      </c>
      <c r="AC75" s="1">
        <v>241.66168056542389</v>
      </c>
      <c r="AD75" s="1">
        <v>245.80980516809393</v>
      </c>
      <c r="AE75" s="1">
        <v>247.99114655398077</v>
      </c>
      <c r="AF75" s="1">
        <v>248.31298380763621</v>
      </c>
      <c r="AG75" s="1">
        <v>248.31298380763621</v>
      </c>
      <c r="AH75" s="1">
        <v>248.31298380763621</v>
      </c>
      <c r="AI75" s="1">
        <v>248.31298380763621</v>
      </c>
      <c r="AJ75" s="1">
        <v>248.31298380763621</v>
      </c>
      <c r="AK75" s="1">
        <v>248.31298380763621</v>
      </c>
      <c r="AL75" s="1">
        <v>248.31298380763621</v>
      </c>
      <c r="AM75" s="1">
        <v>248.31298380763621</v>
      </c>
      <c r="AN75" s="1">
        <v>248.31298380763621</v>
      </c>
    </row>
    <row r="76" spans="1:40" x14ac:dyDescent="0.25">
      <c r="A76" t="s">
        <v>25</v>
      </c>
      <c r="B76" t="s">
        <v>22</v>
      </c>
      <c r="C76" t="s">
        <v>0</v>
      </c>
      <c r="D76" t="s">
        <v>6</v>
      </c>
      <c r="E76" s="2">
        <v>69.7</v>
      </c>
      <c r="F76" s="2">
        <v>78.5</v>
      </c>
      <c r="G76" s="2">
        <v>85.2</v>
      </c>
      <c r="H76" s="2">
        <v>92.7</v>
      </c>
      <c r="I76" s="2">
        <v>105.5</v>
      </c>
      <c r="J76" s="2">
        <v>120.1</v>
      </c>
      <c r="K76" s="2">
        <v>135.4</v>
      </c>
      <c r="L76" s="2">
        <v>157.69999999999999</v>
      </c>
      <c r="M76" s="2">
        <v>176.2</v>
      </c>
      <c r="N76" s="1">
        <v>201.2</v>
      </c>
      <c r="O76" s="1">
        <v>212.09415924984106</v>
      </c>
      <c r="P76" s="1">
        <v>237.279493165925</v>
      </c>
      <c r="Q76" s="1">
        <v>260.52864748887475</v>
      </c>
      <c r="R76" s="1">
        <v>269.92728862047045</v>
      </c>
      <c r="S76" s="1">
        <v>274.18865225683408</v>
      </c>
      <c r="T76" s="1">
        <v>275.99054354736177</v>
      </c>
      <c r="U76" s="1">
        <v>277.6331849968214</v>
      </c>
      <c r="V76" s="1">
        <v>280.21136363636367</v>
      </c>
      <c r="W76" s="1">
        <v>283.61784806102992</v>
      </c>
      <c r="X76" s="1">
        <v>285.31397012078833</v>
      </c>
      <c r="Y76" s="1">
        <v>286.43841385886839</v>
      </c>
      <c r="Z76" s="1">
        <v>293.59035282898924</v>
      </c>
      <c r="AA76" s="1">
        <v>300.24165607120153</v>
      </c>
      <c r="AB76" s="1">
        <v>306.42736808645901</v>
      </c>
      <c r="AC76" s="1">
        <v>312.18008026064842</v>
      </c>
      <c r="AD76" s="1">
        <v>317.53010258264459</v>
      </c>
      <c r="AE76" s="1">
        <v>322.50562334210105</v>
      </c>
      <c r="AF76" s="1">
        <v>327.1328576483956</v>
      </c>
      <c r="AG76" s="1">
        <v>331.43618555324946</v>
      </c>
      <c r="AH76" s="1">
        <v>335.43828050476361</v>
      </c>
      <c r="AI76" s="1">
        <v>339.16022880967171</v>
      </c>
      <c r="AJ76" s="1">
        <v>342.62164073323629</v>
      </c>
      <c r="AK76" s="1">
        <v>345.84075382215127</v>
      </c>
      <c r="AL76" s="1">
        <v>348.83452899484223</v>
      </c>
      <c r="AM76" s="1">
        <v>351.6187399054449</v>
      </c>
      <c r="AN76" s="1">
        <v>354.3055034341765</v>
      </c>
    </row>
    <row r="77" spans="1:40" x14ac:dyDescent="0.25">
      <c r="A77" t="s">
        <v>25</v>
      </c>
      <c r="B77" t="s">
        <v>22</v>
      </c>
      <c r="C77" t="s">
        <v>0</v>
      </c>
      <c r="D77" t="s">
        <v>7</v>
      </c>
      <c r="E77" s="2">
        <v>86.9</v>
      </c>
      <c r="F77" s="2">
        <v>104.6</v>
      </c>
      <c r="G77" s="2">
        <v>109.3</v>
      </c>
      <c r="H77" s="2">
        <v>103.9</v>
      </c>
      <c r="I77" s="2">
        <v>121.7</v>
      </c>
      <c r="J77" s="2">
        <v>126.3</v>
      </c>
      <c r="K77" s="2">
        <v>137.1</v>
      </c>
      <c r="L77" s="2">
        <v>145.19999999999999</v>
      </c>
      <c r="M77" s="2">
        <v>148.80000000000001</v>
      </c>
      <c r="N77" s="1">
        <v>151.69999999999999</v>
      </c>
      <c r="O77" s="1">
        <v>159.12428480610299</v>
      </c>
      <c r="P77" s="1">
        <v>161.87062937062939</v>
      </c>
      <c r="Q77" s="1">
        <v>167.94977749523204</v>
      </c>
      <c r="R77" s="1">
        <v>176.74666242848059</v>
      </c>
      <c r="S77" s="1">
        <v>183.58868404322951</v>
      </c>
      <c r="T77" s="1">
        <v>185.23958995549904</v>
      </c>
      <c r="U77" s="1">
        <v>185.34090909090909</v>
      </c>
      <c r="V77" s="1">
        <v>185.34090909090909</v>
      </c>
      <c r="W77" s="1">
        <v>186.48521932612843</v>
      </c>
      <c r="X77" s="1">
        <v>187.9156071201526</v>
      </c>
      <c r="Y77" s="1">
        <v>188.20168467895741</v>
      </c>
      <c r="Z77" s="1">
        <v>188.20168467895741</v>
      </c>
      <c r="AA77" s="1">
        <v>189.34599491417674</v>
      </c>
      <c r="AB77" s="1">
        <v>190.77638270820088</v>
      </c>
      <c r="AC77" s="1">
        <v>191.06246026700572</v>
      </c>
      <c r="AD77" s="1">
        <v>191.06246026700572</v>
      </c>
      <c r="AE77" s="1">
        <v>192.20677050222505</v>
      </c>
      <c r="AF77" s="1">
        <v>193.63715829624923</v>
      </c>
      <c r="AG77" s="1">
        <v>193.92323585505406</v>
      </c>
      <c r="AH77" s="1">
        <v>193.92323585505406</v>
      </c>
      <c r="AI77" s="1">
        <v>195.06754609027337</v>
      </c>
      <c r="AJ77" s="1">
        <v>196.49793388429754</v>
      </c>
      <c r="AK77" s="1">
        <v>196.78401144310234</v>
      </c>
      <c r="AL77" s="1">
        <v>196.78401144310234</v>
      </c>
      <c r="AM77" s="1">
        <v>196.78401144310234</v>
      </c>
      <c r="AN77" s="1">
        <v>196.78401144310234</v>
      </c>
    </row>
    <row r="78" spans="1:40" x14ac:dyDescent="0.25">
      <c r="A78" t="s">
        <v>25</v>
      </c>
      <c r="B78" t="s">
        <v>22</v>
      </c>
      <c r="C78" t="s">
        <v>8</v>
      </c>
      <c r="D78" t="s">
        <v>23</v>
      </c>
      <c r="E78" s="2">
        <v>282.20860407369861</v>
      </c>
      <c r="F78" s="2">
        <v>308.90460787041098</v>
      </c>
      <c r="G78" s="2">
        <v>316.64411771150685</v>
      </c>
      <c r="H78" s="2">
        <v>309.78232814821916</v>
      </c>
      <c r="I78" s="2">
        <v>331.01528414403236</v>
      </c>
      <c r="J78" s="2">
        <v>349.55594720934528</v>
      </c>
      <c r="K78" s="2">
        <v>374.75838962191779</v>
      </c>
      <c r="L78" s="2">
        <v>413.09346524712328</v>
      </c>
      <c r="M78" s="2">
        <v>444.75393532938045</v>
      </c>
      <c r="N78" s="1">
        <v>485.01773166914631</v>
      </c>
      <c r="O78" s="1">
        <v>509.33657405324232</v>
      </c>
      <c r="P78" s="1">
        <v>550.52106596861961</v>
      </c>
      <c r="Q78" s="1">
        <v>587.22792680934708</v>
      </c>
      <c r="R78" s="1">
        <v>602.00733375279503</v>
      </c>
      <c r="S78" s="1">
        <v>611.04109811341539</v>
      </c>
      <c r="T78" s="1">
        <v>612.84652807229202</v>
      </c>
      <c r="U78" s="1">
        <v>613.08234898435535</v>
      </c>
      <c r="V78" s="1">
        <v>614.43574276718459</v>
      </c>
      <c r="W78" s="1">
        <v>616.95810467990168</v>
      </c>
      <c r="X78" s="1">
        <v>618.01467928837178</v>
      </c>
      <c r="Y78" s="1">
        <v>620.66311922862678</v>
      </c>
      <c r="Z78" s="1">
        <v>630.03845804817024</v>
      </c>
      <c r="AA78" s="1">
        <v>637.11598772726211</v>
      </c>
      <c r="AB78" s="1">
        <v>643.22302437686017</v>
      </c>
      <c r="AC78" s="1">
        <v>651.03783273746694</v>
      </c>
      <c r="AD78" s="1">
        <v>660.05701253326947</v>
      </c>
      <c r="AE78" s="1">
        <v>666.42867182291593</v>
      </c>
      <c r="AF78" s="1">
        <v>670.51462523163536</v>
      </c>
      <c r="AG78" s="1">
        <v>673.79922153678399</v>
      </c>
      <c r="AH78" s="1">
        <v>676.70723463855165</v>
      </c>
      <c r="AI78" s="1">
        <v>679.06048068372775</v>
      </c>
      <c r="AJ78" s="1">
        <v>681.15696915424758</v>
      </c>
      <c r="AK78" s="1">
        <v>683.01697422817097</v>
      </c>
      <c r="AL78" s="1">
        <v>684.66890188678633</v>
      </c>
      <c r="AM78" s="1">
        <v>685.98776053356642</v>
      </c>
      <c r="AN78" s="1">
        <v>687.14976219676305</v>
      </c>
    </row>
    <row r="79" spans="1:40" x14ac:dyDescent="0.25">
      <c r="A79" t="s">
        <v>25</v>
      </c>
      <c r="B79" t="s">
        <v>22</v>
      </c>
      <c r="C79" t="s">
        <v>8</v>
      </c>
      <c r="D79" t="s">
        <v>1</v>
      </c>
      <c r="E79" s="2">
        <v>59.4</v>
      </c>
      <c r="F79" s="2">
        <v>57.2</v>
      </c>
      <c r="G79" s="2">
        <v>55.1</v>
      </c>
      <c r="H79" s="2">
        <v>55.1</v>
      </c>
      <c r="I79" s="2">
        <v>50.6</v>
      </c>
      <c r="J79" s="2">
        <v>50.7</v>
      </c>
      <c r="K79" s="2">
        <v>55.7</v>
      </c>
      <c r="L79" s="2">
        <v>65</v>
      </c>
      <c r="M79" s="2">
        <v>68.3</v>
      </c>
      <c r="N79" s="1">
        <v>69.48072267379213</v>
      </c>
      <c r="O79" s="1">
        <v>68.278741645157922</v>
      </c>
      <c r="P79" s="1">
        <v>65.568236522391842</v>
      </c>
      <c r="Q79" s="1">
        <v>63.335027414992609</v>
      </c>
      <c r="R79" s="1">
        <v>61.341926738067954</v>
      </c>
      <c r="S79" s="1">
        <v>59.783428933523851</v>
      </c>
      <c r="T79" s="1">
        <v>58.583375379501675</v>
      </c>
      <c r="U79" s="1">
        <v>57.65888833197527</v>
      </c>
      <c r="V79" s="1">
        <v>56.970231101010704</v>
      </c>
      <c r="W79" s="1">
        <v>56.563330777891544</v>
      </c>
      <c r="X79" s="1">
        <v>56.319558309166894</v>
      </c>
      <c r="Y79" s="1">
        <v>56.280922865979541</v>
      </c>
      <c r="Z79" s="1">
        <v>56.446508858134081</v>
      </c>
      <c r="AA79" s="1">
        <v>56.673461744133533</v>
      </c>
      <c r="AB79" s="1">
        <v>56.869230932259697</v>
      </c>
      <c r="AC79" s="1">
        <v>56.960505186285388</v>
      </c>
      <c r="AD79" s="1">
        <v>56.846783702746848</v>
      </c>
      <c r="AE79" s="1">
        <v>56.518554900670004</v>
      </c>
      <c r="AF79" s="1">
        <v>56.112456601931385</v>
      </c>
      <c r="AG79" s="1">
        <v>55.575408464872631</v>
      </c>
      <c r="AH79" s="1">
        <v>54.99107266283859</v>
      </c>
      <c r="AI79" s="1">
        <v>54.208263190667616</v>
      </c>
      <c r="AJ79" s="1">
        <v>53.462335847450234</v>
      </c>
      <c r="AK79" s="1">
        <v>52.69280474983001</v>
      </c>
      <c r="AL79" s="1">
        <v>51.937940185859681</v>
      </c>
      <c r="AM79" s="1">
        <v>51.073332057619403</v>
      </c>
      <c r="AN79" s="1">
        <v>50.159303287685091</v>
      </c>
    </row>
    <row r="80" spans="1:40" x14ac:dyDescent="0.25">
      <c r="A80" t="s">
        <v>25</v>
      </c>
      <c r="B80" t="s">
        <v>22</v>
      </c>
      <c r="C80" t="s">
        <v>8</v>
      </c>
      <c r="D80" t="s">
        <v>2</v>
      </c>
      <c r="E80" s="2">
        <v>31.4</v>
      </c>
      <c r="F80" s="2">
        <v>29.2</v>
      </c>
      <c r="G80" s="2">
        <v>28.3</v>
      </c>
      <c r="H80" s="2">
        <v>24.8</v>
      </c>
      <c r="I80" s="2">
        <v>22.7</v>
      </c>
      <c r="J80" s="2">
        <v>22.3</v>
      </c>
      <c r="K80" s="2">
        <v>22.2</v>
      </c>
      <c r="L80" s="2">
        <v>23.3</v>
      </c>
      <c r="M80" s="2">
        <v>24.3</v>
      </c>
      <c r="N80" s="1">
        <v>24.352287602542773</v>
      </c>
      <c r="O80" s="1">
        <v>23.740644931031699</v>
      </c>
      <c r="P80" s="1">
        <v>22.874040045137246</v>
      </c>
      <c r="Q80" s="1">
        <v>21.980615303151698</v>
      </c>
      <c r="R80" s="1">
        <v>21.147096243680256</v>
      </c>
      <c r="S80" s="1">
        <v>20.412830967106025</v>
      </c>
      <c r="T80" s="1">
        <v>19.754476828958605</v>
      </c>
      <c r="U80" s="1">
        <v>19.176005912685724</v>
      </c>
      <c r="V80" s="1">
        <v>18.666400949788297</v>
      </c>
      <c r="W80" s="1">
        <v>18.224402785772547</v>
      </c>
      <c r="X80" s="1">
        <v>17.837788062348295</v>
      </c>
      <c r="Y80" s="1">
        <v>17.509488271214607</v>
      </c>
      <c r="Z80" s="1">
        <v>17.246742987670256</v>
      </c>
      <c r="AA80" s="1">
        <v>17.020884992229941</v>
      </c>
      <c r="AB80" s="1">
        <v>16.806817878386465</v>
      </c>
      <c r="AC80" s="1">
        <v>16.584322411347298</v>
      </c>
      <c r="AD80" s="1">
        <v>16.330361601693514</v>
      </c>
      <c r="AE80" s="1">
        <v>16.037464916525469</v>
      </c>
      <c r="AF80" s="1">
        <v>15.732383090782955</v>
      </c>
      <c r="AG80" s="1">
        <v>15.409906859761657</v>
      </c>
      <c r="AH80" s="1">
        <v>15.081415796733783</v>
      </c>
      <c r="AI80" s="1">
        <v>14.704634287577836</v>
      </c>
      <c r="AJ80" s="1">
        <v>14.360553238816403</v>
      </c>
      <c r="AK80" s="1">
        <v>14.017955048672277</v>
      </c>
      <c r="AL80" s="1">
        <v>13.690042506687924</v>
      </c>
      <c r="AM80" s="1">
        <v>13.357752557707494</v>
      </c>
      <c r="AN80" s="1">
        <v>13.023547364432414</v>
      </c>
    </row>
    <row r="81" spans="1:40" x14ac:dyDescent="0.25">
      <c r="A81" t="s">
        <v>25</v>
      </c>
      <c r="B81" t="s">
        <v>22</v>
      </c>
      <c r="C81" t="s">
        <v>8</v>
      </c>
      <c r="D81" t="s">
        <v>3</v>
      </c>
      <c r="E81" s="2">
        <v>20.565848731232876</v>
      </c>
      <c r="F81" s="2">
        <v>21.351348966301373</v>
      </c>
      <c r="G81" s="2">
        <v>21.25555168410958</v>
      </c>
      <c r="H81" s="2">
        <v>20.072068970136986</v>
      </c>
      <c r="I81" s="2">
        <v>18.837373459100888</v>
      </c>
      <c r="J81" s="2">
        <v>18.333695154550721</v>
      </c>
      <c r="K81" s="2">
        <v>17.721337841095892</v>
      </c>
      <c r="L81" s="2">
        <v>17.291944699178085</v>
      </c>
      <c r="M81" s="2">
        <v>18.159458343079081</v>
      </c>
      <c r="N81" s="1">
        <v>21.232762368426656</v>
      </c>
      <c r="O81" s="1">
        <v>21.714727907927017</v>
      </c>
      <c r="P81" s="1">
        <v>21.184754838297614</v>
      </c>
      <c r="Q81" s="1">
        <v>21.086838940399442</v>
      </c>
      <c r="R81" s="1">
        <v>20.970977986306369</v>
      </c>
      <c r="S81" s="1">
        <v>20.912268064024666</v>
      </c>
      <c r="T81" s="1">
        <v>20.896775066731465</v>
      </c>
      <c r="U81" s="1">
        <v>20.923635810865562</v>
      </c>
      <c r="V81" s="1">
        <v>20.934300638486576</v>
      </c>
      <c r="W81" s="1">
        <v>20.921049231120904</v>
      </c>
      <c r="X81" s="1">
        <v>20.925052685292613</v>
      </c>
      <c r="Y81" s="1">
        <v>20.899667982558785</v>
      </c>
      <c r="Z81" s="1">
        <v>20.813282413342673</v>
      </c>
      <c r="AA81" s="1">
        <v>20.746557890528628</v>
      </c>
      <c r="AB81" s="1">
        <v>20.675608914427752</v>
      </c>
      <c r="AC81" s="1">
        <v>20.575377033702527</v>
      </c>
      <c r="AD81" s="1">
        <v>20.470233158142229</v>
      </c>
      <c r="AE81" s="1">
        <v>20.323880145002509</v>
      </c>
      <c r="AF81" s="1">
        <v>20.193871426384874</v>
      </c>
      <c r="AG81" s="1">
        <v>20.063664794160903</v>
      </c>
      <c r="AH81" s="1">
        <v>19.913963942786129</v>
      </c>
      <c r="AI81" s="1">
        <v>19.747124375878318</v>
      </c>
      <c r="AJ81" s="1">
        <v>19.512489391346122</v>
      </c>
      <c r="AK81" s="1">
        <v>19.307065343390388</v>
      </c>
      <c r="AL81" s="1">
        <v>19.088757621723875</v>
      </c>
      <c r="AM81" s="1">
        <v>18.866992274047025</v>
      </c>
      <c r="AN81" s="1">
        <v>18.639821925297785</v>
      </c>
    </row>
    <row r="82" spans="1:40" x14ac:dyDescent="0.25">
      <c r="A82" t="s">
        <v>25</v>
      </c>
      <c r="B82" t="s">
        <v>22</v>
      </c>
      <c r="C82" t="s">
        <v>8</v>
      </c>
      <c r="D82" t="s">
        <v>4</v>
      </c>
      <c r="E82" s="2">
        <v>1.5427553424657536</v>
      </c>
      <c r="F82" s="2">
        <v>1.7532589041095885</v>
      </c>
      <c r="G82" s="2">
        <v>2.0885660273972602</v>
      </c>
      <c r="H82" s="2">
        <v>2.4102591780821916</v>
      </c>
      <c r="I82" s="2">
        <v>2.1779106849315073</v>
      </c>
      <c r="J82" s="2">
        <v>1.922252054794521</v>
      </c>
      <c r="K82" s="2">
        <v>1.9370517808219181</v>
      </c>
      <c r="L82" s="2">
        <v>2.0015205479452054</v>
      </c>
      <c r="M82" s="2">
        <v>2.5944769863013697</v>
      </c>
      <c r="N82" s="1">
        <v>3.7833260273972598</v>
      </c>
      <c r="O82" s="1">
        <v>3.6870520488385279</v>
      </c>
      <c r="P82" s="1">
        <v>3.5406847722091594</v>
      </c>
      <c r="Q82" s="1">
        <v>3.4200914804096008</v>
      </c>
      <c r="R82" s="1">
        <v>3.3124640438556696</v>
      </c>
      <c r="S82" s="1">
        <v>3.2283051624102881</v>
      </c>
      <c r="T82" s="1">
        <v>3.1635022704930904</v>
      </c>
      <c r="U82" s="1">
        <v>3.1135799699266644</v>
      </c>
      <c r="V82" s="1">
        <v>3.0763924794545781</v>
      </c>
      <c r="W82" s="1">
        <v>3.0544198620061431</v>
      </c>
      <c r="X82" s="1">
        <v>3.041256148695012</v>
      </c>
      <c r="Y82" s="1">
        <v>3.039169834762895</v>
      </c>
      <c r="Z82" s="1">
        <v>3.0481114783392402</v>
      </c>
      <c r="AA82" s="1">
        <v>3.0603669341832109</v>
      </c>
      <c r="AB82" s="1">
        <v>3.0709384703420235</v>
      </c>
      <c r="AC82" s="1">
        <v>3.0758672800594109</v>
      </c>
      <c r="AD82" s="1">
        <v>3.0697263199483298</v>
      </c>
      <c r="AE82" s="1">
        <v>3.05200196463618</v>
      </c>
      <c r="AF82" s="1">
        <v>3.0300726565042946</v>
      </c>
      <c r="AG82" s="1">
        <v>3.001072057103122</v>
      </c>
      <c r="AH82" s="1">
        <v>2.9695179237932838</v>
      </c>
      <c r="AI82" s="1">
        <v>2.9272462122960512</v>
      </c>
      <c r="AJ82" s="1">
        <v>2.8869661357623126</v>
      </c>
      <c r="AK82" s="1">
        <v>2.8454114564908206</v>
      </c>
      <c r="AL82" s="1">
        <v>2.8046487700364229</v>
      </c>
      <c r="AM82" s="1">
        <v>2.7579599311114475</v>
      </c>
      <c r="AN82" s="1">
        <v>2.7086023775349948</v>
      </c>
    </row>
    <row r="83" spans="1:40" x14ac:dyDescent="0.25">
      <c r="A83" t="s">
        <v>25</v>
      </c>
      <c r="B83" t="s">
        <v>22</v>
      </c>
      <c r="C83" t="s">
        <v>8</v>
      </c>
      <c r="D83" t="s">
        <v>5</v>
      </c>
      <c r="E83" s="2">
        <v>99.6</v>
      </c>
      <c r="F83" s="2">
        <v>120.9</v>
      </c>
      <c r="G83" s="2">
        <v>124.7</v>
      </c>
      <c r="H83" s="2">
        <v>114.7</v>
      </c>
      <c r="I83" s="2">
        <v>131.19999999999999</v>
      </c>
      <c r="J83" s="2">
        <v>136.19999999999999</v>
      </c>
      <c r="K83" s="2">
        <v>141.80000000000001</v>
      </c>
      <c r="L83" s="2">
        <v>147.80000000000001</v>
      </c>
      <c r="M83" s="2">
        <v>155.19999999999999</v>
      </c>
      <c r="N83" s="1">
        <v>165</v>
      </c>
      <c r="O83" s="1">
        <v>179.82124827044612</v>
      </c>
      <c r="P83" s="1">
        <v>200.07385662465876</v>
      </c>
      <c r="Q83" s="1">
        <v>216.87670618151901</v>
      </c>
      <c r="R83" s="1">
        <v>225.30758012041434</v>
      </c>
      <c r="S83" s="1">
        <v>232.51561272951648</v>
      </c>
      <c r="T83" s="1">
        <v>234.45785497924538</v>
      </c>
      <c r="U83" s="1">
        <v>234.5770539620807</v>
      </c>
      <c r="V83" s="1">
        <v>234.5770539620807</v>
      </c>
      <c r="W83" s="1">
        <v>234.5770539620807</v>
      </c>
      <c r="X83" s="1">
        <v>234.5770539620807</v>
      </c>
      <c r="Y83" s="1">
        <v>236.49545641524256</v>
      </c>
      <c r="Z83" s="1">
        <v>238.8934594816948</v>
      </c>
      <c r="AA83" s="1">
        <v>239.37306009498525</v>
      </c>
      <c r="AB83" s="1">
        <v>239.37306009498525</v>
      </c>
      <c r="AC83" s="1">
        <v>241.66168056542389</v>
      </c>
      <c r="AD83" s="1">
        <v>245.80980516809393</v>
      </c>
      <c r="AE83" s="1">
        <v>247.99114655398077</v>
      </c>
      <c r="AF83" s="1">
        <v>248.31298380763621</v>
      </c>
      <c r="AG83" s="1">
        <v>248.31298380763621</v>
      </c>
      <c r="AH83" s="1">
        <v>248.31298380763621</v>
      </c>
      <c r="AI83" s="1">
        <v>248.31298380763621</v>
      </c>
      <c r="AJ83" s="1">
        <v>248.31298380763621</v>
      </c>
      <c r="AK83" s="1">
        <v>248.31298380763621</v>
      </c>
      <c r="AL83" s="1">
        <v>248.31298380763621</v>
      </c>
      <c r="AM83" s="1">
        <v>248.31298380763621</v>
      </c>
      <c r="AN83" s="1">
        <v>248.31298380763621</v>
      </c>
    </row>
    <row r="84" spans="1:40" x14ac:dyDescent="0.25">
      <c r="A84" t="s">
        <v>25</v>
      </c>
      <c r="B84" t="s">
        <v>22</v>
      </c>
      <c r="C84" t="s">
        <v>8</v>
      </c>
      <c r="D84" t="s">
        <v>6</v>
      </c>
      <c r="E84" s="2">
        <v>69.7</v>
      </c>
      <c r="F84" s="2">
        <v>78.5</v>
      </c>
      <c r="G84" s="2">
        <v>85.2</v>
      </c>
      <c r="H84" s="2">
        <v>92.7</v>
      </c>
      <c r="I84" s="2">
        <v>105.5</v>
      </c>
      <c r="J84" s="2">
        <v>120.1</v>
      </c>
      <c r="K84" s="2">
        <v>135.4</v>
      </c>
      <c r="L84" s="2">
        <v>157.69999999999999</v>
      </c>
      <c r="M84" s="2">
        <v>176.2</v>
      </c>
      <c r="N84" s="1">
        <v>201.2</v>
      </c>
      <c r="O84" s="1">
        <v>212.09415924984106</v>
      </c>
      <c r="P84" s="1">
        <v>237.279493165925</v>
      </c>
      <c r="Q84" s="1">
        <v>260.52864748887475</v>
      </c>
      <c r="R84" s="1">
        <v>269.92728862047045</v>
      </c>
      <c r="S84" s="1">
        <v>274.18865225683408</v>
      </c>
      <c r="T84" s="1">
        <v>275.99054354736177</v>
      </c>
      <c r="U84" s="1">
        <v>277.6331849968214</v>
      </c>
      <c r="V84" s="1">
        <v>280.21136363636367</v>
      </c>
      <c r="W84" s="1">
        <v>283.61784806102992</v>
      </c>
      <c r="X84" s="1">
        <v>285.31397012078833</v>
      </c>
      <c r="Y84" s="1">
        <v>286.43841385886839</v>
      </c>
      <c r="Z84" s="1">
        <v>293.59035282898924</v>
      </c>
      <c r="AA84" s="1">
        <v>300.24165607120153</v>
      </c>
      <c r="AB84" s="1">
        <v>306.42736808645901</v>
      </c>
      <c r="AC84" s="1">
        <v>312.18008026064842</v>
      </c>
      <c r="AD84" s="1">
        <v>317.53010258264459</v>
      </c>
      <c r="AE84" s="1">
        <v>322.50562334210105</v>
      </c>
      <c r="AF84" s="1">
        <v>327.1328576483956</v>
      </c>
      <c r="AG84" s="1">
        <v>331.43618555324946</v>
      </c>
      <c r="AH84" s="1">
        <v>335.43828050476361</v>
      </c>
      <c r="AI84" s="1">
        <v>339.16022880967171</v>
      </c>
      <c r="AJ84" s="1">
        <v>342.62164073323629</v>
      </c>
      <c r="AK84" s="1">
        <v>345.84075382215127</v>
      </c>
      <c r="AL84" s="1">
        <v>348.83452899484223</v>
      </c>
      <c r="AM84" s="1">
        <v>351.6187399054449</v>
      </c>
      <c r="AN84" s="1">
        <v>354.3055034341765</v>
      </c>
    </row>
    <row r="85" spans="1:40" x14ac:dyDescent="0.25">
      <c r="A85" t="s">
        <v>25</v>
      </c>
      <c r="B85" t="s">
        <v>22</v>
      </c>
      <c r="C85" t="s">
        <v>8</v>
      </c>
      <c r="D85" t="s">
        <v>7</v>
      </c>
      <c r="E85" s="2">
        <v>86.9</v>
      </c>
      <c r="F85" s="2">
        <v>104.6</v>
      </c>
      <c r="G85" s="2">
        <v>109.3</v>
      </c>
      <c r="H85" s="2">
        <v>103.9</v>
      </c>
      <c r="I85" s="2">
        <v>121.7</v>
      </c>
      <c r="J85" s="2">
        <v>126.3</v>
      </c>
      <c r="K85" s="2">
        <v>137.1</v>
      </c>
      <c r="L85" s="2">
        <v>145.19999999999999</v>
      </c>
      <c r="M85" s="2">
        <v>148.80000000000001</v>
      </c>
      <c r="N85" s="1">
        <v>151.69999999999999</v>
      </c>
      <c r="O85" s="1">
        <v>159.12428480610299</v>
      </c>
      <c r="P85" s="1">
        <v>161.87062937062939</v>
      </c>
      <c r="Q85" s="1">
        <v>167.94977749523204</v>
      </c>
      <c r="R85" s="1">
        <v>176.74666242848059</v>
      </c>
      <c r="S85" s="1">
        <v>183.58868404322951</v>
      </c>
      <c r="T85" s="1">
        <v>185.23958995549904</v>
      </c>
      <c r="U85" s="1">
        <v>185.34090909090909</v>
      </c>
      <c r="V85" s="1">
        <v>185.34090909090909</v>
      </c>
      <c r="W85" s="1">
        <v>186.48521932612843</v>
      </c>
      <c r="X85" s="1">
        <v>187.9156071201526</v>
      </c>
      <c r="Y85" s="1">
        <v>188.20168467895741</v>
      </c>
      <c r="Z85" s="1">
        <v>188.20168467895741</v>
      </c>
      <c r="AA85" s="1">
        <v>189.34599491417674</v>
      </c>
      <c r="AB85" s="1">
        <v>190.77638270820088</v>
      </c>
      <c r="AC85" s="1">
        <v>191.06246026700572</v>
      </c>
      <c r="AD85" s="1">
        <v>191.06246026700572</v>
      </c>
      <c r="AE85" s="1">
        <v>192.20677050222505</v>
      </c>
      <c r="AF85" s="1">
        <v>193.63715829624923</v>
      </c>
      <c r="AG85" s="1">
        <v>193.92323585505406</v>
      </c>
      <c r="AH85" s="1">
        <v>193.92323585505406</v>
      </c>
      <c r="AI85" s="1">
        <v>195.06754609027337</v>
      </c>
      <c r="AJ85" s="1">
        <v>196.49793388429754</v>
      </c>
      <c r="AK85" s="1">
        <v>196.78401144310234</v>
      </c>
      <c r="AL85" s="1">
        <v>196.78401144310234</v>
      </c>
      <c r="AM85" s="1">
        <v>196.78401144310234</v>
      </c>
      <c r="AN85" s="1">
        <v>196.78401144310234</v>
      </c>
    </row>
    <row r="86" spans="1:40" x14ac:dyDescent="0.25">
      <c r="A86" t="s">
        <v>25</v>
      </c>
      <c r="B86" t="s">
        <v>22</v>
      </c>
      <c r="C86" t="s">
        <v>9</v>
      </c>
      <c r="D86" t="s">
        <v>23</v>
      </c>
      <c r="E86" s="1">
        <v>7.2869805479452054</v>
      </c>
      <c r="F86" s="1">
        <v>6.622195616438356</v>
      </c>
      <c r="G86" s="1">
        <v>6.1339942465753419</v>
      </c>
      <c r="H86" s="1">
        <v>5.5603625479452052</v>
      </c>
      <c r="I86" s="1">
        <v>5.4598043835616439</v>
      </c>
      <c r="J86" s="1">
        <v>5.553782739726028</v>
      </c>
      <c r="K86" s="1">
        <v>5.9021945205479458</v>
      </c>
      <c r="L86" s="1">
        <v>6.3079616438356165</v>
      </c>
      <c r="M86" s="1">
        <v>6.5653643835616444</v>
      </c>
      <c r="N86" s="1">
        <v>7.872738992871974</v>
      </c>
      <c r="O86" s="1">
        <v>8.7970152729648898</v>
      </c>
      <c r="P86" s="1">
        <v>9.0937856439647113</v>
      </c>
      <c r="Q86" s="1">
        <v>9.304662917407251</v>
      </c>
      <c r="R86" s="1">
        <v>9.488205490747271</v>
      </c>
      <c r="S86" s="1">
        <v>9.4352753518388326</v>
      </c>
      <c r="T86" s="1">
        <v>9.407261716097004</v>
      </c>
      <c r="U86" s="1">
        <v>9.7006595607296493</v>
      </c>
      <c r="V86" s="1">
        <v>10.173905827013233</v>
      </c>
      <c r="W86" s="1">
        <v>10.566857971478026</v>
      </c>
      <c r="X86" s="1">
        <v>10.844659533850479</v>
      </c>
      <c r="Y86" s="1">
        <v>11.100032491655634</v>
      </c>
      <c r="Z86" s="1">
        <v>11.32362119014838</v>
      </c>
      <c r="AA86" s="1">
        <v>11.5123773343752</v>
      </c>
      <c r="AB86" s="1">
        <v>11.654256109991199</v>
      </c>
      <c r="AC86" s="1">
        <v>11.763628590882661</v>
      </c>
      <c r="AD86" s="1">
        <v>11.840641184693865</v>
      </c>
      <c r="AE86" s="1">
        <v>11.883859889944961</v>
      </c>
      <c r="AF86" s="1">
        <v>11.907237745478014</v>
      </c>
      <c r="AG86" s="1">
        <v>11.900915350566816</v>
      </c>
      <c r="AH86" s="1">
        <v>11.884090530186668</v>
      </c>
      <c r="AI86" s="1">
        <v>11.824552313676683</v>
      </c>
      <c r="AJ86" s="1">
        <v>11.74678228252403</v>
      </c>
      <c r="AK86" s="1">
        <v>11.656408434234475</v>
      </c>
      <c r="AL86" s="1">
        <v>11.559848673415349</v>
      </c>
      <c r="AM86" s="1">
        <v>11.448123291614186</v>
      </c>
      <c r="AN86" s="1">
        <v>11.32141239498592</v>
      </c>
    </row>
    <row r="87" spans="1:40" x14ac:dyDescent="0.25">
      <c r="A87" t="s">
        <v>25</v>
      </c>
      <c r="B87" t="s">
        <v>22</v>
      </c>
      <c r="C87" t="s">
        <v>9</v>
      </c>
      <c r="D87" t="s">
        <v>1</v>
      </c>
      <c r="E87" s="1">
        <v>5.3115068493150686</v>
      </c>
      <c r="F87" s="1">
        <v>4.5769863013698631</v>
      </c>
      <c r="G87" s="1">
        <v>4.18958904109589</v>
      </c>
      <c r="H87" s="1">
        <v>3.6761643835616438</v>
      </c>
      <c r="I87" s="1">
        <v>3.4863013698630136</v>
      </c>
      <c r="J87" s="1">
        <v>3.35</v>
      </c>
      <c r="K87" s="1">
        <v>3.24</v>
      </c>
      <c r="L87" s="1">
        <v>3.38</v>
      </c>
      <c r="M87" s="1">
        <v>3.1434000000000002</v>
      </c>
      <c r="N87" s="1">
        <v>3.4303115956117001</v>
      </c>
      <c r="O87" s="1">
        <v>3.8831301516858181</v>
      </c>
      <c r="P87" s="1">
        <v>3.9833097345235942</v>
      </c>
      <c r="Q87" s="1">
        <v>3.9983170430176505</v>
      </c>
      <c r="R87" s="1">
        <v>4.0038680150500241</v>
      </c>
      <c r="S87" s="1">
        <v>3.8121368933365924</v>
      </c>
      <c r="T87" s="1">
        <v>3.5922847649523639</v>
      </c>
      <c r="U87" s="1">
        <v>3.5607378065374649</v>
      </c>
      <c r="V87" s="1">
        <v>3.6656272278784185</v>
      </c>
      <c r="W87" s="1">
        <v>3.7547516583673914</v>
      </c>
      <c r="X87" s="1">
        <v>3.8130845927341541</v>
      </c>
      <c r="Y87" s="1">
        <v>3.9044651311263601</v>
      </c>
      <c r="Z87" s="1">
        <v>3.9955781221610049</v>
      </c>
      <c r="AA87" s="1">
        <v>4.0904735805467807</v>
      </c>
      <c r="AB87" s="1">
        <v>4.181847571097153</v>
      </c>
      <c r="AC87" s="1">
        <v>4.2540371190064565</v>
      </c>
      <c r="AD87" s="1">
        <v>4.3012724814225889</v>
      </c>
      <c r="AE87" s="1">
        <v>4.3233975836031062</v>
      </c>
      <c r="AF87" s="1">
        <v>4.3315038652731168</v>
      </c>
      <c r="AG87" s="1">
        <v>4.3226740536993349</v>
      </c>
      <c r="AH87" s="1">
        <v>4.3049467407140085</v>
      </c>
      <c r="AI87" s="1">
        <v>4.2621316002698375</v>
      </c>
      <c r="AJ87" s="1">
        <v>4.2147240828458488</v>
      </c>
      <c r="AK87" s="1">
        <v>4.1647993900975706</v>
      </c>
      <c r="AL87" s="1">
        <v>4.1147290240806758</v>
      </c>
      <c r="AM87" s="1">
        <v>4.057567504868369</v>
      </c>
      <c r="AN87" s="1">
        <v>3.9932810233932878</v>
      </c>
    </row>
    <row r="88" spans="1:40" x14ac:dyDescent="0.25">
      <c r="A88" t="s">
        <v>25</v>
      </c>
      <c r="B88" t="s">
        <v>22</v>
      </c>
      <c r="C88" t="s">
        <v>9</v>
      </c>
      <c r="D88" t="s">
        <v>3</v>
      </c>
      <c r="E88" s="1">
        <v>1.4256134246575345</v>
      </c>
      <c r="F88" s="1">
        <v>1.4450832876712327</v>
      </c>
      <c r="G88" s="1">
        <v>1.2885339726027401</v>
      </c>
      <c r="H88" s="1">
        <v>1.1673954246575342</v>
      </c>
      <c r="I88" s="1">
        <v>1.2573030136986305</v>
      </c>
      <c r="J88" s="1">
        <v>1.4170704109589043</v>
      </c>
      <c r="K88" s="1">
        <v>1.7829972602739728</v>
      </c>
      <c r="L88" s="1">
        <v>2.0267041095890415</v>
      </c>
      <c r="M88" s="1">
        <v>2.4636027397260269</v>
      </c>
      <c r="N88" s="1">
        <v>3.0124273972602742</v>
      </c>
      <c r="O88" s="1">
        <v>2.9723200454361627</v>
      </c>
      <c r="P88" s="1">
        <v>3.1188210421793205</v>
      </c>
      <c r="Q88" s="1">
        <v>3.3071873528807751</v>
      </c>
      <c r="R88" s="1">
        <v>3.4824034681722353</v>
      </c>
      <c r="S88" s="1">
        <v>3.7170700118339437</v>
      </c>
      <c r="T88" s="1">
        <v>4.0188345686684572</v>
      </c>
      <c r="U88" s="1">
        <v>4.3595528509234516</v>
      </c>
      <c r="V88" s="1">
        <v>4.6754649851956049</v>
      </c>
      <c r="W88" s="1">
        <v>4.9347304839269386</v>
      </c>
      <c r="X88" s="1">
        <v>5.1250326447492478</v>
      </c>
      <c r="Y88" s="1">
        <v>5.2433347949660938</v>
      </c>
      <c r="Z88" s="1">
        <v>5.3302540069068733</v>
      </c>
      <c r="AA88" s="1">
        <v>5.3766669635550279</v>
      </c>
      <c r="AB88" s="1">
        <v>5.3814847533454708</v>
      </c>
      <c r="AC88" s="1">
        <v>5.3825729123729751</v>
      </c>
      <c r="AD88" s="1">
        <v>5.3887324625599815</v>
      </c>
      <c r="AE88" s="1">
        <v>5.3987635145403017</v>
      </c>
      <c r="AF88" s="1">
        <v>5.4099819475683386</v>
      </c>
      <c r="AG88" s="1">
        <v>5.416904270017814</v>
      </c>
      <c r="AH88" s="1">
        <v>5.4266704191156556</v>
      </c>
      <c r="AI88" s="1">
        <v>5.4313549132719281</v>
      </c>
      <c r="AJ88" s="1">
        <v>5.4246961582552586</v>
      </c>
      <c r="AK88" s="1">
        <v>5.409209349088119</v>
      </c>
      <c r="AL88" s="1">
        <v>5.3877551372943353</v>
      </c>
      <c r="AM88" s="1">
        <v>5.3617720343116329</v>
      </c>
      <c r="AN88" s="1">
        <v>5.3314908598959878</v>
      </c>
    </row>
    <row r="89" spans="1:40" x14ac:dyDescent="0.25">
      <c r="A89" t="s">
        <v>25</v>
      </c>
      <c r="B89" t="s">
        <v>22</v>
      </c>
      <c r="C89" t="s">
        <v>9</v>
      </c>
      <c r="D89" t="s">
        <v>10</v>
      </c>
      <c r="E89" s="1">
        <v>0.54986027397260273</v>
      </c>
      <c r="F89" s="1">
        <v>0.60012602739726029</v>
      </c>
      <c r="G89" s="1">
        <v>0.65587123287671234</v>
      </c>
      <c r="H89" s="1">
        <v>0.71680273972602748</v>
      </c>
      <c r="I89" s="1">
        <v>0.71619999999999984</v>
      </c>
      <c r="J89" s="1">
        <v>0.78671232876712338</v>
      </c>
      <c r="K89" s="1">
        <v>0.8791972602739726</v>
      </c>
      <c r="L89" s="1">
        <v>0.90125753424657529</v>
      </c>
      <c r="M89" s="1">
        <v>0.95836164383561662</v>
      </c>
      <c r="N89" s="1">
        <v>1.43</v>
      </c>
      <c r="O89" s="1">
        <v>1.941565075842909</v>
      </c>
      <c r="P89" s="1">
        <v>1.9916548672617971</v>
      </c>
      <c r="Q89" s="1">
        <v>1.9991585215088252</v>
      </c>
      <c r="R89" s="1">
        <v>2.001934007525012</v>
      </c>
      <c r="S89" s="1">
        <v>1.9060684466682962</v>
      </c>
      <c r="T89" s="1">
        <v>1.796142382476182</v>
      </c>
      <c r="U89" s="1">
        <v>1.7803689032687324</v>
      </c>
      <c r="V89" s="1">
        <v>1.8328136139392093</v>
      </c>
      <c r="W89" s="1">
        <v>1.8773758291836957</v>
      </c>
      <c r="X89" s="1">
        <v>1.9065422963670771</v>
      </c>
      <c r="Y89" s="1">
        <v>1.95223256556318</v>
      </c>
      <c r="Z89" s="1">
        <v>1.9977890610805025</v>
      </c>
      <c r="AA89" s="1">
        <v>2.0452367902733903</v>
      </c>
      <c r="AB89" s="1">
        <v>2.0909237855485765</v>
      </c>
      <c r="AC89" s="1">
        <v>2.1270185595032283</v>
      </c>
      <c r="AD89" s="1">
        <v>2.1506362407112944</v>
      </c>
      <c r="AE89" s="1">
        <v>2.1616987918015531</v>
      </c>
      <c r="AF89" s="1">
        <v>2.1657519326365584</v>
      </c>
      <c r="AG89" s="1">
        <v>2.1613370268496674</v>
      </c>
      <c r="AH89" s="1">
        <v>2.1524733703570043</v>
      </c>
      <c r="AI89" s="1">
        <v>2.1310658001349188</v>
      </c>
      <c r="AJ89" s="1">
        <v>2.1073620414229244</v>
      </c>
      <c r="AK89" s="1">
        <v>2.0823996950487853</v>
      </c>
      <c r="AL89" s="1">
        <v>2.0573645120403379</v>
      </c>
      <c r="AM89" s="1">
        <v>2.0287837524341845</v>
      </c>
      <c r="AN89" s="1">
        <v>1.9966405116966439</v>
      </c>
    </row>
    <row r="90" spans="1:40" x14ac:dyDescent="0.25">
      <c r="A90" t="s">
        <v>25</v>
      </c>
      <c r="B90" t="s">
        <v>22</v>
      </c>
      <c r="C90" t="s">
        <v>11</v>
      </c>
      <c r="D90" t="s">
        <v>23</v>
      </c>
      <c r="E90" s="1">
        <v>2.2085945205479454</v>
      </c>
      <c r="F90" s="1">
        <v>3.015890410958904</v>
      </c>
      <c r="G90" s="1">
        <v>3.5317808219178084</v>
      </c>
      <c r="H90" s="1">
        <v>3.7389041095890412</v>
      </c>
      <c r="I90" s="1">
        <v>4.0769863013698631</v>
      </c>
      <c r="J90" s="1">
        <v>4.42</v>
      </c>
      <c r="K90" s="1">
        <v>6.46</v>
      </c>
      <c r="L90" s="1">
        <v>8.1199999999999992</v>
      </c>
      <c r="M90" s="1">
        <v>8.82</v>
      </c>
      <c r="N90" s="1">
        <v>7.3047777861937035</v>
      </c>
      <c r="O90" s="1">
        <v>6.0305297335655244</v>
      </c>
      <c r="P90" s="1">
        <v>5.2774799553191851</v>
      </c>
      <c r="Q90" s="1">
        <v>4.7174817216918932</v>
      </c>
      <c r="R90" s="1">
        <v>4.2574972376130757</v>
      </c>
      <c r="S90" s="1">
        <v>3.8971825167863465</v>
      </c>
      <c r="T90" s="1">
        <v>3.5992511327841696</v>
      </c>
      <c r="U90" s="1">
        <v>3.3402435817812735</v>
      </c>
      <c r="V90" s="1">
        <v>3.1196149254459327</v>
      </c>
      <c r="W90" s="1">
        <v>2.9424342998058721</v>
      </c>
      <c r="X90" s="1">
        <v>2.7967817953032439</v>
      </c>
      <c r="Y90" s="1">
        <v>2.6825335416177571</v>
      </c>
      <c r="Z90" s="1">
        <v>2.5956146677031922</v>
      </c>
      <c r="AA90" s="1">
        <v>2.5261769751683638</v>
      </c>
      <c r="AB90" s="1">
        <v>2.4651127582110393</v>
      </c>
      <c r="AC90" s="1">
        <v>2.4053876437697523</v>
      </c>
      <c r="AD90" s="1">
        <v>2.3417830198888723</v>
      </c>
      <c r="AE90" s="1">
        <v>2.2737928672169807</v>
      </c>
      <c r="AF90" s="1">
        <v>2.213688496153388</v>
      </c>
      <c r="AG90" s="1">
        <v>2.1505539674714362</v>
      </c>
      <c r="AH90" s="1">
        <v>2.0604340379436992</v>
      </c>
      <c r="AI90" s="1">
        <v>1.9729417063332355</v>
      </c>
      <c r="AJ90" s="1">
        <v>1.8951447960774219</v>
      </c>
      <c r="AK90" s="1">
        <v>1.8180141241020908</v>
      </c>
      <c r="AL90" s="1">
        <v>1.7668427335034622</v>
      </c>
      <c r="AM90" s="1">
        <v>1.7199214943071268</v>
      </c>
      <c r="AN90" s="1">
        <v>1.6754629168717274</v>
      </c>
    </row>
    <row r="91" spans="1:40" x14ac:dyDescent="0.25">
      <c r="A91" t="s">
        <v>25</v>
      </c>
      <c r="B91" t="s">
        <v>22</v>
      </c>
      <c r="C91" t="s">
        <v>11</v>
      </c>
      <c r="D91" t="s">
        <v>1</v>
      </c>
      <c r="E91" s="1">
        <v>2.2085945205479454</v>
      </c>
      <c r="F91" s="1">
        <v>3.015890410958904</v>
      </c>
      <c r="G91" s="1">
        <v>3.5317808219178084</v>
      </c>
      <c r="H91" s="1">
        <v>3.7389041095890412</v>
      </c>
      <c r="I91" s="1">
        <v>4.0769863013698631</v>
      </c>
      <c r="J91" s="1">
        <v>4.42</v>
      </c>
      <c r="K91" s="1">
        <v>6.46</v>
      </c>
      <c r="L91" s="1">
        <v>8.1199999999999992</v>
      </c>
      <c r="M91" s="1">
        <v>8.82</v>
      </c>
      <c r="N91" s="1">
        <v>7.3047777861937035</v>
      </c>
      <c r="O91" s="1">
        <v>6.0305297335655244</v>
      </c>
      <c r="P91" s="1">
        <v>5.2774799553191851</v>
      </c>
      <c r="Q91" s="1">
        <v>4.7174817216918932</v>
      </c>
      <c r="R91" s="1">
        <v>4.2574972376130757</v>
      </c>
      <c r="S91" s="1">
        <v>3.8971825167863465</v>
      </c>
      <c r="T91" s="1">
        <v>3.5992511327841696</v>
      </c>
      <c r="U91" s="1">
        <v>3.3402435817812735</v>
      </c>
      <c r="V91" s="1">
        <v>3.1196149254459327</v>
      </c>
      <c r="W91" s="1">
        <v>2.9424342998058721</v>
      </c>
      <c r="X91" s="1">
        <v>2.7967817953032439</v>
      </c>
      <c r="Y91" s="1">
        <v>2.6825335416177571</v>
      </c>
      <c r="Z91" s="1">
        <v>2.5956146677031922</v>
      </c>
      <c r="AA91" s="1">
        <v>2.5261769751683638</v>
      </c>
      <c r="AB91" s="1">
        <v>2.4651127582110393</v>
      </c>
      <c r="AC91" s="1">
        <v>2.4053876437697523</v>
      </c>
      <c r="AD91" s="1">
        <v>2.3417830198888723</v>
      </c>
      <c r="AE91" s="1">
        <v>2.2737928672169807</v>
      </c>
      <c r="AF91" s="1">
        <v>2.213688496153388</v>
      </c>
      <c r="AG91" s="1">
        <v>2.1505539674714362</v>
      </c>
      <c r="AH91" s="1">
        <v>2.0604340379436992</v>
      </c>
      <c r="AI91" s="1">
        <v>1.9729417063332355</v>
      </c>
      <c r="AJ91" s="1">
        <v>1.8951447960774219</v>
      </c>
      <c r="AK91" s="1">
        <v>1.8180141241020908</v>
      </c>
      <c r="AL91" s="1">
        <v>1.7668427335034622</v>
      </c>
      <c r="AM91" s="1">
        <v>1.7199214943071268</v>
      </c>
      <c r="AN91" s="1">
        <v>1.6754629168717274</v>
      </c>
    </row>
    <row r="92" spans="1:40" x14ac:dyDescent="0.25">
      <c r="A92" t="s">
        <v>25</v>
      </c>
      <c r="B92" t="s">
        <v>22</v>
      </c>
      <c r="C92" t="s">
        <v>12</v>
      </c>
      <c r="D92" t="s">
        <v>23</v>
      </c>
      <c r="E92" s="1">
        <v>48.466882191780826</v>
      </c>
      <c r="F92" s="1">
        <v>48.277846575342465</v>
      </c>
      <c r="G92" s="1">
        <v>58.576986301369864</v>
      </c>
      <c r="H92" s="1">
        <v>54.554520547945202</v>
      </c>
      <c r="I92" s="1">
        <v>42.550684931506844</v>
      </c>
      <c r="J92" s="1">
        <v>43.853011524244394</v>
      </c>
      <c r="K92" s="1">
        <v>42.14</v>
      </c>
      <c r="L92" s="1">
        <v>31.429560381305837</v>
      </c>
      <c r="M92" s="1">
        <v>36.872529243563093</v>
      </c>
      <c r="N92" s="1">
        <v>34.344578260774881</v>
      </c>
      <c r="O92" s="1">
        <v>33.948034815394557</v>
      </c>
      <c r="P92" s="1">
        <v>40.488367354646421</v>
      </c>
      <c r="Q92" s="1">
        <v>38.775015848912567</v>
      </c>
      <c r="R92" s="1">
        <v>48.739131737126421</v>
      </c>
      <c r="S92" s="1">
        <v>49.282807608357842</v>
      </c>
      <c r="T92" s="1">
        <v>43.187995700186285</v>
      </c>
      <c r="U92" s="1">
        <v>42.042530087790446</v>
      </c>
      <c r="V92" s="1">
        <v>42.907182862518333</v>
      </c>
      <c r="W92" s="1">
        <v>37.62584444811597</v>
      </c>
      <c r="X92" s="1">
        <v>37.225444690633658</v>
      </c>
      <c r="Y92" s="1">
        <v>34</v>
      </c>
      <c r="Z92" s="1">
        <v>29.831564692579366</v>
      </c>
      <c r="AA92" s="1">
        <v>22.980856421803953</v>
      </c>
      <c r="AB92" s="1">
        <v>20.191355014193142</v>
      </c>
      <c r="AC92" s="1">
        <v>18.746972686268929</v>
      </c>
      <c r="AD92" s="1">
        <v>20.706509556925699</v>
      </c>
      <c r="AE92" s="1">
        <v>29.196229471667316</v>
      </c>
      <c r="AF92" s="1">
        <v>31.396529960431607</v>
      </c>
      <c r="AG92" s="1">
        <v>28.123723589896507</v>
      </c>
      <c r="AH92" s="1">
        <v>25.516271652489998</v>
      </c>
      <c r="AI92" s="1">
        <v>24.67464587063705</v>
      </c>
      <c r="AJ92" s="1">
        <v>22.280810060696009</v>
      </c>
      <c r="AK92" s="1">
        <v>21.793570623332329</v>
      </c>
      <c r="AL92" s="1">
        <v>18.982942898060763</v>
      </c>
      <c r="AM92" s="1">
        <v>16.470509401597678</v>
      </c>
      <c r="AN92" s="1">
        <v>14.88484621245567</v>
      </c>
    </row>
    <row r="93" spans="1:40" x14ac:dyDescent="0.25">
      <c r="A93" t="s">
        <v>25</v>
      </c>
      <c r="B93" t="s">
        <v>22</v>
      </c>
      <c r="C93" t="s">
        <v>12</v>
      </c>
      <c r="D93" t="s">
        <v>1</v>
      </c>
      <c r="E93" s="1">
        <v>48.466882191780826</v>
      </c>
      <c r="F93" s="1">
        <v>48.277846575342465</v>
      </c>
      <c r="G93" s="1">
        <v>58.576986301369864</v>
      </c>
      <c r="H93" s="1">
        <v>54.554520547945202</v>
      </c>
      <c r="I93" s="1">
        <v>42.550684931506844</v>
      </c>
      <c r="J93" s="1">
        <v>43.853011524244394</v>
      </c>
      <c r="K93" s="1">
        <v>42.14</v>
      </c>
      <c r="L93" s="1">
        <v>31.429560381305837</v>
      </c>
      <c r="M93" s="1">
        <v>36.872529243563093</v>
      </c>
      <c r="N93" s="1">
        <v>34.344578260774881</v>
      </c>
      <c r="O93" s="1">
        <v>33.948034815394557</v>
      </c>
      <c r="P93" s="1">
        <v>40.488367354646421</v>
      </c>
      <c r="Q93" s="1">
        <v>38.775015848912567</v>
      </c>
      <c r="R93" s="1">
        <v>48.739131737126421</v>
      </c>
      <c r="S93" s="1">
        <v>49.282807608357842</v>
      </c>
      <c r="T93" s="1">
        <v>43.187995700186285</v>
      </c>
      <c r="U93" s="1">
        <v>42.042530087790446</v>
      </c>
      <c r="V93" s="1">
        <v>42.907182862518333</v>
      </c>
      <c r="W93" s="1">
        <v>37.62584444811597</v>
      </c>
      <c r="X93" s="1">
        <v>37.225444690633658</v>
      </c>
      <c r="Y93" s="1">
        <v>34</v>
      </c>
      <c r="Z93" s="1">
        <v>29.831564692579366</v>
      </c>
      <c r="AA93" s="1">
        <v>22.980856421803953</v>
      </c>
      <c r="AB93" s="1">
        <v>20.191355014193142</v>
      </c>
      <c r="AC93" s="1">
        <v>18.746972686268929</v>
      </c>
      <c r="AD93" s="1">
        <v>20.706509556925699</v>
      </c>
      <c r="AE93" s="1">
        <v>29.196229471667316</v>
      </c>
      <c r="AF93" s="1">
        <v>31.396529960431607</v>
      </c>
      <c r="AG93" s="1">
        <v>28.123723589896507</v>
      </c>
      <c r="AH93" s="1">
        <v>25.516271652489998</v>
      </c>
      <c r="AI93" s="1">
        <v>24.67464587063705</v>
      </c>
      <c r="AJ93" s="1">
        <v>22.280810060696009</v>
      </c>
      <c r="AK93" s="1">
        <v>21.793570623332329</v>
      </c>
      <c r="AL93" s="1">
        <v>18.982942898060763</v>
      </c>
      <c r="AM93" s="1">
        <v>16.470509401597678</v>
      </c>
      <c r="AN93" s="1">
        <v>14.88484621245567</v>
      </c>
    </row>
    <row r="94" spans="1:40" x14ac:dyDescent="0.25">
      <c r="A94" t="s">
        <v>25</v>
      </c>
      <c r="B94" t="s">
        <v>22</v>
      </c>
      <c r="C94" t="s">
        <v>13</v>
      </c>
      <c r="D94" t="s">
        <v>23</v>
      </c>
      <c r="E94" s="1">
        <v>2.9858876712328768</v>
      </c>
      <c r="F94" s="1">
        <v>2.9663753424657533</v>
      </c>
      <c r="G94" s="1">
        <v>2.7860273972602738</v>
      </c>
      <c r="H94" s="1">
        <v>2.5797260273972604</v>
      </c>
      <c r="I94" s="1">
        <v>2.4693150684931506</v>
      </c>
      <c r="J94" s="1">
        <v>2.39</v>
      </c>
      <c r="K94" s="1">
        <v>1.67</v>
      </c>
      <c r="L94" s="1">
        <v>2.0670000000000002</v>
      </c>
      <c r="M94" s="1">
        <v>1.9636499999999999</v>
      </c>
      <c r="N94" s="1">
        <v>1.69</v>
      </c>
      <c r="O94" s="1">
        <v>1.61</v>
      </c>
      <c r="P94" s="1">
        <v>1.5295000000000001</v>
      </c>
      <c r="Q94" s="1">
        <v>1.453025</v>
      </c>
      <c r="R94" s="1">
        <v>1.38037375</v>
      </c>
      <c r="S94" s="1">
        <v>1.3113550624999999</v>
      </c>
      <c r="T94" s="1">
        <v>1.2457873093749998</v>
      </c>
      <c r="U94" s="1">
        <v>1.1834979439062498</v>
      </c>
      <c r="V94" s="1">
        <v>1.1243230467109373</v>
      </c>
      <c r="W94" s="1">
        <v>1.0681068943753904</v>
      </c>
      <c r="X94" s="1">
        <v>1.0147015496566207</v>
      </c>
      <c r="Y94" s="1">
        <v>0.96396647217378961</v>
      </c>
      <c r="Z94" s="1">
        <v>0.91576814856510014</v>
      </c>
      <c r="AA94" s="1">
        <v>0.86997974113684506</v>
      </c>
      <c r="AB94" s="1">
        <v>0.82648075408000277</v>
      </c>
      <c r="AC94" s="1">
        <v>0.78515671637600259</v>
      </c>
      <c r="AD94" s="1">
        <v>0.74589888055720244</v>
      </c>
      <c r="AE94" s="1">
        <v>0.70860393652934228</v>
      </c>
      <c r="AF94" s="1">
        <v>0.67317373970287508</v>
      </c>
      <c r="AG94" s="1">
        <v>0.63951505271773135</v>
      </c>
      <c r="AH94" s="1">
        <v>0.60753930008184476</v>
      </c>
      <c r="AI94" s="1">
        <v>0.5771623350777525</v>
      </c>
      <c r="AJ94" s="1">
        <v>0.54830421832386489</v>
      </c>
      <c r="AK94" s="1">
        <v>0.52088900740767163</v>
      </c>
      <c r="AL94" s="1">
        <v>0.49484455703728802</v>
      </c>
      <c r="AM94" s="1">
        <v>0.47010232918542361</v>
      </c>
      <c r="AN94" s="1">
        <v>0.44659721272615238</v>
      </c>
    </row>
    <row r="95" spans="1:40" x14ac:dyDescent="0.25">
      <c r="A95" t="s">
        <v>25</v>
      </c>
      <c r="B95" t="s">
        <v>22</v>
      </c>
      <c r="C95" t="s">
        <v>13</v>
      </c>
      <c r="D95" t="s">
        <v>1</v>
      </c>
      <c r="E95" s="1">
        <v>2.9858876712328768</v>
      </c>
      <c r="F95" s="1">
        <v>2.9663753424657533</v>
      </c>
      <c r="G95" s="1">
        <v>2.7860273972602738</v>
      </c>
      <c r="H95" s="1">
        <v>2.5797260273972604</v>
      </c>
      <c r="I95" s="1">
        <v>2.4693150684931506</v>
      </c>
      <c r="J95" s="1">
        <v>2.39</v>
      </c>
      <c r="K95" s="1">
        <v>1.67</v>
      </c>
      <c r="L95" s="1">
        <v>2.0670000000000002</v>
      </c>
      <c r="M95" s="1">
        <v>1.9636499999999999</v>
      </c>
      <c r="N95" s="1">
        <v>1.69</v>
      </c>
      <c r="O95" s="1">
        <v>1.61</v>
      </c>
      <c r="P95" s="1">
        <v>1.5295000000000001</v>
      </c>
      <c r="Q95" s="1">
        <v>1.453025</v>
      </c>
      <c r="R95" s="1">
        <v>1.38037375</v>
      </c>
      <c r="S95" s="1">
        <v>1.3113550624999999</v>
      </c>
      <c r="T95" s="1">
        <v>1.2457873093749998</v>
      </c>
      <c r="U95" s="1">
        <v>1.1834979439062498</v>
      </c>
      <c r="V95" s="1">
        <v>1.1243230467109373</v>
      </c>
      <c r="W95" s="1">
        <v>1.0681068943753904</v>
      </c>
      <c r="X95" s="1">
        <v>1.0147015496566207</v>
      </c>
      <c r="Y95" s="1">
        <v>0.96396647217378961</v>
      </c>
      <c r="Z95" s="1">
        <v>0.91576814856510014</v>
      </c>
      <c r="AA95" s="1">
        <v>0.86997974113684506</v>
      </c>
      <c r="AB95" s="1">
        <v>0.82648075408000277</v>
      </c>
      <c r="AC95" s="1">
        <v>0.78515671637600259</v>
      </c>
      <c r="AD95" s="1">
        <v>0.74589888055720244</v>
      </c>
      <c r="AE95" s="1">
        <v>0.70860393652934228</v>
      </c>
      <c r="AF95" s="1">
        <v>0.67317373970287508</v>
      </c>
      <c r="AG95" s="1">
        <v>0.63951505271773135</v>
      </c>
      <c r="AH95" s="1">
        <v>0.60753930008184476</v>
      </c>
      <c r="AI95" s="1">
        <v>0.5771623350777525</v>
      </c>
      <c r="AJ95" s="1">
        <v>0.54830421832386489</v>
      </c>
      <c r="AK95" s="1">
        <v>0.52088900740767163</v>
      </c>
      <c r="AL95" s="1">
        <v>0.49484455703728802</v>
      </c>
      <c r="AM95" s="1">
        <v>0.47010232918542361</v>
      </c>
      <c r="AN95" s="1">
        <v>0.44659721272615238</v>
      </c>
    </row>
    <row r="96" spans="1:40" x14ac:dyDescent="0.25">
      <c r="A96" t="s">
        <v>25</v>
      </c>
      <c r="B96" t="s">
        <v>22</v>
      </c>
      <c r="C96" t="s">
        <v>14</v>
      </c>
      <c r="D96" t="s">
        <v>23</v>
      </c>
      <c r="E96" s="1">
        <v>2.0546041095890408</v>
      </c>
      <c r="F96" s="1">
        <v>1.9127178082191778</v>
      </c>
      <c r="G96" s="1">
        <v>1.8855501369863013</v>
      </c>
      <c r="H96" s="1">
        <v>1.7537218579234968</v>
      </c>
      <c r="I96" s="1">
        <v>1.1252249315068492</v>
      </c>
      <c r="J96" s="1">
        <v>1.0665109589041095</v>
      </c>
      <c r="K96" s="1">
        <v>0.8600093150684931</v>
      </c>
      <c r="L96" s="1">
        <v>0.58448934426229504</v>
      </c>
      <c r="M96" s="1">
        <v>0.3277084931506849</v>
      </c>
      <c r="N96" s="1">
        <v>0.46</v>
      </c>
      <c r="O96" s="1">
        <v>0.4</v>
      </c>
      <c r="P96" s="1">
        <v>0.4</v>
      </c>
      <c r="Q96" s="1">
        <v>0.4</v>
      </c>
      <c r="R96" s="1">
        <v>0.36403202737262752</v>
      </c>
      <c r="S96" s="1">
        <v>0.3436462338397604</v>
      </c>
      <c r="T96" s="1">
        <v>0.32351570036018534</v>
      </c>
      <c r="U96" s="1">
        <v>0.30623553023902866</v>
      </c>
      <c r="V96" s="1">
        <v>0.28908634054564303</v>
      </c>
      <c r="W96" s="1">
        <v>0.27289750547508701</v>
      </c>
      <c r="X96" s="1">
        <v>0.25691137837840433</v>
      </c>
      <c r="Y96" s="1">
        <v>0.24318879143904712</v>
      </c>
      <c r="Z96" s="1">
        <v>0.22957021911846046</v>
      </c>
      <c r="AA96" s="1">
        <v>0.21671428684782665</v>
      </c>
      <c r="AB96" s="1">
        <v>0.20401932971663156</v>
      </c>
      <c r="AC96" s="1">
        <v>0.19312190272442484</v>
      </c>
      <c r="AD96" s="1">
        <v>0.18230707617185704</v>
      </c>
      <c r="AE96" s="1">
        <v>0.17209787990623304</v>
      </c>
      <c r="AF96" s="1">
        <v>0.16201651776090617</v>
      </c>
      <c r="AG96" s="1">
        <v>0.15336261630812087</v>
      </c>
      <c r="AH96" s="1">
        <v>0.14477430979486611</v>
      </c>
      <c r="AI96" s="1">
        <v>0.1366669484463536</v>
      </c>
      <c r="AJ96" s="1">
        <v>0.12866110316031584</v>
      </c>
      <c r="AK96" s="1">
        <v>0.12178883777068976</v>
      </c>
      <c r="AL96" s="1">
        <v>0.11496866285553113</v>
      </c>
      <c r="AM96" s="1">
        <v>0.10853041773562137</v>
      </c>
      <c r="AN96" s="1">
        <v>0.10217278889340355</v>
      </c>
    </row>
    <row r="97" spans="1:40" x14ac:dyDescent="0.25">
      <c r="A97" t="s">
        <v>25</v>
      </c>
      <c r="B97" t="s">
        <v>22</v>
      </c>
      <c r="C97" t="s">
        <v>14</v>
      </c>
      <c r="D97" t="s">
        <v>3</v>
      </c>
      <c r="E97" s="1">
        <v>2.0546041095890408</v>
      </c>
      <c r="F97" s="1">
        <v>1.9127178082191778</v>
      </c>
      <c r="G97" s="1">
        <v>1.8855501369863013</v>
      </c>
      <c r="H97" s="1">
        <v>1.7537218579234968</v>
      </c>
      <c r="I97" s="1">
        <v>1.1252249315068492</v>
      </c>
      <c r="J97" s="1">
        <v>1.0665109589041095</v>
      </c>
      <c r="K97" s="1">
        <v>0.8600093150684931</v>
      </c>
      <c r="L97" s="1">
        <v>0.58448934426229504</v>
      </c>
      <c r="M97" s="1">
        <v>0.3277084931506849</v>
      </c>
      <c r="N97" s="1">
        <v>0.45840739726027402</v>
      </c>
      <c r="O97" s="1">
        <v>0.43273658301369861</v>
      </c>
      <c r="P97" s="1">
        <v>0.40738720503606557</v>
      </c>
      <c r="Q97" s="1">
        <v>0.38562714764049533</v>
      </c>
      <c r="R97" s="1">
        <v>0.36403202737262752</v>
      </c>
      <c r="S97" s="1">
        <v>0.3436462338397604</v>
      </c>
      <c r="T97" s="1">
        <v>0.32351570036018534</v>
      </c>
      <c r="U97" s="1">
        <v>0.30623553023902866</v>
      </c>
      <c r="V97" s="1">
        <v>0.28908634054564303</v>
      </c>
      <c r="W97" s="1">
        <v>0.27289750547508701</v>
      </c>
      <c r="X97" s="1">
        <v>0.25691137837840433</v>
      </c>
      <c r="Y97" s="1">
        <v>0.24318879143904712</v>
      </c>
      <c r="Z97" s="1">
        <v>0.22957021911846046</v>
      </c>
      <c r="AA97" s="1">
        <v>0.21671428684782665</v>
      </c>
      <c r="AB97" s="1">
        <v>0.20401932971663156</v>
      </c>
      <c r="AC97" s="1">
        <v>0.19312190272442484</v>
      </c>
      <c r="AD97" s="1">
        <v>0.18230707617185704</v>
      </c>
      <c r="AE97" s="1">
        <v>0.17209787990623304</v>
      </c>
      <c r="AF97" s="1">
        <v>0.16201651776090617</v>
      </c>
      <c r="AG97" s="1">
        <v>0.15336261630812087</v>
      </c>
      <c r="AH97" s="1">
        <v>0.14477430979486611</v>
      </c>
      <c r="AI97" s="1">
        <v>0.1366669484463536</v>
      </c>
      <c r="AJ97" s="1">
        <v>0.12866110316031584</v>
      </c>
      <c r="AK97" s="1">
        <v>0.12178883777068976</v>
      </c>
      <c r="AL97" s="1">
        <v>0.11496866285553113</v>
      </c>
      <c r="AM97" s="1">
        <v>0.10853041773562137</v>
      </c>
      <c r="AN97" s="1">
        <v>0.10217278889340355</v>
      </c>
    </row>
    <row r="98" spans="1:40" x14ac:dyDescent="0.25">
      <c r="A98" t="s">
        <v>25</v>
      </c>
      <c r="B98" t="s">
        <v>22</v>
      </c>
      <c r="C98" t="s">
        <v>15</v>
      </c>
      <c r="D98" t="s">
        <v>23</v>
      </c>
      <c r="E98" s="1">
        <v>0.38451041602662572</v>
      </c>
      <c r="F98" s="1">
        <v>0.35441595195212494</v>
      </c>
      <c r="G98" s="1">
        <v>0.33669515435451869</v>
      </c>
      <c r="H98" s="1">
        <v>0.26958904109589044</v>
      </c>
      <c r="I98" s="1">
        <v>0.24958904109589042</v>
      </c>
      <c r="J98" s="1">
        <v>0.24</v>
      </c>
      <c r="K98" s="1">
        <v>0.22320000000000001</v>
      </c>
      <c r="L98" s="1">
        <v>0.22</v>
      </c>
      <c r="M98" s="1">
        <v>0.2046</v>
      </c>
      <c r="N98" s="1">
        <v>0.190278</v>
      </c>
      <c r="O98" s="1">
        <v>0.17695854000000003</v>
      </c>
      <c r="P98" s="1">
        <v>0.16457144220000003</v>
      </c>
      <c r="Q98" s="1">
        <v>0.15305144124600004</v>
      </c>
      <c r="R98" s="1">
        <v>0.14233784035878005</v>
      </c>
      <c r="S98" s="1">
        <v>0.13237419153366545</v>
      </c>
      <c r="T98" s="1">
        <v>0.12310799812630888</v>
      </c>
      <c r="U98" s="1">
        <v>0.11449043825746726</v>
      </c>
      <c r="V98" s="1">
        <v>0.10647610757944455</v>
      </c>
      <c r="W98" s="1">
        <v>9.873655395323977E-2</v>
      </c>
      <c r="X98" s="1">
        <v>9.1263992029051402E-2</v>
      </c>
      <c r="Y98" s="1">
        <v>8.4050837960249286E-2</v>
      </c>
      <c r="Z98" s="1">
        <v>7.7089704457387623E-2</v>
      </c>
      <c r="AA98" s="1">
        <v>7.0373395959456311E-2</v>
      </c>
      <c r="AB98" s="1">
        <v>6.3894903919659324E-2</v>
      </c>
      <c r="AC98" s="1">
        <v>5.7647402203070422E-2</v>
      </c>
      <c r="AD98" s="1">
        <v>5.1624242593577216E-2</v>
      </c>
      <c r="AE98" s="1">
        <v>4.5818950407582507E-2</v>
      </c>
      <c r="AF98" s="1">
        <v>4.0225220211990154E-2</v>
      </c>
      <c r="AG98" s="1">
        <v>3.4836911644058464E-2</v>
      </c>
      <c r="AH98" s="1">
        <v>2.9648045330759248E-2</v>
      </c>
      <c r="AI98" s="1">
        <v>2.4652798905334377E-2</v>
      </c>
      <c r="AJ98" s="1">
        <v>1.9845503118794194E-2</v>
      </c>
      <c r="AK98" s="1">
        <v>1.5220638044153486E-2</v>
      </c>
      <c r="AL98" s="1">
        <v>1.0772829371250891E-2</v>
      </c>
      <c r="AM98" s="1">
        <v>6.4968447900467371E-3</v>
      </c>
      <c r="AN98" s="1">
        <v>2.3875904603422489E-3</v>
      </c>
    </row>
    <row r="99" spans="1:40" x14ac:dyDescent="0.25">
      <c r="A99" t="s">
        <v>25</v>
      </c>
      <c r="B99" t="s">
        <v>22</v>
      </c>
      <c r="C99" t="s">
        <v>15</v>
      </c>
      <c r="D99" t="s">
        <v>1</v>
      </c>
      <c r="E99" s="1">
        <v>0.37693698630136985</v>
      </c>
      <c r="F99" s="1">
        <v>0.34152602739726029</v>
      </c>
      <c r="G99" s="1">
        <v>0.29972602739726029</v>
      </c>
      <c r="H99" s="1">
        <v>0.26958904109589044</v>
      </c>
      <c r="I99" s="1">
        <v>0.24958904109589042</v>
      </c>
      <c r="J99" s="1">
        <v>0.24</v>
      </c>
      <c r="K99" s="1">
        <v>0.22320000000000001</v>
      </c>
      <c r="L99" s="1">
        <v>0.22</v>
      </c>
      <c r="M99" s="1">
        <v>0.2046</v>
      </c>
      <c r="N99" s="1">
        <v>0.190278</v>
      </c>
      <c r="O99" s="1">
        <v>0.17695854000000003</v>
      </c>
      <c r="P99" s="1">
        <v>0.16457144220000003</v>
      </c>
      <c r="Q99" s="1">
        <v>0.15305144124600004</v>
      </c>
      <c r="R99" s="1">
        <v>0.14233784035878005</v>
      </c>
      <c r="S99" s="1">
        <v>0.13237419153366545</v>
      </c>
      <c r="T99" s="1">
        <v>0.12310799812630888</v>
      </c>
      <c r="U99" s="1">
        <v>0.11449043825746726</v>
      </c>
      <c r="V99" s="1">
        <v>0.10647610757944455</v>
      </c>
      <c r="W99" s="1">
        <v>9.873655395323977E-2</v>
      </c>
      <c r="X99" s="1">
        <v>9.1263992029051402E-2</v>
      </c>
      <c r="Y99" s="1">
        <v>8.4050837960249286E-2</v>
      </c>
      <c r="Z99" s="1">
        <v>7.7089704457387623E-2</v>
      </c>
      <c r="AA99" s="1">
        <v>7.0373395959456311E-2</v>
      </c>
      <c r="AB99" s="1">
        <v>6.3894903919659324E-2</v>
      </c>
      <c r="AC99" s="1">
        <v>5.7647402203070422E-2</v>
      </c>
      <c r="AD99" s="1">
        <v>5.1624242593577216E-2</v>
      </c>
      <c r="AE99" s="1">
        <v>4.5818950407582507E-2</v>
      </c>
      <c r="AF99" s="1">
        <v>4.0225220211990154E-2</v>
      </c>
      <c r="AG99" s="1">
        <v>3.4836911644058464E-2</v>
      </c>
      <c r="AH99" s="1">
        <v>2.9648045330759248E-2</v>
      </c>
      <c r="AI99" s="1">
        <v>2.4652798905334377E-2</v>
      </c>
      <c r="AJ99" s="1">
        <v>1.9845503118794194E-2</v>
      </c>
      <c r="AK99" s="1">
        <v>1.5220638044153486E-2</v>
      </c>
      <c r="AL99" s="1">
        <v>1.0772829371250891E-2</v>
      </c>
      <c r="AM99" s="1">
        <v>6.4968447900467371E-3</v>
      </c>
      <c r="AN99" s="1">
        <v>2.3875904603422489E-3</v>
      </c>
    </row>
    <row r="100" spans="1:40" x14ac:dyDescent="0.25">
      <c r="A100" t="s">
        <v>25</v>
      </c>
      <c r="B100" t="s">
        <v>22</v>
      </c>
      <c r="C100" t="s">
        <v>16</v>
      </c>
      <c r="D100" t="s">
        <v>23</v>
      </c>
      <c r="E100" s="1">
        <v>66.733054039199047</v>
      </c>
      <c r="F100" s="1">
        <v>68.174030419970649</v>
      </c>
      <c r="G100" s="1">
        <v>68.098496018848238</v>
      </c>
      <c r="H100" s="1">
        <v>69.988042860537959</v>
      </c>
      <c r="I100" s="1">
        <v>67.633923182151463</v>
      </c>
      <c r="J100" s="1">
        <v>67.359048901700334</v>
      </c>
      <c r="K100" s="1">
        <v>68.163835411747996</v>
      </c>
      <c r="L100" s="1">
        <v>74.858985940320864</v>
      </c>
      <c r="M100" s="1">
        <v>77.207730375237986</v>
      </c>
      <c r="N100" s="1">
        <v>80.928466523533231</v>
      </c>
      <c r="O100" s="1">
        <v>80.216098475782147</v>
      </c>
      <c r="P100" s="1">
        <v>79.180282654335556</v>
      </c>
      <c r="Q100" s="1">
        <v>77.721066586180001</v>
      </c>
      <c r="R100" s="1">
        <v>76.365296518982916</v>
      </c>
      <c r="S100" s="1">
        <v>74.953130185480973</v>
      </c>
      <c r="T100" s="1">
        <v>73.715324984962436</v>
      </c>
      <c r="U100" s="1">
        <v>72.620939306195908</v>
      </c>
      <c r="V100" s="1">
        <v>71.693593887256199</v>
      </c>
      <c r="W100" s="1">
        <v>70.973392755654373</v>
      </c>
      <c r="X100" s="1">
        <v>70.283741533057182</v>
      </c>
      <c r="Y100" s="1">
        <v>69.843209488316432</v>
      </c>
      <c r="Z100" s="1">
        <v>69.504242636232647</v>
      </c>
      <c r="AA100" s="1">
        <v>69.18963625049409</v>
      </c>
      <c r="AB100" s="1">
        <v>68.79199159494884</v>
      </c>
      <c r="AC100" s="1">
        <v>68.19970296608254</v>
      </c>
      <c r="AD100" s="1">
        <v>67.366022396285544</v>
      </c>
      <c r="AE100" s="1">
        <v>66.400587562101521</v>
      </c>
      <c r="AF100" s="1">
        <v>65.437676090309239</v>
      </c>
      <c r="AG100" s="1">
        <v>64.349268640563935</v>
      </c>
      <c r="AH100" s="1">
        <v>63.109407195238624</v>
      </c>
      <c r="AI100" s="1">
        <v>61.525802815354858</v>
      </c>
      <c r="AJ100" s="1">
        <v>60.162999150926773</v>
      </c>
      <c r="AK100" s="1">
        <v>58.739186223468124</v>
      </c>
      <c r="AL100" s="1">
        <v>57.378427553150757</v>
      </c>
      <c r="AM100" s="1">
        <v>55.928816195728039</v>
      </c>
      <c r="AN100" s="1">
        <v>54.492962425420693</v>
      </c>
    </row>
    <row r="101" spans="1:40" x14ac:dyDescent="0.25">
      <c r="A101" t="s">
        <v>25</v>
      </c>
      <c r="B101" t="s">
        <v>22</v>
      </c>
      <c r="C101" t="s">
        <v>16</v>
      </c>
      <c r="D101" t="s">
        <v>1</v>
      </c>
      <c r="E101" s="1">
        <v>9.5385034690820714</v>
      </c>
      <c r="F101" s="1">
        <v>9.9661643215575797</v>
      </c>
      <c r="G101" s="1">
        <v>11.454637531318259</v>
      </c>
      <c r="H101" s="1">
        <v>15.704716024713884</v>
      </c>
      <c r="I101" s="1">
        <v>16.826448167450707</v>
      </c>
      <c r="J101" s="1">
        <v>17.35209181881353</v>
      </c>
      <c r="K101" s="1">
        <v>18.157997011188559</v>
      </c>
      <c r="L101" s="1">
        <v>20.910828283491242</v>
      </c>
      <c r="M101" s="1">
        <v>23.359025058656808</v>
      </c>
      <c r="N101" s="1">
        <v>25.214989442040775</v>
      </c>
      <c r="O101" s="1">
        <v>25.149541980790922</v>
      </c>
      <c r="P101" s="1">
        <v>25.131301382925308</v>
      </c>
      <c r="Q101" s="1">
        <v>25.200978739163123</v>
      </c>
      <c r="R101" s="1">
        <v>25.285146855991933</v>
      </c>
      <c r="S101" s="1">
        <v>25.230744969264546</v>
      </c>
      <c r="T101" s="1">
        <v>25.217590789623685</v>
      </c>
      <c r="U101" s="1">
        <v>25.241189636411466</v>
      </c>
      <c r="V101" s="1">
        <v>25.322149758836908</v>
      </c>
      <c r="W101" s="1">
        <v>25.474661962307049</v>
      </c>
      <c r="X101" s="1">
        <v>25.599852689524912</v>
      </c>
      <c r="Y101" s="1">
        <v>25.838484481175723</v>
      </c>
      <c r="Z101" s="1">
        <v>26.100408632927433</v>
      </c>
      <c r="AA101" s="1">
        <v>26.350779635901436</v>
      </c>
      <c r="AB101" s="1">
        <v>26.533542505673338</v>
      </c>
      <c r="AC101" s="1">
        <v>26.625210009451337</v>
      </c>
      <c r="AD101" s="1">
        <v>26.614013280652504</v>
      </c>
      <c r="AE101" s="1">
        <v>26.504533348116553</v>
      </c>
      <c r="AF101" s="1">
        <v>26.380706149239121</v>
      </c>
      <c r="AG101" s="1">
        <v>26.175807287541414</v>
      </c>
      <c r="AH101" s="1">
        <v>25.832151748438182</v>
      </c>
      <c r="AI101" s="1">
        <v>25.134251798810194</v>
      </c>
      <c r="AJ101" s="1">
        <v>24.627025029769069</v>
      </c>
      <c r="AK101" s="1">
        <v>24.135266235045322</v>
      </c>
      <c r="AL101" s="1">
        <v>23.656881485291144</v>
      </c>
      <c r="AM101" s="1">
        <v>23.090703302707603</v>
      </c>
      <c r="AN101" s="1">
        <v>22.538796190655408</v>
      </c>
    </row>
    <row r="102" spans="1:40" x14ac:dyDescent="0.25">
      <c r="A102" t="s">
        <v>25</v>
      </c>
      <c r="B102" t="s">
        <v>22</v>
      </c>
      <c r="C102" t="s">
        <v>16</v>
      </c>
      <c r="D102" t="s">
        <v>2</v>
      </c>
      <c r="E102" s="1">
        <v>57.10195563189766</v>
      </c>
      <c r="F102" s="1">
        <v>58.109644804647566</v>
      </c>
      <c r="G102" s="1">
        <v>56.539993919009085</v>
      </c>
      <c r="H102" s="1">
        <v>54.165096607133897</v>
      </c>
      <c r="I102" s="1">
        <v>50.636177106927789</v>
      </c>
      <c r="J102" s="1">
        <v>49.826752671620611</v>
      </c>
      <c r="K102" s="1">
        <v>49.812838004560298</v>
      </c>
      <c r="L102" s="1">
        <v>53.755157260830487</v>
      </c>
      <c r="M102" s="1">
        <v>53.655704920582046</v>
      </c>
      <c r="N102" s="1">
        <v>55.520476685493328</v>
      </c>
      <c r="O102" s="1">
        <v>54.873556098992097</v>
      </c>
      <c r="P102" s="1">
        <v>53.523965708950463</v>
      </c>
      <c r="Q102" s="1">
        <v>51.995287776921941</v>
      </c>
      <c r="R102" s="1">
        <v>50.554556471528826</v>
      </c>
      <c r="S102" s="1">
        <v>49.184883087528952</v>
      </c>
      <c r="T102" s="1">
        <v>47.9260109357446</v>
      </c>
      <c r="U102" s="1">
        <v>46.785662458983772</v>
      </c>
      <c r="V102" s="1">
        <v>45.760967761418108</v>
      </c>
      <c r="W102" s="1">
        <v>44.876085311577206</v>
      </c>
      <c r="X102" s="1">
        <v>44.052997218900813</v>
      </c>
      <c r="Y102" s="1">
        <v>43.368182741126027</v>
      </c>
      <c r="Z102" s="1">
        <v>42.765119120963547</v>
      </c>
      <c r="AA102" s="1">
        <v>42.204664573899578</v>
      </c>
      <c r="AB102" s="1">
        <v>41.633547218329042</v>
      </c>
      <c r="AC102" s="1">
        <v>40.960518936787544</v>
      </c>
      <c r="AD102" s="1">
        <v>40.150253757060092</v>
      </c>
      <c r="AE102" s="1">
        <v>39.306227459575084</v>
      </c>
      <c r="AF102" s="1">
        <v>38.480526957951156</v>
      </c>
      <c r="AG102" s="1">
        <v>37.613195897206083</v>
      </c>
      <c r="AH102" s="1">
        <v>36.734086614547856</v>
      </c>
      <c r="AI102" s="1">
        <v>35.86493410126598</v>
      </c>
      <c r="AJ102" s="1">
        <v>35.025382694701122</v>
      </c>
      <c r="AK102" s="1">
        <v>34.108845393098818</v>
      </c>
      <c r="AL102" s="1">
        <v>33.242945572496218</v>
      </c>
      <c r="AM102" s="1">
        <v>32.376616001210799</v>
      </c>
      <c r="AN102" s="1">
        <v>31.509144751095043</v>
      </c>
    </row>
    <row r="103" spans="1:40" x14ac:dyDescent="0.25">
      <c r="A103" t="s">
        <v>25</v>
      </c>
      <c r="B103" t="s">
        <v>22</v>
      </c>
      <c r="C103" t="s">
        <v>16</v>
      </c>
      <c r="D103" t="s">
        <v>3</v>
      </c>
      <c r="E103" s="1">
        <v>9.2594938219321313E-2</v>
      </c>
      <c r="F103" s="1">
        <v>9.8221293765502274E-2</v>
      </c>
      <c r="G103" s="1">
        <v>0.10386456852088388</v>
      </c>
      <c r="H103" s="1">
        <v>0.11823022869017348</v>
      </c>
      <c r="I103" s="1">
        <v>0.1712979077729733</v>
      </c>
      <c r="J103" s="1">
        <v>0.18020441126618261</v>
      </c>
      <c r="K103" s="1">
        <v>0.19300039599913024</v>
      </c>
      <c r="L103" s="1">
        <v>0.19300039599913024</v>
      </c>
      <c r="M103" s="1">
        <v>0.19300039599913024</v>
      </c>
      <c r="N103" s="1">
        <v>0.19300039599913027</v>
      </c>
      <c r="O103" s="1">
        <v>0.19300039599913027</v>
      </c>
      <c r="P103" s="1">
        <v>0.52501556245978909</v>
      </c>
      <c r="Q103" s="1">
        <v>0.52480007009493779</v>
      </c>
      <c r="R103" s="1">
        <v>0.52559319146215311</v>
      </c>
      <c r="S103" s="1">
        <v>0.53750212868747593</v>
      </c>
      <c r="T103" s="1">
        <v>0.57172325959415426</v>
      </c>
      <c r="U103" s="1">
        <v>0.59408721080067228</v>
      </c>
      <c r="V103" s="1">
        <v>0.61047636700118779</v>
      </c>
      <c r="W103" s="1">
        <v>0.62264548177012613</v>
      </c>
      <c r="X103" s="1">
        <v>0.63089162463146364</v>
      </c>
      <c r="Y103" s="1">
        <v>0.63654226601469077</v>
      </c>
      <c r="Z103" s="1">
        <v>0.63871488234167806</v>
      </c>
      <c r="AA103" s="1">
        <v>0.63419204069307866</v>
      </c>
      <c r="AB103" s="1">
        <v>0.62490187094645266</v>
      </c>
      <c r="AC103" s="1">
        <v>0.6139740198436614</v>
      </c>
      <c r="AD103" s="1">
        <v>0.60175535857293805</v>
      </c>
      <c r="AE103" s="1">
        <v>0.58982675440988308</v>
      </c>
      <c r="AF103" s="1">
        <v>0.57644298311896358</v>
      </c>
      <c r="AG103" s="1">
        <v>0.5602654558164385</v>
      </c>
      <c r="AH103" s="1">
        <v>0.54316883225258361</v>
      </c>
      <c r="AI103" s="1">
        <v>0.52661691527868959</v>
      </c>
      <c r="AJ103" s="1">
        <v>0.51059142645658129</v>
      </c>
      <c r="AK103" s="1">
        <v>0.49507459532398479</v>
      </c>
      <c r="AL103" s="1">
        <v>0.47860049536339294</v>
      </c>
      <c r="AM103" s="1">
        <v>0.4614968918096391</v>
      </c>
      <c r="AN103" s="1">
        <v>0.4450214836702413</v>
      </c>
    </row>
    <row r="104" spans="1:40" x14ac:dyDescent="0.25">
      <c r="A104" t="s">
        <v>26</v>
      </c>
      <c r="B104" t="s">
        <v>22</v>
      </c>
      <c r="C104" t="s">
        <v>0</v>
      </c>
      <c r="D104" t="s">
        <v>23</v>
      </c>
      <c r="E104" s="2">
        <v>412.32154414029498</v>
      </c>
      <c r="F104" s="2">
        <v>440.21519007120355</v>
      </c>
      <c r="G104" s="2">
        <v>457.95667866186193</v>
      </c>
      <c r="H104" s="2">
        <v>448.22719514065324</v>
      </c>
      <c r="I104" s="2">
        <v>454.58081198371809</v>
      </c>
      <c r="J104" s="2">
        <v>474.43830133392009</v>
      </c>
      <c r="K104" s="2">
        <v>500.17762886928222</v>
      </c>
      <c r="L104" s="2">
        <v>536.68146255684792</v>
      </c>
      <c r="M104" s="2">
        <v>576.71551782489382</v>
      </c>
      <c r="N104" s="1">
        <v>617.83834563279288</v>
      </c>
      <c r="O104" s="1">
        <v>642.77789651097146</v>
      </c>
      <c r="P104" s="1">
        <v>691.55234141305436</v>
      </c>
      <c r="Q104" s="1">
        <v>726.81604212170305</v>
      </c>
      <c r="R104" s="1">
        <v>752.03656161735489</v>
      </c>
      <c r="S104" s="1">
        <v>762.44964537423846</v>
      </c>
      <c r="T104" s="1">
        <v>757.97508631870051</v>
      </c>
      <c r="U104" s="1">
        <v>757.47136433730361</v>
      </c>
      <c r="V104" s="1">
        <v>760.93251345696331</v>
      </c>
      <c r="W104" s="1">
        <v>761.0813875020865</v>
      </c>
      <c r="X104" s="1">
        <v>770.3957490799794</v>
      </c>
      <c r="Y104" s="1">
        <v>795.77129067728697</v>
      </c>
      <c r="Z104" s="1">
        <v>807.59609683869076</v>
      </c>
      <c r="AA104" s="1">
        <v>816.87823928736839</v>
      </c>
      <c r="AB104" s="1">
        <v>825.12729128558374</v>
      </c>
      <c r="AC104" s="1">
        <v>833.10726331601586</v>
      </c>
      <c r="AD104" s="1">
        <v>842.06136218323059</v>
      </c>
      <c r="AE104" s="1">
        <v>849.24205293608657</v>
      </c>
      <c r="AF104" s="1">
        <v>853.69015286095259</v>
      </c>
      <c r="AG104" s="1">
        <v>857.87168257959684</v>
      </c>
      <c r="AH104" s="1">
        <v>864.40712706508884</v>
      </c>
      <c r="AI104" s="1">
        <v>868.56309895285892</v>
      </c>
      <c r="AJ104" s="1">
        <v>871.89071127114801</v>
      </c>
      <c r="AK104" s="1">
        <v>874.28864079090772</v>
      </c>
      <c r="AL104" s="1">
        <v>877.27181708239345</v>
      </c>
      <c r="AM104" s="1">
        <v>880.16268225127715</v>
      </c>
      <c r="AN104" s="1">
        <v>882.11088752054297</v>
      </c>
    </row>
    <row r="105" spans="1:40" x14ac:dyDescent="0.25">
      <c r="A105" t="s">
        <v>26</v>
      </c>
      <c r="B105" t="s">
        <v>22</v>
      </c>
      <c r="C105" t="s">
        <v>0</v>
      </c>
      <c r="D105" t="s">
        <v>1</v>
      </c>
      <c r="E105" s="2">
        <v>128.28831168826017</v>
      </c>
      <c r="F105" s="2">
        <v>126.34478897909185</v>
      </c>
      <c r="G105" s="2">
        <v>135.93874712035935</v>
      </c>
      <c r="H105" s="2">
        <v>135.62362013430291</v>
      </c>
      <c r="I105" s="2">
        <v>120.25932487977946</v>
      </c>
      <c r="J105" s="2">
        <v>122.30510334305794</v>
      </c>
      <c r="K105" s="2">
        <v>127.59119701118857</v>
      </c>
      <c r="L105" s="2">
        <v>131.12738866479708</v>
      </c>
      <c r="M105" s="2">
        <v>142.6632043022199</v>
      </c>
      <c r="N105" s="1">
        <v>141.65565775841318</v>
      </c>
      <c r="O105" s="1">
        <v>139.87532944639815</v>
      </c>
      <c r="P105" s="1">
        <v>144.72605474136907</v>
      </c>
      <c r="Q105" s="1">
        <v>141.73079198256303</v>
      </c>
      <c r="R105" s="1">
        <v>150.83270185650269</v>
      </c>
      <c r="S105" s="1">
        <v>151.0875171691163</v>
      </c>
      <c r="T105" s="1">
        <v>143.86950790357051</v>
      </c>
      <c r="U105" s="1">
        <v>142.01586661622838</v>
      </c>
      <c r="V105" s="1">
        <v>142.65401661959808</v>
      </c>
      <c r="W105" s="1">
        <v>137.27156016741503</v>
      </c>
      <c r="X105" s="1">
        <v>137.29623247388227</v>
      </c>
      <c r="Y105" s="1">
        <v>151.33124880867322</v>
      </c>
      <c r="Z105" s="1">
        <v>145.87862185318448</v>
      </c>
      <c r="AA105" s="1">
        <v>140.90633634674214</v>
      </c>
      <c r="AB105" s="1">
        <v>137.66034316072549</v>
      </c>
      <c r="AC105" s="1">
        <v>135.4598374609709</v>
      </c>
      <c r="AD105" s="1">
        <v>133.67092693621078</v>
      </c>
      <c r="AE105" s="1">
        <v>130.47436497856768</v>
      </c>
      <c r="AF105" s="1">
        <v>126.62347087313756</v>
      </c>
      <c r="AG105" s="1">
        <v>123.65649635768928</v>
      </c>
      <c r="AH105" s="1">
        <v>122.35565229566292</v>
      </c>
      <c r="AI105" s="1">
        <v>118.97307265009962</v>
      </c>
      <c r="AJ105" s="1">
        <v>116.56278517900566</v>
      </c>
      <c r="AK105" s="1">
        <v>114.12433215395146</v>
      </c>
      <c r="AL105" s="1">
        <v>111.31551076915034</v>
      </c>
      <c r="AM105" s="1">
        <v>108.48491604287281</v>
      </c>
      <c r="AN105" s="1">
        <v>106.59089036138559</v>
      </c>
    </row>
    <row r="106" spans="1:40" x14ac:dyDescent="0.25">
      <c r="A106" t="s">
        <v>26</v>
      </c>
      <c r="B106" t="s">
        <v>22</v>
      </c>
      <c r="C106" t="s">
        <v>0</v>
      </c>
      <c r="D106" t="s">
        <v>2</v>
      </c>
      <c r="E106" s="2">
        <v>88.501955631897658</v>
      </c>
      <c r="F106" s="2">
        <v>87.309644804647562</v>
      </c>
      <c r="G106" s="2">
        <v>84.839993919009089</v>
      </c>
      <c r="H106" s="2">
        <v>78.965096607133901</v>
      </c>
      <c r="I106" s="2">
        <v>73.336177106927792</v>
      </c>
      <c r="J106" s="2">
        <v>72.126752671620608</v>
      </c>
      <c r="K106" s="2">
        <v>72.012838004560294</v>
      </c>
      <c r="L106" s="2">
        <v>77.055157260830484</v>
      </c>
      <c r="M106" s="2">
        <v>77.95570492058205</v>
      </c>
      <c r="N106" s="1">
        <v>79.872764288036109</v>
      </c>
      <c r="O106" s="1">
        <v>79.05459627337882</v>
      </c>
      <c r="P106" s="1">
        <v>77.465382038646538</v>
      </c>
      <c r="Q106" s="1">
        <v>75.429710215560206</v>
      </c>
      <c r="R106" s="1">
        <v>73.517658210347122</v>
      </c>
      <c r="S106" s="1">
        <v>71.814704973309233</v>
      </c>
      <c r="T106" s="1">
        <v>70.333854350682117</v>
      </c>
      <c r="U106" s="1">
        <v>68.756777209900633</v>
      </c>
      <c r="V106" s="1">
        <v>67.376455470609159</v>
      </c>
      <c r="W106" s="1">
        <v>66.2096131848825</v>
      </c>
      <c r="X106" s="1">
        <v>65.223655078084761</v>
      </c>
      <c r="Y106" s="1">
        <v>64.405578559375343</v>
      </c>
      <c r="Z106" s="1">
        <v>63.706610422915382</v>
      </c>
      <c r="AA106" s="1">
        <v>63.079149375404739</v>
      </c>
      <c r="AB106" s="1">
        <v>62.438402192773452</v>
      </c>
      <c r="AC106" s="1">
        <v>61.640771785258565</v>
      </c>
      <c r="AD106" s="1">
        <v>60.785104663198922</v>
      </c>
      <c r="AE106" s="1">
        <v>59.919137746886548</v>
      </c>
      <c r="AF106" s="1">
        <v>58.970225087400713</v>
      </c>
      <c r="AG106" s="1">
        <v>57.919817976528464</v>
      </c>
      <c r="AH106" s="1">
        <v>56.829937315937677</v>
      </c>
      <c r="AI106" s="1">
        <v>55.678947200955392</v>
      </c>
      <c r="AJ106" s="1">
        <v>54.583077994503412</v>
      </c>
      <c r="AK106" s="1">
        <v>53.378514104162626</v>
      </c>
      <c r="AL106" s="1">
        <v>52.230998398848449</v>
      </c>
      <c r="AM106" s="1">
        <v>51.072569854116338</v>
      </c>
      <c r="AN106" s="1">
        <v>49.899703590427684</v>
      </c>
    </row>
    <row r="107" spans="1:40" x14ac:dyDescent="0.25">
      <c r="A107" t="s">
        <v>26</v>
      </c>
      <c r="B107" t="s">
        <v>22</v>
      </c>
      <c r="C107" t="s">
        <v>0</v>
      </c>
      <c r="D107" t="s">
        <v>3</v>
      </c>
      <c r="E107" s="2">
        <v>24.138661203698771</v>
      </c>
      <c r="F107" s="2">
        <v>24.807371355957283</v>
      </c>
      <c r="G107" s="2">
        <v>24.533500362219502</v>
      </c>
      <c r="H107" s="2">
        <v>23.111416481408192</v>
      </c>
      <c r="I107" s="2">
        <v>21.391199312079344</v>
      </c>
      <c r="J107" s="2">
        <v>20.997480935679917</v>
      </c>
      <c r="K107" s="2">
        <v>20.557344812437488</v>
      </c>
      <c r="L107" s="2">
        <v>20.096138549028552</v>
      </c>
      <c r="M107" s="2">
        <v>21.143769971954924</v>
      </c>
      <c r="N107" s="1">
        <v>24.896597558946336</v>
      </c>
      <c r="O107" s="1">
        <v>26.26219110964286</v>
      </c>
      <c r="P107" s="1">
        <v>26.356505675172805</v>
      </c>
      <c r="Q107" s="1">
        <v>26.657324896232634</v>
      </c>
      <c r="R107" s="1">
        <v>26.922240615065952</v>
      </c>
      <c r="S107" s="1">
        <v>27.275109348225474</v>
      </c>
      <c r="T107" s="1">
        <v>27.701778045054926</v>
      </c>
      <c r="U107" s="1">
        <v>28.182467032743574</v>
      </c>
      <c r="V107" s="1">
        <v>28.636015238646038</v>
      </c>
      <c r="W107" s="1">
        <v>29.009041568271339</v>
      </c>
      <c r="X107" s="1">
        <v>29.27289400015837</v>
      </c>
      <c r="Y107" s="1">
        <v>29.409811885942677</v>
      </c>
      <c r="Z107" s="1">
        <v>29.477748255787695</v>
      </c>
      <c r="AA107" s="1">
        <v>29.493355643417154</v>
      </c>
      <c r="AB107" s="1">
        <v>29.463636608924276</v>
      </c>
      <c r="AC107" s="1">
        <v>29.455827837780763</v>
      </c>
      <c r="AD107" s="1">
        <v>29.501390053715415</v>
      </c>
      <c r="AE107" s="1">
        <v>29.577964904017556</v>
      </c>
      <c r="AF107" s="1">
        <v>29.686695958460554</v>
      </c>
      <c r="AG107" s="1">
        <v>29.723661685844419</v>
      </c>
      <c r="AH107" s="1">
        <v>29.723754805887886</v>
      </c>
      <c r="AI107" s="1">
        <v>29.708609857472133</v>
      </c>
      <c r="AJ107" s="1">
        <v>29.681027118200451</v>
      </c>
      <c r="AK107" s="1">
        <v>29.662785891188797</v>
      </c>
      <c r="AL107" s="1">
        <v>29.625862541541103</v>
      </c>
      <c r="AM107" s="1">
        <v>29.601399076021959</v>
      </c>
      <c r="AN107" s="1">
        <v>29.587743626074296</v>
      </c>
    </row>
    <row r="108" spans="1:40" x14ac:dyDescent="0.25">
      <c r="A108" t="s">
        <v>26</v>
      </c>
      <c r="B108" t="s">
        <v>22</v>
      </c>
      <c r="C108" t="s">
        <v>0</v>
      </c>
      <c r="D108" t="s">
        <v>4</v>
      </c>
      <c r="E108" s="2">
        <v>2.0926156164383563</v>
      </c>
      <c r="F108" s="2">
        <v>2.3533849315068487</v>
      </c>
      <c r="G108" s="2">
        <v>2.7444372602739726</v>
      </c>
      <c r="H108" s="2">
        <v>3.1270619178082191</v>
      </c>
      <c r="I108" s="2">
        <v>2.894110684931507</v>
      </c>
      <c r="J108" s="2">
        <v>2.7089643835616446</v>
      </c>
      <c r="K108" s="2">
        <v>2.8162490410958907</v>
      </c>
      <c r="L108" s="2">
        <v>2.9027780821917806</v>
      </c>
      <c r="M108" s="2">
        <v>3.5528386301369865</v>
      </c>
      <c r="N108" s="1">
        <v>5.2133260273972599</v>
      </c>
      <c r="O108" s="1">
        <v>5.6703721612645221</v>
      </c>
      <c r="P108" s="1">
        <v>5.6510491672821992</v>
      </c>
      <c r="Q108" s="1">
        <v>5.5928613569533621</v>
      </c>
      <c r="R108" s="1">
        <v>5.5290921945543055</v>
      </c>
      <c r="S108" s="1">
        <v>5.4022988972368857</v>
      </c>
      <c r="T108" s="1">
        <v>5.2820502288158586</v>
      </c>
      <c r="U108" s="1">
        <v>5.2354597705614676</v>
      </c>
      <c r="V108" s="1">
        <v>5.2650183594568949</v>
      </c>
      <c r="W108" s="1">
        <v>5.3086466233397962</v>
      </c>
      <c r="X108" s="1">
        <v>5.3523248230967102</v>
      </c>
      <c r="Y108" s="1">
        <v>5.4241165739292434</v>
      </c>
      <c r="Z108" s="1">
        <v>5.5011147957561253</v>
      </c>
      <c r="AA108" s="1">
        <v>5.5822350480558356</v>
      </c>
      <c r="AB108" s="1">
        <v>5.6583317865347373</v>
      </c>
      <c r="AC108" s="1">
        <v>5.7140955644198641</v>
      </c>
      <c r="AD108" s="1">
        <v>5.7559201151747112</v>
      </c>
      <c r="AE108" s="1">
        <v>5.7862662792767274</v>
      </c>
      <c r="AF108" s="1">
        <v>5.7971348987680678</v>
      </c>
      <c r="AG108" s="1">
        <v>5.7827574971264752</v>
      </c>
      <c r="AH108" s="1">
        <v>5.7586058417632833</v>
      </c>
      <c r="AI108" s="1">
        <v>5.7087814897290814</v>
      </c>
      <c r="AJ108" s="1">
        <v>5.6568887361751852</v>
      </c>
      <c r="AK108" s="1">
        <v>5.5997615294029721</v>
      </c>
      <c r="AL108" s="1">
        <v>5.5417780969866719</v>
      </c>
      <c r="AM108" s="1">
        <v>5.4733201028139469</v>
      </c>
      <c r="AN108" s="1">
        <v>5.3972220626134071</v>
      </c>
    </row>
    <row r="109" spans="1:40" x14ac:dyDescent="0.25">
      <c r="A109" t="s">
        <v>26</v>
      </c>
      <c r="B109" t="s">
        <v>22</v>
      </c>
      <c r="C109" t="s">
        <v>0</v>
      </c>
      <c r="D109" t="s">
        <v>5</v>
      </c>
      <c r="E109" s="2">
        <v>99.6</v>
      </c>
      <c r="F109" s="2">
        <v>120.9</v>
      </c>
      <c r="G109" s="2">
        <v>124.7</v>
      </c>
      <c r="H109" s="2">
        <v>114.7</v>
      </c>
      <c r="I109" s="2">
        <v>131.19999999999999</v>
      </c>
      <c r="J109" s="2">
        <v>136.19999999999999</v>
      </c>
      <c r="K109" s="2">
        <v>141.80000000000001</v>
      </c>
      <c r="L109" s="2">
        <v>147.80000000000001</v>
      </c>
      <c r="M109" s="2">
        <v>155.19999999999999</v>
      </c>
      <c r="N109" s="1">
        <v>165</v>
      </c>
      <c r="O109" s="1">
        <v>179.82124827044612</v>
      </c>
      <c r="P109" s="1">
        <v>200.07385662465876</v>
      </c>
      <c r="Q109" s="1">
        <v>216.87670618151901</v>
      </c>
      <c r="R109" s="1">
        <v>225.30758012041434</v>
      </c>
      <c r="S109" s="1">
        <v>232.51561272951648</v>
      </c>
      <c r="T109" s="1">
        <v>234.45785497924538</v>
      </c>
      <c r="U109" s="1">
        <v>234.5770539620807</v>
      </c>
      <c r="V109" s="1">
        <v>234.5770539620807</v>
      </c>
      <c r="W109" s="1">
        <v>234.5770539620807</v>
      </c>
      <c r="X109" s="1">
        <v>236.86567443251937</v>
      </c>
      <c r="Y109" s="1">
        <v>241.5859541527991</v>
      </c>
      <c r="Z109" s="1">
        <v>245.82873677125016</v>
      </c>
      <c r="AA109" s="1">
        <v>247.97642197374819</v>
      </c>
      <c r="AB109" s="1">
        <v>248.31298380763621</v>
      </c>
      <c r="AC109" s="1">
        <v>248.31298380763621</v>
      </c>
      <c r="AD109" s="1">
        <v>249.65923114318838</v>
      </c>
      <c r="AE109" s="1">
        <v>251.34204031262854</v>
      </c>
      <c r="AF109" s="1">
        <v>251.67860214651662</v>
      </c>
      <c r="AG109" s="1">
        <v>251.67860214651662</v>
      </c>
      <c r="AH109" s="1">
        <v>253.02484948206876</v>
      </c>
      <c r="AI109" s="1">
        <v>254.70765865150895</v>
      </c>
      <c r="AJ109" s="1">
        <v>255.04422048539695</v>
      </c>
      <c r="AK109" s="1">
        <v>255.04422048539695</v>
      </c>
      <c r="AL109" s="1">
        <v>256.39046782094914</v>
      </c>
      <c r="AM109" s="1">
        <v>258.07327699038933</v>
      </c>
      <c r="AN109" s="1">
        <v>258.07327699038933</v>
      </c>
    </row>
    <row r="110" spans="1:40" x14ac:dyDescent="0.25">
      <c r="A110" t="s">
        <v>26</v>
      </c>
      <c r="B110" t="s">
        <v>22</v>
      </c>
      <c r="C110" t="s">
        <v>0</v>
      </c>
      <c r="D110" t="s">
        <v>6</v>
      </c>
      <c r="E110" s="2">
        <v>69.7</v>
      </c>
      <c r="F110" s="2">
        <v>78.5</v>
      </c>
      <c r="G110" s="2">
        <v>85.2</v>
      </c>
      <c r="H110" s="2">
        <v>92.7</v>
      </c>
      <c r="I110" s="2">
        <v>105.5</v>
      </c>
      <c r="J110" s="2">
        <v>120.1</v>
      </c>
      <c r="K110" s="2">
        <v>135.4</v>
      </c>
      <c r="L110" s="2">
        <v>157.69999999999999</v>
      </c>
      <c r="M110" s="2">
        <v>176.2</v>
      </c>
      <c r="N110" s="1">
        <v>201.2</v>
      </c>
      <c r="O110" s="1">
        <v>212.09415924984106</v>
      </c>
      <c r="P110" s="1">
        <v>237.279493165925</v>
      </c>
      <c r="Q110" s="1">
        <v>260.52864748887475</v>
      </c>
      <c r="R110" s="1">
        <v>269.92728862047045</v>
      </c>
      <c r="S110" s="1">
        <v>274.35440225683408</v>
      </c>
      <c r="T110" s="1">
        <v>276.3300408113318</v>
      </c>
      <c r="U110" s="1">
        <v>278.70373974578882</v>
      </c>
      <c r="V110" s="1">
        <v>282.4239538065724</v>
      </c>
      <c r="W110" s="1">
        <v>288.70547199609717</v>
      </c>
      <c r="X110" s="1">
        <v>296.38496827223793</v>
      </c>
      <c r="Y110" s="1">
        <v>303.61458069656743</v>
      </c>
      <c r="Z110" s="1">
        <v>317.20326473979691</v>
      </c>
      <c r="AA110" s="1">
        <v>329.84074090000036</v>
      </c>
      <c r="AB110" s="1">
        <v>341.59359372898956</v>
      </c>
      <c r="AC110" s="1">
        <v>352.52374685994954</v>
      </c>
      <c r="AD110" s="1">
        <v>362.68878927174234</v>
      </c>
      <c r="AE110" s="1">
        <v>372.14227871470956</v>
      </c>
      <c r="AF110" s="1">
        <v>380.93402389666915</v>
      </c>
      <c r="AG110" s="1">
        <v>389.11034691589151</v>
      </c>
      <c r="AH110" s="1">
        <v>396.71432732376837</v>
      </c>
      <c r="AI110" s="1">
        <v>403.78602910309371</v>
      </c>
      <c r="AJ110" s="1">
        <v>410.36271175786635</v>
      </c>
      <c r="AK110" s="1">
        <v>416.47902662680497</v>
      </c>
      <c r="AL110" s="1">
        <v>422.16719945491781</v>
      </c>
      <c r="AM110" s="1">
        <v>427.45720018506285</v>
      </c>
      <c r="AN110" s="1">
        <v>432.56205088965271</v>
      </c>
    </row>
    <row r="111" spans="1:40" x14ac:dyDescent="0.25">
      <c r="A111" t="s">
        <v>26</v>
      </c>
      <c r="B111" t="s">
        <v>22</v>
      </c>
      <c r="C111" t="s">
        <v>0</v>
      </c>
      <c r="D111" t="s">
        <v>7</v>
      </c>
      <c r="E111" s="2">
        <v>86.9</v>
      </c>
      <c r="F111" s="2">
        <v>104.6</v>
      </c>
      <c r="G111" s="2">
        <v>109.3</v>
      </c>
      <c r="H111" s="2">
        <v>103.9</v>
      </c>
      <c r="I111" s="2">
        <v>121.7</v>
      </c>
      <c r="J111" s="2">
        <v>126.3</v>
      </c>
      <c r="K111" s="2">
        <v>137.1</v>
      </c>
      <c r="L111" s="2">
        <v>145.19999999999999</v>
      </c>
      <c r="M111" s="2">
        <v>148.80000000000001</v>
      </c>
      <c r="N111" s="1">
        <v>151.69999999999999</v>
      </c>
      <c r="O111" s="1">
        <v>158.69999999999999</v>
      </c>
      <c r="P111" s="1">
        <v>161.87062937062939</v>
      </c>
      <c r="Q111" s="1">
        <v>167.94977749523204</v>
      </c>
      <c r="R111" s="1">
        <v>176.74666242848059</v>
      </c>
      <c r="S111" s="1">
        <v>183.58868404322951</v>
      </c>
      <c r="T111" s="1">
        <v>185.23958995549904</v>
      </c>
      <c r="U111" s="1">
        <v>185.34090909090909</v>
      </c>
      <c r="V111" s="1">
        <v>185.34090909090909</v>
      </c>
      <c r="W111" s="1">
        <v>186.48521932612843</v>
      </c>
      <c r="X111" s="1">
        <v>187.9156071201526</v>
      </c>
      <c r="Y111" s="1">
        <v>188.20168467895741</v>
      </c>
      <c r="Z111" s="1">
        <v>188.20168467895741</v>
      </c>
      <c r="AA111" s="1">
        <v>189.34599491417674</v>
      </c>
      <c r="AB111" s="1">
        <v>190.77638270820088</v>
      </c>
      <c r="AC111" s="1">
        <v>191.06246026700572</v>
      </c>
      <c r="AD111" s="1">
        <v>191.06246026700572</v>
      </c>
      <c r="AE111" s="1">
        <v>192.20677050222505</v>
      </c>
      <c r="AF111" s="1">
        <v>193.63715829624923</v>
      </c>
      <c r="AG111" s="1">
        <v>193.92323585505406</v>
      </c>
      <c r="AH111" s="1">
        <v>193.92323585505406</v>
      </c>
      <c r="AI111" s="1">
        <v>195.06754609027337</v>
      </c>
      <c r="AJ111" s="1">
        <v>196.49793388429754</v>
      </c>
      <c r="AK111" s="1">
        <v>196.78401144310234</v>
      </c>
      <c r="AL111" s="1">
        <v>196.78401144310234</v>
      </c>
      <c r="AM111" s="1">
        <v>196.78401144310234</v>
      </c>
      <c r="AN111" s="1">
        <v>196.78401144310234</v>
      </c>
    </row>
    <row r="112" spans="1:40" x14ac:dyDescent="0.25">
      <c r="A112" t="s">
        <v>26</v>
      </c>
      <c r="B112" t="s">
        <v>22</v>
      </c>
      <c r="C112" t="s">
        <v>8</v>
      </c>
      <c r="D112" t="s">
        <v>23</v>
      </c>
      <c r="E112" s="2">
        <v>282.20860407369861</v>
      </c>
      <c r="F112" s="2">
        <v>308.90460787041098</v>
      </c>
      <c r="G112" s="2">
        <v>316.64411771150685</v>
      </c>
      <c r="H112" s="2">
        <v>309.78232814821916</v>
      </c>
      <c r="I112" s="2">
        <v>331.01528414403236</v>
      </c>
      <c r="J112" s="2">
        <v>349.55594720934528</v>
      </c>
      <c r="K112" s="2">
        <v>374.75838962191779</v>
      </c>
      <c r="L112" s="2">
        <v>413.09346524712328</v>
      </c>
      <c r="M112" s="2">
        <v>444.75393532938045</v>
      </c>
      <c r="N112" s="1">
        <v>485.01773166914631</v>
      </c>
      <c r="O112" s="1">
        <v>510.98549543075728</v>
      </c>
      <c r="P112" s="1">
        <v>553.35551163750279</v>
      </c>
      <c r="Q112" s="1">
        <v>590.98432539397663</v>
      </c>
      <c r="R112" s="1">
        <v>606.48729720333074</v>
      </c>
      <c r="S112" s="1">
        <v>616.47389742150699</v>
      </c>
      <c r="T112" s="1">
        <v>619.24847294230608</v>
      </c>
      <c r="U112" s="1">
        <v>620.61709552904836</v>
      </c>
      <c r="V112" s="1">
        <v>623.36786570793436</v>
      </c>
      <c r="W112" s="1">
        <v>629.12544635199663</v>
      </c>
      <c r="X112" s="1">
        <v>638.86265194608222</v>
      </c>
      <c r="Y112" s="1">
        <v>650.82297853358432</v>
      </c>
      <c r="Z112" s="1">
        <v>668.83307217535821</v>
      </c>
      <c r="AA112" s="1">
        <v>683.88324592198012</v>
      </c>
      <c r="AB112" s="1">
        <v>696.20057423079243</v>
      </c>
      <c r="AC112" s="1">
        <v>707.19159076385347</v>
      </c>
      <c r="AD112" s="1">
        <v>718.6833671295467</v>
      </c>
      <c r="AE112" s="1">
        <v>729.73387027743684</v>
      </c>
      <c r="AF112" s="1">
        <v>738.59942063598419</v>
      </c>
      <c r="AG112" s="1">
        <v>746.15132931226594</v>
      </c>
      <c r="AH112" s="1">
        <v>754.35591729488419</v>
      </c>
      <c r="AI112" s="1">
        <v>762.06831971346264</v>
      </c>
      <c r="AJ112" s="1">
        <v>767.98266163142466</v>
      </c>
      <c r="AK112" s="1">
        <v>773.05315257277982</v>
      </c>
      <c r="AL112" s="1">
        <v>779.03733300130216</v>
      </c>
      <c r="AM112" s="1">
        <v>784.84259476055718</v>
      </c>
      <c r="AN112" s="1">
        <v>788.71804438058848</v>
      </c>
    </row>
    <row r="113" spans="1:40" x14ac:dyDescent="0.25">
      <c r="A113" t="s">
        <v>26</v>
      </c>
      <c r="B113" t="s">
        <v>22</v>
      </c>
      <c r="C113" t="s">
        <v>8</v>
      </c>
      <c r="D113" t="s">
        <v>1</v>
      </c>
      <c r="E113" s="2">
        <v>59.4</v>
      </c>
      <c r="F113" s="2">
        <v>57.2</v>
      </c>
      <c r="G113" s="2">
        <v>55.1</v>
      </c>
      <c r="H113" s="2">
        <v>55.1</v>
      </c>
      <c r="I113" s="2">
        <v>50.6</v>
      </c>
      <c r="J113" s="2">
        <v>50.7</v>
      </c>
      <c r="K113" s="2">
        <v>55.7</v>
      </c>
      <c r="L113" s="2">
        <v>65</v>
      </c>
      <c r="M113" s="2">
        <v>68.3</v>
      </c>
      <c r="N113" s="1">
        <v>69.48072267379213</v>
      </c>
      <c r="O113" s="1">
        <v>68.752353889623066</v>
      </c>
      <c r="P113" s="1">
        <v>66.89116795578478</v>
      </c>
      <c r="Q113" s="1">
        <v>65.230205452237513</v>
      </c>
      <c r="R113" s="1">
        <v>63.643478181922802</v>
      </c>
      <c r="S113" s="1">
        <v>62.564188579855276</v>
      </c>
      <c r="T113" s="1">
        <v>61.897238331791911</v>
      </c>
      <c r="U113" s="1">
        <v>61.209150210033542</v>
      </c>
      <c r="V113" s="1">
        <v>60.637739890172774</v>
      </c>
      <c r="W113" s="1">
        <v>60.428527010573241</v>
      </c>
      <c r="X113" s="1">
        <v>60.45798304577054</v>
      </c>
      <c r="Y113" s="1">
        <v>60.702190336580081</v>
      </c>
      <c r="Z113" s="1">
        <v>61.09111668746251</v>
      </c>
      <c r="AA113" s="1">
        <v>61.533229503989411</v>
      </c>
      <c r="AB113" s="1">
        <v>61.929923401170079</v>
      </c>
      <c r="AC113" s="1">
        <v>62.170505527294765</v>
      </c>
      <c r="AD113" s="1">
        <v>62.310674521984787</v>
      </c>
      <c r="AE113" s="1">
        <v>62.371987242561843</v>
      </c>
      <c r="AF113" s="1">
        <v>62.264660482761826</v>
      </c>
      <c r="AG113" s="1">
        <v>61.921833433918458</v>
      </c>
      <c r="AH113" s="1">
        <v>61.50273735034763</v>
      </c>
      <c r="AI113" s="1">
        <v>60.865936030025431</v>
      </c>
      <c r="AJ113" s="1">
        <v>60.248880300238206</v>
      </c>
      <c r="AK113" s="1">
        <v>59.580273636441561</v>
      </c>
      <c r="AL113" s="1">
        <v>58.910259613602413</v>
      </c>
      <c r="AM113" s="1">
        <v>58.121792579517603</v>
      </c>
      <c r="AN113" s="1">
        <v>57.268759619091817</v>
      </c>
    </row>
    <row r="114" spans="1:40" x14ac:dyDescent="0.25">
      <c r="A114" t="s">
        <v>26</v>
      </c>
      <c r="B114" t="s">
        <v>22</v>
      </c>
      <c r="C114" t="s">
        <v>8</v>
      </c>
      <c r="D114" t="s">
        <v>2</v>
      </c>
      <c r="E114" s="2">
        <v>31.4</v>
      </c>
      <c r="F114" s="2">
        <v>29.2</v>
      </c>
      <c r="G114" s="2">
        <v>28.3</v>
      </c>
      <c r="H114" s="2">
        <v>24.8</v>
      </c>
      <c r="I114" s="2">
        <v>22.7</v>
      </c>
      <c r="J114" s="2">
        <v>22.3</v>
      </c>
      <c r="K114" s="2">
        <v>22.2</v>
      </c>
      <c r="L114" s="2">
        <v>23.3</v>
      </c>
      <c r="M114" s="2">
        <v>24.3</v>
      </c>
      <c r="N114" s="1">
        <v>24.352287602542773</v>
      </c>
      <c r="O114" s="1">
        <v>23.822190741321144</v>
      </c>
      <c r="P114" s="1">
        <v>23.13767788607236</v>
      </c>
      <c r="Q114" s="1">
        <v>22.387465554306356</v>
      </c>
      <c r="R114" s="1">
        <v>21.661465551976764</v>
      </c>
      <c r="S114" s="1">
        <v>21.050716484280105</v>
      </c>
      <c r="T114" s="1">
        <v>20.527641647547465</v>
      </c>
      <c r="U114" s="1">
        <v>20.028632285370279</v>
      </c>
      <c r="V114" s="1">
        <v>19.557762899677329</v>
      </c>
      <c r="W114" s="1">
        <v>19.170093660202031</v>
      </c>
      <c r="X114" s="1">
        <v>18.84931622763785</v>
      </c>
      <c r="Y114" s="1">
        <v>18.591778966659255</v>
      </c>
      <c r="Z114" s="1">
        <v>18.385578891682428</v>
      </c>
      <c r="AA114" s="1">
        <v>18.212868887611904</v>
      </c>
      <c r="AB114" s="1">
        <v>18.048301418115255</v>
      </c>
      <c r="AC114" s="1">
        <v>17.863412742266956</v>
      </c>
      <c r="AD114" s="1">
        <v>17.664005556546751</v>
      </c>
      <c r="AE114" s="1">
        <v>17.458502274846804</v>
      </c>
      <c r="AF114" s="1">
        <v>17.226780079634842</v>
      </c>
      <c r="AG114" s="1">
        <v>16.952313091358626</v>
      </c>
      <c r="AH114" s="1">
        <v>16.663336233532782</v>
      </c>
      <c r="AI114" s="1">
        <v>16.318854243660944</v>
      </c>
      <c r="AJ114" s="1">
        <v>16.004627556951068</v>
      </c>
      <c r="AK114" s="1">
        <v>15.685261993544003</v>
      </c>
      <c r="AL114" s="1">
        <v>15.376328481808391</v>
      </c>
      <c r="AM114" s="1">
        <v>15.059844234591136</v>
      </c>
      <c r="AN114" s="1">
        <v>14.738431185178568</v>
      </c>
    </row>
    <row r="115" spans="1:40" x14ac:dyDescent="0.25">
      <c r="A115" t="s">
        <v>26</v>
      </c>
      <c r="B115" t="s">
        <v>22</v>
      </c>
      <c r="C115" t="s">
        <v>8</v>
      </c>
      <c r="D115" t="s">
        <v>3</v>
      </c>
      <c r="E115" s="2">
        <v>20.565848731232876</v>
      </c>
      <c r="F115" s="2">
        <v>21.351348966301373</v>
      </c>
      <c r="G115" s="2">
        <v>21.25555168410958</v>
      </c>
      <c r="H115" s="2">
        <v>20.072068970136986</v>
      </c>
      <c r="I115" s="2">
        <v>18.837373459100888</v>
      </c>
      <c r="J115" s="2">
        <v>18.333695154550721</v>
      </c>
      <c r="K115" s="2">
        <v>17.721337841095892</v>
      </c>
      <c r="L115" s="2">
        <v>17.291944699178085</v>
      </c>
      <c r="M115" s="2">
        <v>18.159458343079081</v>
      </c>
      <c r="N115" s="1">
        <v>21.232762368426656</v>
      </c>
      <c r="O115" s="1">
        <v>22.782916169486271</v>
      </c>
      <c r="P115" s="1">
        <v>22.361192935449527</v>
      </c>
      <c r="Q115" s="1">
        <v>22.438869622618125</v>
      </c>
      <c r="R115" s="1">
        <v>22.510736906722546</v>
      </c>
      <c r="S115" s="1">
        <v>22.610511187708799</v>
      </c>
      <c r="T115" s="1">
        <v>22.693246302472822</v>
      </c>
      <c r="U115" s="1">
        <v>22.793225214433178</v>
      </c>
      <c r="V115" s="1">
        <v>22.896917195361834</v>
      </c>
      <c r="W115" s="1">
        <v>22.98115926447251</v>
      </c>
      <c r="X115" s="1">
        <v>23.039978883444924</v>
      </c>
      <c r="Y115" s="1">
        <v>23.050556102803146</v>
      </c>
      <c r="Z115" s="1">
        <v>23.02545478404328</v>
      </c>
      <c r="AA115" s="1">
        <v>22.997190263414844</v>
      </c>
      <c r="AB115" s="1">
        <v>22.971556011218105</v>
      </c>
      <c r="AC115" s="1">
        <v>22.96373452823207</v>
      </c>
      <c r="AD115" s="1">
        <v>22.995890211897237</v>
      </c>
      <c r="AE115" s="1">
        <v>23.050974421591661</v>
      </c>
      <c r="AF115" s="1">
        <v>23.133062364332549</v>
      </c>
      <c r="AG115" s="1">
        <v>23.144454719149046</v>
      </c>
      <c r="AH115" s="1">
        <v>23.129519088247939</v>
      </c>
      <c r="AI115" s="1">
        <v>23.103081139552234</v>
      </c>
      <c r="AJ115" s="1">
        <v>23.06878199475916</v>
      </c>
      <c r="AK115" s="1">
        <v>23.047035054224523</v>
      </c>
      <c r="AL115" s="1">
        <v>23.011923610889806</v>
      </c>
      <c r="AM115" s="1">
        <v>22.991903971702275</v>
      </c>
      <c r="AN115" s="1">
        <v>22.983012676845107</v>
      </c>
    </row>
    <row r="116" spans="1:40" x14ac:dyDescent="0.25">
      <c r="A116" t="s">
        <v>26</v>
      </c>
      <c r="B116" t="s">
        <v>22</v>
      </c>
      <c r="C116" t="s">
        <v>8</v>
      </c>
      <c r="D116" t="s">
        <v>4</v>
      </c>
      <c r="E116" s="2">
        <v>1.5427553424657536</v>
      </c>
      <c r="F116" s="2">
        <v>1.7532589041095885</v>
      </c>
      <c r="G116" s="2">
        <v>2.0885660273972602</v>
      </c>
      <c r="H116" s="2">
        <v>2.4102591780821916</v>
      </c>
      <c r="I116" s="2">
        <v>2.1779106849315073</v>
      </c>
      <c r="J116" s="2">
        <v>1.922252054794521</v>
      </c>
      <c r="K116" s="2">
        <v>1.9370517808219181</v>
      </c>
      <c r="L116" s="2">
        <v>2.0015205479452054</v>
      </c>
      <c r="M116" s="2">
        <v>2.5944769863013697</v>
      </c>
      <c r="N116" s="1">
        <v>3.7833260273972598</v>
      </c>
      <c r="O116" s="1">
        <v>3.7126271100396457</v>
      </c>
      <c r="P116" s="1">
        <v>3.6121230696123781</v>
      </c>
      <c r="Q116" s="1">
        <v>3.5224310944208255</v>
      </c>
      <c r="R116" s="1">
        <v>3.4367478218238312</v>
      </c>
      <c r="S116" s="1">
        <v>3.378466183312185</v>
      </c>
      <c r="T116" s="1">
        <v>3.342450869916763</v>
      </c>
      <c r="U116" s="1">
        <v>3.3052941113418113</v>
      </c>
      <c r="V116" s="1">
        <v>3.2744379540693296</v>
      </c>
      <c r="W116" s="1">
        <v>3.2631404585709549</v>
      </c>
      <c r="X116" s="1">
        <v>3.2647310844716091</v>
      </c>
      <c r="Y116" s="1">
        <v>3.2779182781753242</v>
      </c>
      <c r="Z116" s="1">
        <v>3.2989203011229753</v>
      </c>
      <c r="AA116" s="1">
        <v>3.3227943932154282</v>
      </c>
      <c r="AB116" s="1">
        <v>3.3442158636631842</v>
      </c>
      <c r="AC116" s="1">
        <v>3.3572072984739174</v>
      </c>
      <c r="AD116" s="1">
        <v>3.3647764241871783</v>
      </c>
      <c r="AE116" s="1">
        <v>3.3680873110983396</v>
      </c>
      <c r="AF116" s="1">
        <v>3.3622916660691384</v>
      </c>
      <c r="AG116" s="1">
        <v>3.3437790054315966</v>
      </c>
      <c r="AH116" s="1">
        <v>3.321147816918772</v>
      </c>
      <c r="AI116" s="1">
        <v>3.2867605456213731</v>
      </c>
      <c r="AJ116" s="1">
        <v>3.2534395362128632</v>
      </c>
      <c r="AK116" s="1">
        <v>3.2173347763678444</v>
      </c>
      <c r="AL116" s="1">
        <v>3.1811540191345302</v>
      </c>
      <c r="AM116" s="1">
        <v>3.1385767992939506</v>
      </c>
      <c r="AN116" s="1">
        <v>3.092513019430958</v>
      </c>
    </row>
    <row r="117" spans="1:40" x14ac:dyDescent="0.25">
      <c r="A117" t="s">
        <v>26</v>
      </c>
      <c r="B117" t="s">
        <v>22</v>
      </c>
      <c r="C117" t="s">
        <v>8</v>
      </c>
      <c r="D117" t="s">
        <v>5</v>
      </c>
      <c r="E117" s="2">
        <v>99.6</v>
      </c>
      <c r="F117" s="2">
        <v>120.9</v>
      </c>
      <c r="G117" s="2">
        <v>124.7</v>
      </c>
      <c r="H117" s="2">
        <v>114.7</v>
      </c>
      <c r="I117" s="2">
        <v>131.19999999999999</v>
      </c>
      <c r="J117" s="2">
        <v>136.19999999999999</v>
      </c>
      <c r="K117" s="2">
        <v>141.80000000000001</v>
      </c>
      <c r="L117" s="2">
        <v>147.80000000000001</v>
      </c>
      <c r="M117" s="2">
        <v>155.19999999999999</v>
      </c>
      <c r="N117" s="1">
        <v>165</v>
      </c>
      <c r="O117" s="1">
        <v>179.82124827044612</v>
      </c>
      <c r="P117" s="1">
        <v>200.07385662465876</v>
      </c>
      <c r="Q117" s="1">
        <v>216.87670618151901</v>
      </c>
      <c r="R117" s="1">
        <v>225.30758012041434</v>
      </c>
      <c r="S117" s="1">
        <v>232.51561272951648</v>
      </c>
      <c r="T117" s="1">
        <v>234.45785497924538</v>
      </c>
      <c r="U117" s="1">
        <v>234.5770539620807</v>
      </c>
      <c r="V117" s="1">
        <v>234.5770539620807</v>
      </c>
      <c r="W117" s="1">
        <v>234.5770539620807</v>
      </c>
      <c r="X117" s="1">
        <v>236.86567443251937</v>
      </c>
      <c r="Y117" s="1">
        <v>241.5859541527991</v>
      </c>
      <c r="Z117" s="1">
        <v>245.82873677125016</v>
      </c>
      <c r="AA117" s="1">
        <v>247.97642197374819</v>
      </c>
      <c r="AB117" s="1">
        <v>248.31298380763621</v>
      </c>
      <c r="AC117" s="1">
        <v>248.31298380763621</v>
      </c>
      <c r="AD117" s="1">
        <v>249.65923114318838</v>
      </c>
      <c r="AE117" s="1">
        <v>251.34204031262854</v>
      </c>
      <c r="AF117" s="1">
        <v>251.67860214651662</v>
      </c>
      <c r="AG117" s="1">
        <v>251.67860214651662</v>
      </c>
      <c r="AH117" s="1">
        <v>253.02484948206876</v>
      </c>
      <c r="AI117" s="1">
        <v>254.70765865150895</v>
      </c>
      <c r="AJ117" s="1">
        <v>255.04422048539695</v>
      </c>
      <c r="AK117" s="1">
        <v>255.04422048539695</v>
      </c>
      <c r="AL117" s="1">
        <v>256.39046782094914</v>
      </c>
      <c r="AM117" s="1">
        <v>258.07327699038933</v>
      </c>
      <c r="AN117" s="1">
        <v>258.07327699038933</v>
      </c>
    </row>
    <row r="118" spans="1:40" x14ac:dyDescent="0.25">
      <c r="A118" t="s">
        <v>26</v>
      </c>
      <c r="B118" t="s">
        <v>22</v>
      </c>
      <c r="C118" t="s">
        <v>8</v>
      </c>
      <c r="D118" t="s">
        <v>6</v>
      </c>
      <c r="E118" s="2">
        <v>69.7</v>
      </c>
      <c r="F118" s="2">
        <v>78.5</v>
      </c>
      <c r="G118" s="2">
        <v>85.2</v>
      </c>
      <c r="H118" s="2">
        <v>92.7</v>
      </c>
      <c r="I118" s="2">
        <v>105.5</v>
      </c>
      <c r="J118" s="2">
        <v>120.1</v>
      </c>
      <c r="K118" s="2">
        <v>135.4</v>
      </c>
      <c r="L118" s="2">
        <v>157.69999999999999</v>
      </c>
      <c r="M118" s="2">
        <v>176.2</v>
      </c>
      <c r="N118" s="1">
        <v>201.2</v>
      </c>
      <c r="O118" s="1">
        <v>212.09415924984106</v>
      </c>
      <c r="P118" s="1">
        <v>237.279493165925</v>
      </c>
      <c r="Q118" s="1">
        <v>260.52864748887475</v>
      </c>
      <c r="R118" s="1">
        <v>269.92728862047045</v>
      </c>
      <c r="S118" s="1">
        <v>274.35440225683408</v>
      </c>
      <c r="T118" s="1">
        <v>276.3300408113318</v>
      </c>
      <c r="U118" s="1">
        <v>278.70373974578882</v>
      </c>
      <c r="V118" s="1">
        <v>282.4239538065724</v>
      </c>
      <c r="W118" s="1">
        <v>288.70547199609717</v>
      </c>
      <c r="X118" s="1">
        <v>296.38496827223793</v>
      </c>
      <c r="Y118" s="1">
        <v>303.61458069656743</v>
      </c>
      <c r="Z118" s="1">
        <v>317.20326473979691</v>
      </c>
      <c r="AA118" s="1">
        <v>329.84074090000036</v>
      </c>
      <c r="AB118" s="1">
        <v>341.59359372898956</v>
      </c>
      <c r="AC118" s="1">
        <v>352.52374685994954</v>
      </c>
      <c r="AD118" s="1">
        <v>362.68878927174234</v>
      </c>
      <c r="AE118" s="1">
        <v>372.14227871470956</v>
      </c>
      <c r="AF118" s="1">
        <v>380.93402389666915</v>
      </c>
      <c r="AG118" s="1">
        <v>389.11034691589151</v>
      </c>
      <c r="AH118" s="1">
        <v>396.71432732376837</v>
      </c>
      <c r="AI118" s="1">
        <v>403.78602910309371</v>
      </c>
      <c r="AJ118" s="1">
        <v>410.36271175786635</v>
      </c>
      <c r="AK118" s="1">
        <v>416.47902662680497</v>
      </c>
      <c r="AL118" s="1">
        <v>422.16719945491781</v>
      </c>
      <c r="AM118" s="1">
        <v>427.45720018506285</v>
      </c>
      <c r="AN118" s="1">
        <v>432.56205088965271</v>
      </c>
    </row>
    <row r="119" spans="1:40" x14ac:dyDescent="0.25">
      <c r="A119" t="s">
        <v>26</v>
      </c>
      <c r="B119" t="s">
        <v>22</v>
      </c>
      <c r="C119" t="s">
        <v>8</v>
      </c>
      <c r="D119" t="s">
        <v>7</v>
      </c>
      <c r="E119" s="2">
        <v>86.9</v>
      </c>
      <c r="F119" s="2">
        <v>104.6</v>
      </c>
      <c r="G119" s="2">
        <v>109.3</v>
      </c>
      <c r="H119" s="2">
        <v>103.9</v>
      </c>
      <c r="I119" s="2">
        <v>121.7</v>
      </c>
      <c r="J119" s="2">
        <v>126.3</v>
      </c>
      <c r="K119" s="2">
        <v>137.1</v>
      </c>
      <c r="L119" s="2">
        <v>145.19999999999999</v>
      </c>
      <c r="M119" s="2">
        <v>148.80000000000001</v>
      </c>
      <c r="N119" s="1">
        <v>151.69999999999999</v>
      </c>
      <c r="O119" s="1">
        <v>158.69999999999999</v>
      </c>
      <c r="P119" s="1">
        <v>161.87062937062939</v>
      </c>
      <c r="Q119" s="1">
        <v>167.94977749523204</v>
      </c>
      <c r="R119" s="1">
        <v>176.74666242848059</v>
      </c>
      <c r="S119" s="1">
        <v>183.58868404322951</v>
      </c>
      <c r="T119" s="1">
        <v>185.23958995549904</v>
      </c>
      <c r="U119" s="1">
        <v>185.34090909090909</v>
      </c>
      <c r="V119" s="1">
        <v>185.34090909090909</v>
      </c>
      <c r="W119" s="1">
        <v>186.48521932612843</v>
      </c>
      <c r="X119" s="1">
        <v>187.9156071201526</v>
      </c>
      <c r="Y119" s="1">
        <v>188.20168467895741</v>
      </c>
      <c r="Z119" s="1">
        <v>188.20168467895741</v>
      </c>
      <c r="AA119" s="1">
        <v>189.34599491417674</v>
      </c>
      <c r="AB119" s="1">
        <v>190.77638270820088</v>
      </c>
      <c r="AC119" s="1">
        <v>191.06246026700572</v>
      </c>
      <c r="AD119" s="1">
        <v>191.06246026700572</v>
      </c>
      <c r="AE119" s="1">
        <v>192.20677050222505</v>
      </c>
      <c r="AF119" s="1">
        <v>193.63715829624923</v>
      </c>
      <c r="AG119" s="1">
        <v>193.92323585505406</v>
      </c>
      <c r="AH119" s="1">
        <v>193.92323585505406</v>
      </c>
      <c r="AI119" s="1">
        <v>195.06754609027337</v>
      </c>
      <c r="AJ119" s="1">
        <v>196.49793388429754</v>
      </c>
      <c r="AK119" s="1">
        <v>196.78401144310234</v>
      </c>
      <c r="AL119" s="1">
        <v>196.78401144310234</v>
      </c>
      <c r="AM119" s="1">
        <v>196.78401144310234</v>
      </c>
      <c r="AN119" s="1">
        <v>196.78401144310234</v>
      </c>
    </row>
    <row r="120" spans="1:40" x14ac:dyDescent="0.25">
      <c r="A120" t="s">
        <v>26</v>
      </c>
      <c r="B120" t="s">
        <v>22</v>
      </c>
      <c r="C120" t="s">
        <v>9</v>
      </c>
      <c r="D120" t="s">
        <v>23</v>
      </c>
      <c r="E120" s="1">
        <v>7.2869805479452054</v>
      </c>
      <c r="F120" s="1">
        <v>6.622195616438356</v>
      </c>
      <c r="G120" s="1">
        <v>6.1339942465753419</v>
      </c>
      <c r="H120" s="1">
        <v>5.5603625479452052</v>
      </c>
      <c r="I120" s="1">
        <v>5.4598043835616439</v>
      </c>
      <c r="J120" s="1">
        <v>5.553782739726028</v>
      </c>
      <c r="K120" s="1">
        <v>5.9021945205479458</v>
      </c>
      <c r="L120" s="1">
        <v>6.3079616438356165</v>
      </c>
      <c r="M120" s="1">
        <v>6.5653643835616444</v>
      </c>
      <c r="N120" s="1">
        <v>7.872738992871974</v>
      </c>
      <c r="O120" s="1">
        <v>8.7267731148183838</v>
      </c>
      <c r="P120" s="1">
        <v>9.1796882652368907</v>
      </c>
      <c r="Q120" s="1">
        <v>9.5193188434766896</v>
      </c>
      <c r="R120" s="1">
        <v>9.7989116077000489</v>
      </c>
      <c r="S120" s="1">
        <v>9.8549479397635409</v>
      </c>
      <c r="T120" s="1">
        <v>9.932090859325049</v>
      </c>
      <c r="U120" s="1">
        <v>10.279416054929662</v>
      </c>
      <c r="V120" s="1">
        <v>10.81127655190007</v>
      </c>
      <c r="W120" s="1">
        <v>11.26885781086014</v>
      </c>
      <c r="X120" s="1">
        <v>11.60789332957888</v>
      </c>
      <c r="Y120" s="1">
        <v>11.91811961294755</v>
      </c>
      <c r="Z120" s="1">
        <v>12.190591854183729</v>
      </c>
      <c r="AA120" s="1">
        <v>12.423581016982627</v>
      </c>
      <c r="AB120" s="1">
        <v>12.605507165657743</v>
      </c>
      <c r="AC120" s="1">
        <v>12.755662184818451</v>
      </c>
      <c r="AD120" s="1">
        <v>12.894868480035981</v>
      </c>
      <c r="AE120" s="1">
        <v>13.019602752644943</v>
      </c>
      <c r="AF120" s="1">
        <v>13.119703791344923</v>
      </c>
      <c r="AG120" s="1">
        <v>13.182514369655449</v>
      </c>
      <c r="AH120" s="1">
        <v>13.218666650126032</v>
      </c>
      <c r="AI120" s="1">
        <v>13.20830768651798</v>
      </c>
      <c r="AJ120" s="1">
        <v>13.183340193711361</v>
      </c>
      <c r="AK120" s="1">
        <v>13.146167662974984</v>
      </c>
      <c r="AL120" s="1">
        <v>13.102242005988801</v>
      </c>
      <c r="AM120" s="1">
        <v>13.043697705334415</v>
      </c>
      <c r="AN120" s="1">
        <v>12.971663806212888</v>
      </c>
    </row>
    <row r="121" spans="1:40" x14ac:dyDescent="0.25">
      <c r="A121" t="s">
        <v>26</v>
      </c>
      <c r="B121" t="s">
        <v>22</v>
      </c>
      <c r="C121" t="s">
        <v>9</v>
      </c>
      <c r="D121" t="s">
        <v>1</v>
      </c>
      <c r="E121" s="1">
        <v>5.3115068493150686</v>
      </c>
      <c r="F121" s="1">
        <v>4.5769863013698631</v>
      </c>
      <c r="G121" s="1">
        <v>4.18958904109589</v>
      </c>
      <c r="H121" s="1">
        <v>3.6761643835616438</v>
      </c>
      <c r="I121" s="1">
        <v>3.4863013698630136</v>
      </c>
      <c r="J121" s="1">
        <v>3.35</v>
      </c>
      <c r="K121" s="1">
        <v>3.24</v>
      </c>
      <c r="L121" s="1">
        <v>3.38</v>
      </c>
      <c r="M121" s="1">
        <v>3.1434000000000002</v>
      </c>
      <c r="N121" s="1">
        <v>3.4303115956117001</v>
      </c>
      <c r="O121" s="1">
        <v>3.9154901024497519</v>
      </c>
      <c r="P121" s="1">
        <v>4.0778521953396432</v>
      </c>
      <c r="Q121" s="1">
        <v>4.1408605250650741</v>
      </c>
      <c r="R121" s="1">
        <v>4.1846887454609494</v>
      </c>
      <c r="S121" s="1">
        <v>4.0476654278494006</v>
      </c>
      <c r="T121" s="1">
        <v>3.8791987177981908</v>
      </c>
      <c r="U121" s="1">
        <v>3.8603313184393127</v>
      </c>
      <c r="V121" s="1">
        <v>3.9811608107751302</v>
      </c>
      <c r="W121" s="1">
        <v>4.0910123295376826</v>
      </c>
      <c r="X121" s="1">
        <v>4.1751874772502013</v>
      </c>
      <c r="Y121" s="1">
        <v>4.2923965915078375</v>
      </c>
      <c r="Z121" s="1">
        <v>4.4043889892663</v>
      </c>
      <c r="AA121" s="1">
        <v>4.5188813096808138</v>
      </c>
      <c r="AB121" s="1">
        <v>4.6282318457431062</v>
      </c>
      <c r="AC121" s="1">
        <v>4.7137765318918934</v>
      </c>
      <c r="AD121" s="1">
        <v>4.782287381975066</v>
      </c>
      <c r="AE121" s="1">
        <v>4.8363579363567766</v>
      </c>
      <c r="AF121" s="1">
        <v>4.8696864653978578</v>
      </c>
      <c r="AG121" s="1">
        <v>4.8779569833897574</v>
      </c>
      <c r="AH121" s="1">
        <v>4.8749160496890225</v>
      </c>
      <c r="AI121" s="1">
        <v>4.8440418882154166</v>
      </c>
      <c r="AJ121" s="1">
        <v>4.8068983999246448</v>
      </c>
      <c r="AK121" s="1">
        <v>4.7648535060702564</v>
      </c>
      <c r="AL121" s="1">
        <v>4.7212481557042834</v>
      </c>
      <c r="AM121" s="1">
        <v>4.6694866070399934</v>
      </c>
      <c r="AN121" s="1">
        <v>4.6094180863648981</v>
      </c>
    </row>
    <row r="122" spans="1:40" x14ac:dyDescent="0.25">
      <c r="A122" t="s">
        <v>26</v>
      </c>
      <c r="B122" t="s">
        <v>22</v>
      </c>
      <c r="C122" t="s">
        <v>9</v>
      </c>
      <c r="D122" t="s">
        <v>3</v>
      </c>
      <c r="E122" s="1">
        <v>1.4256134246575345</v>
      </c>
      <c r="F122" s="1">
        <v>1.4450832876712327</v>
      </c>
      <c r="G122" s="1">
        <v>1.2885339726027401</v>
      </c>
      <c r="H122" s="1">
        <v>1.1673954246575342</v>
      </c>
      <c r="I122" s="1">
        <v>1.2573030136986305</v>
      </c>
      <c r="J122" s="1">
        <v>1.4170704109589043</v>
      </c>
      <c r="K122" s="1">
        <v>1.7829972602739728</v>
      </c>
      <c r="L122" s="1">
        <v>2.0267041095890415</v>
      </c>
      <c r="M122" s="1">
        <v>2.4636027397260269</v>
      </c>
      <c r="N122" s="1">
        <v>3.0124273972602742</v>
      </c>
      <c r="O122" s="1">
        <v>2.8535379611437559</v>
      </c>
      <c r="P122" s="1">
        <v>3.0629099722274247</v>
      </c>
      <c r="Q122" s="1">
        <v>3.308028055879078</v>
      </c>
      <c r="R122" s="1">
        <v>3.5218784895086253</v>
      </c>
      <c r="S122" s="1">
        <v>3.7834497979894399</v>
      </c>
      <c r="T122" s="1">
        <v>4.1132927826277639</v>
      </c>
      <c r="U122" s="1">
        <v>4.4889190772706939</v>
      </c>
      <c r="V122" s="1">
        <v>4.8395353357373745</v>
      </c>
      <c r="W122" s="1">
        <v>5.1323393165536171</v>
      </c>
      <c r="X122" s="1">
        <v>5.3451121137035793</v>
      </c>
      <c r="Y122" s="1">
        <v>5.4795247256857937</v>
      </c>
      <c r="Z122" s="1">
        <v>5.5840083702842778</v>
      </c>
      <c r="AA122" s="1">
        <v>5.645259052461407</v>
      </c>
      <c r="AB122" s="1">
        <v>5.663159397043084</v>
      </c>
      <c r="AC122" s="1">
        <v>5.6849973869806094</v>
      </c>
      <c r="AD122" s="1">
        <v>5.7214374070733829</v>
      </c>
      <c r="AE122" s="1">
        <v>5.7650658481097778</v>
      </c>
      <c r="AF122" s="1">
        <v>5.8151740932481362</v>
      </c>
      <c r="AG122" s="1">
        <v>5.8655788945708123</v>
      </c>
      <c r="AH122" s="1">
        <v>5.9062925755924978</v>
      </c>
      <c r="AI122" s="1">
        <v>5.9422448541948549</v>
      </c>
      <c r="AJ122" s="1">
        <v>5.9729925938243937</v>
      </c>
      <c r="AK122" s="1">
        <v>5.998887403869599</v>
      </c>
      <c r="AL122" s="1">
        <v>6.0203697724323755</v>
      </c>
      <c r="AM122" s="1">
        <v>6.0394677947744251</v>
      </c>
      <c r="AN122" s="1">
        <v>6.0575366766655421</v>
      </c>
    </row>
    <row r="123" spans="1:40" x14ac:dyDescent="0.25">
      <c r="A123" t="s">
        <v>26</v>
      </c>
      <c r="B123" t="s">
        <v>22</v>
      </c>
      <c r="C123" t="s">
        <v>9</v>
      </c>
      <c r="D123" t="s">
        <v>10</v>
      </c>
      <c r="E123" s="1">
        <v>0.54986027397260273</v>
      </c>
      <c r="F123" s="1">
        <v>0.60012602739726029</v>
      </c>
      <c r="G123" s="1">
        <v>0.65587123287671234</v>
      </c>
      <c r="H123" s="1">
        <v>0.71680273972602748</v>
      </c>
      <c r="I123" s="1">
        <v>0.71619999999999984</v>
      </c>
      <c r="J123" s="1">
        <v>0.78671232876712338</v>
      </c>
      <c r="K123" s="1">
        <v>0.8791972602739726</v>
      </c>
      <c r="L123" s="1">
        <v>0.90125753424657529</v>
      </c>
      <c r="M123" s="1">
        <v>0.95836164383561662</v>
      </c>
      <c r="N123" s="1">
        <v>1.43</v>
      </c>
      <c r="O123" s="1">
        <v>1.957745051224876</v>
      </c>
      <c r="P123" s="1">
        <v>2.0389260976698216</v>
      </c>
      <c r="Q123" s="1">
        <v>2.070430262532537</v>
      </c>
      <c r="R123" s="1">
        <v>2.0923443727304747</v>
      </c>
      <c r="S123" s="1">
        <v>2.0238327139247003</v>
      </c>
      <c r="T123" s="1">
        <v>1.9395993588990954</v>
      </c>
      <c r="U123" s="1">
        <v>1.9301656592196563</v>
      </c>
      <c r="V123" s="1">
        <v>1.9905804053875651</v>
      </c>
      <c r="W123" s="1">
        <v>2.0455061647688413</v>
      </c>
      <c r="X123" s="1">
        <v>2.0875937386251007</v>
      </c>
      <c r="Y123" s="1">
        <v>2.1461982957539187</v>
      </c>
      <c r="Z123" s="1">
        <v>2.20219449463315</v>
      </c>
      <c r="AA123" s="1">
        <v>2.2594406548404069</v>
      </c>
      <c r="AB123" s="1">
        <v>2.3141159228715531</v>
      </c>
      <c r="AC123" s="1">
        <v>2.3568882659459467</v>
      </c>
      <c r="AD123" s="1">
        <v>2.391143690987533</v>
      </c>
      <c r="AE123" s="1">
        <v>2.4181789681783883</v>
      </c>
      <c r="AF123" s="1">
        <v>2.4348432326989289</v>
      </c>
      <c r="AG123" s="1">
        <v>2.4389784916948787</v>
      </c>
      <c r="AH123" s="1">
        <v>2.4374580248445112</v>
      </c>
      <c r="AI123" s="1">
        <v>2.4220209441077083</v>
      </c>
      <c r="AJ123" s="1">
        <v>2.4034491999623224</v>
      </c>
      <c r="AK123" s="1">
        <v>2.3824267530351282</v>
      </c>
      <c r="AL123" s="1">
        <v>2.3606240778521417</v>
      </c>
      <c r="AM123" s="1">
        <v>2.3347433035199967</v>
      </c>
      <c r="AN123" s="1">
        <v>2.3047090431824491</v>
      </c>
    </row>
    <row r="124" spans="1:40" x14ac:dyDescent="0.25">
      <c r="A124" t="s">
        <v>26</v>
      </c>
      <c r="B124" t="s">
        <v>22</v>
      </c>
      <c r="C124" t="s">
        <v>11</v>
      </c>
      <c r="D124" t="s">
        <v>23</v>
      </c>
      <c r="E124" s="1">
        <v>2.2085945205479454</v>
      </c>
      <c r="F124" s="1">
        <v>3.015890410958904</v>
      </c>
      <c r="G124" s="1">
        <v>3.5317808219178084</v>
      </c>
      <c r="H124" s="1">
        <v>3.7389041095890412</v>
      </c>
      <c r="I124" s="1">
        <v>4.0769863013698631</v>
      </c>
      <c r="J124" s="1">
        <v>4.42</v>
      </c>
      <c r="K124" s="1">
        <v>6.46</v>
      </c>
      <c r="L124" s="1">
        <v>8.1199999999999992</v>
      </c>
      <c r="M124" s="1">
        <v>8.82</v>
      </c>
      <c r="N124" s="1">
        <v>7.3047777861937035</v>
      </c>
      <c r="O124" s="1">
        <v>6.06108067370646</v>
      </c>
      <c r="P124" s="1">
        <v>5.3632111613437932</v>
      </c>
      <c r="Q124" s="1">
        <v>4.8386706674383548</v>
      </c>
      <c r="R124" s="1">
        <v>4.4011959357874355</v>
      </c>
      <c r="S124" s="1">
        <v>4.0669023797068311</v>
      </c>
      <c r="T124" s="1">
        <v>3.79585168376286</v>
      </c>
      <c r="U124" s="1">
        <v>3.5480375359807308</v>
      </c>
      <c r="V124" s="1">
        <v>3.3308753409435137</v>
      </c>
      <c r="W124" s="1">
        <v>3.1564516220479955</v>
      </c>
      <c r="X124" s="1">
        <v>3.0164330634390359</v>
      </c>
      <c r="Y124" s="1">
        <v>2.9093723266268983</v>
      </c>
      <c r="Z124" s="1">
        <v>2.8261225141585289</v>
      </c>
      <c r="AA124" s="1">
        <v>2.7596443527570149</v>
      </c>
      <c r="AB124" s="1">
        <v>2.7016301330008634</v>
      </c>
      <c r="AC124" s="1">
        <v>2.6435784959955799</v>
      </c>
      <c r="AD124" s="1">
        <v>2.5856867116957463</v>
      </c>
      <c r="AE124" s="1">
        <v>2.5294804650230245</v>
      </c>
      <c r="AF124" s="1">
        <v>2.4780916182476758</v>
      </c>
      <c r="AG124" s="1">
        <v>2.420925263842225</v>
      </c>
      <c r="AH124" s="1">
        <v>2.3397458415628138</v>
      </c>
      <c r="AI124" s="1">
        <v>2.2551898295689332</v>
      </c>
      <c r="AJ124" s="1">
        <v>2.1775728239212664</v>
      </c>
      <c r="AK124" s="1">
        <v>2.099300835018441</v>
      </c>
      <c r="AL124" s="1">
        <v>2.0485146826907754</v>
      </c>
      <c r="AM124" s="1">
        <v>2.0016885968627633</v>
      </c>
      <c r="AN124" s="1">
        <v>1.9577986814300967</v>
      </c>
    </row>
    <row r="125" spans="1:40" x14ac:dyDescent="0.25">
      <c r="A125" t="s">
        <v>26</v>
      </c>
      <c r="B125" t="s">
        <v>22</v>
      </c>
      <c r="C125" t="s">
        <v>11</v>
      </c>
      <c r="D125" t="s">
        <v>1</v>
      </c>
      <c r="E125" s="1">
        <v>2.2085945205479454</v>
      </c>
      <c r="F125" s="1">
        <v>3.015890410958904</v>
      </c>
      <c r="G125" s="1">
        <v>3.5317808219178084</v>
      </c>
      <c r="H125" s="1">
        <v>3.7389041095890412</v>
      </c>
      <c r="I125" s="1">
        <v>4.0769863013698631</v>
      </c>
      <c r="J125" s="1">
        <v>4.42</v>
      </c>
      <c r="K125" s="1">
        <v>6.46</v>
      </c>
      <c r="L125" s="1">
        <v>8.1199999999999992</v>
      </c>
      <c r="M125" s="1">
        <v>8.82</v>
      </c>
      <c r="N125" s="1">
        <v>7.3047777861937035</v>
      </c>
      <c r="O125" s="1">
        <v>6.06108067370646</v>
      </c>
      <c r="P125" s="1">
        <v>5.3632111613437932</v>
      </c>
      <c r="Q125" s="1">
        <v>4.8386706674383548</v>
      </c>
      <c r="R125" s="1">
        <v>4.4011959357874355</v>
      </c>
      <c r="S125" s="1">
        <v>4.0669023797068311</v>
      </c>
      <c r="T125" s="1">
        <v>3.79585168376286</v>
      </c>
      <c r="U125" s="1">
        <v>3.5480375359807308</v>
      </c>
      <c r="V125" s="1">
        <v>3.3308753409435137</v>
      </c>
      <c r="W125" s="1">
        <v>3.1564516220479955</v>
      </c>
      <c r="X125" s="1">
        <v>3.0164330634390359</v>
      </c>
      <c r="Y125" s="1">
        <v>2.9093723266268983</v>
      </c>
      <c r="Z125" s="1">
        <v>2.8261225141585289</v>
      </c>
      <c r="AA125" s="1">
        <v>2.7596443527570149</v>
      </c>
      <c r="AB125" s="1">
        <v>2.7016301330008634</v>
      </c>
      <c r="AC125" s="1">
        <v>2.6435784959955799</v>
      </c>
      <c r="AD125" s="1">
        <v>2.5856867116957463</v>
      </c>
      <c r="AE125" s="1">
        <v>2.5294804650230245</v>
      </c>
      <c r="AF125" s="1">
        <v>2.4780916182476758</v>
      </c>
      <c r="AG125" s="1">
        <v>2.420925263842225</v>
      </c>
      <c r="AH125" s="1">
        <v>2.3397458415628138</v>
      </c>
      <c r="AI125" s="1">
        <v>2.2551898295689332</v>
      </c>
      <c r="AJ125" s="1">
        <v>2.1775728239212664</v>
      </c>
      <c r="AK125" s="1">
        <v>2.099300835018441</v>
      </c>
      <c r="AL125" s="1">
        <v>2.0485146826907754</v>
      </c>
      <c r="AM125" s="1">
        <v>2.0016885968627633</v>
      </c>
      <c r="AN125" s="1">
        <v>1.9577986814300967</v>
      </c>
    </row>
    <row r="126" spans="1:40" x14ac:dyDescent="0.25">
      <c r="A126" t="s">
        <v>26</v>
      </c>
      <c r="B126" t="s">
        <v>22</v>
      </c>
      <c r="C126" t="s">
        <v>12</v>
      </c>
      <c r="D126" t="s">
        <v>23</v>
      </c>
      <c r="E126" s="1">
        <v>48.466882191780826</v>
      </c>
      <c r="F126" s="1">
        <v>48.277846575342465</v>
      </c>
      <c r="G126" s="1">
        <v>58.576986301369864</v>
      </c>
      <c r="H126" s="1">
        <v>54.554520547945202</v>
      </c>
      <c r="I126" s="1">
        <v>42.550684931506844</v>
      </c>
      <c r="J126" s="1">
        <v>43.853011524244394</v>
      </c>
      <c r="K126" s="1">
        <v>42.14</v>
      </c>
      <c r="L126" s="1">
        <v>31.429560381305837</v>
      </c>
      <c r="M126" s="1">
        <v>36.872529243563093</v>
      </c>
      <c r="N126" s="1">
        <v>34.344578260774881</v>
      </c>
      <c r="O126" s="1">
        <v>33.948034815394557</v>
      </c>
      <c r="P126" s="1">
        <v>40.893251028192886</v>
      </c>
      <c r="Q126" s="1">
        <v>39.550516165890812</v>
      </c>
      <c r="R126" s="1">
        <v>50.201305689240215</v>
      </c>
      <c r="S126" s="1">
        <v>51.746947988775737</v>
      </c>
      <c r="T126" s="1">
        <v>45.347395485195598</v>
      </c>
      <c r="U126" s="1">
        <v>44.14465659217997</v>
      </c>
      <c r="V126" s="1">
        <v>45.052542005644248</v>
      </c>
      <c r="W126" s="1">
        <v>39.507136670521767</v>
      </c>
      <c r="X126" s="1">
        <v>39.086716925165348</v>
      </c>
      <c r="Y126" s="1">
        <v>52.336565786879646</v>
      </c>
      <c r="Z126" s="1">
        <v>45.940789275095824</v>
      </c>
      <c r="AA126" s="1">
        <v>39.984437415285669</v>
      </c>
      <c r="AB126" s="1">
        <v>35.904751576340786</v>
      </c>
      <c r="AC126" s="1">
        <v>33.177772537536946</v>
      </c>
      <c r="AD126" s="1">
        <v>31.060379430871162</v>
      </c>
      <c r="AE126" s="1">
        <v>27.732695391816115</v>
      </c>
      <c r="AF126" s="1">
        <v>24.043970119384397</v>
      </c>
      <c r="AG126" s="1">
        <v>21.59199376066654</v>
      </c>
      <c r="AH126" s="1">
        <v>21.084469602269998</v>
      </c>
      <c r="AI126" s="1">
        <v>19.067860589901247</v>
      </c>
      <c r="AJ126" s="1">
        <v>17.844162364854853</v>
      </c>
      <c r="AK126" s="1">
        <v>16.685595691783142</v>
      </c>
      <c r="AL126" s="1">
        <v>15.125900406656791</v>
      </c>
      <c r="AM126" s="1">
        <v>13.761476087214938</v>
      </c>
      <c r="AN126" s="1">
        <v>13.405115505733184</v>
      </c>
    </row>
    <row r="127" spans="1:40" x14ac:dyDescent="0.25">
      <c r="A127" t="s">
        <v>26</v>
      </c>
      <c r="B127" t="s">
        <v>22</v>
      </c>
      <c r="C127" t="s">
        <v>12</v>
      </c>
      <c r="D127" t="s">
        <v>1</v>
      </c>
      <c r="E127" s="1">
        <v>48.466882191780826</v>
      </c>
      <c r="F127" s="1">
        <v>48.277846575342465</v>
      </c>
      <c r="G127" s="1">
        <v>58.576986301369864</v>
      </c>
      <c r="H127" s="1">
        <v>54.554520547945202</v>
      </c>
      <c r="I127" s="1">
        <v>42.550684931506844</v>
      </c>
      <c r="J127" s="1">
        <v>43.853011524244394</v>
      </c>
      <c r="K127" s="1">
        <v>42.14</v>
      </c>
      <c r="L127" s="1">
        <v>31.429560381305837</v>
      </c>
      <c r="M127" s="1">
        <v>36.872529243563093</v>
      </c>
      <c r="N127" s="1">
        <v>34.344578260774881</v>
      </c>
      <c r="O127" s="1">
        <v>33.948034815394557</v>
      </c>
      <c r="P127" s="1">
        <v>40.893251028192886</v>
      </c>
      <c r="Q127" s="1">
        <v>39.550516165890812</v>
      </c>
      <c r="R127" s="1">
        <v>50.201305689240215</v>
      </c>
      <c r="S127" s="1">
        <v>51.746947988775737</v>
      </c>
      <c r="T127" s="1">
        <v>45.347395485195598</v>
      </c>
      <c r="U127" s="1">
        <v>44.14465659217997</v>
      </c>
      <c r="V127" s="1">
        <v>45.052542005644248</v>
      </c>
      <c r="W127" s="1">
        <v>39.507136670521767</v>
      </c>
      <c r="X127" s="1">
        <v>39.086716925165348</v>
      </c>
      <c r="Y127" s="1">
        <v>52.336565786879646</v>
      </c>
      <c r="Z127" s="1">
        <v>45.940789275095824</v>
      </c>
      <c r="AA127" s="1">
        <v>39.984437415285669</v>
      </c>
      <c r="AB127" s="1">
        <v>35.904751576340786</v>
      </c>
      <c r="AC127" s="1">
        <v>33.177772537536946</v>
      </c>
      <c r="AD127" s="1">
        <v>31.060379430871162</v>
      </c>
      <c r="AE127" s="1">
        <v>27.732695391816115</v>
      </c>
      <c r="AF127" s="1">
        <v>24.043970119384397</v>
      </c>
      <c r="AG127" s="1">
        <v>21.59199376066654</v>
      </c>
      <c r="AH127" s="1">
        <v>21.084469602269998</v>
      </c>
      <c r="AI127" s="1">
        <v>19.067860589901247</v>
      </c>
      <c r="AJ127" s="1">
        <v>17.844162364854853</v>
      </c>
      <c r="AK127" s="1">
        <v>16.685595691783142</v>
      </c>
      <c r="AL127" s="1">
        <v>15.125900406656791</v>
      </c>
      <c r="AM127" s="1">
        <v>13.761476087214938</v>
      </c>
      <c r="AN127" s="1">
        <v>13.405115505733184</v>
      </c>
    </row>
    <row r="128" spans="1:40" x14ac:dyDescent="0.25">
      <c r="A128" t="s">
        <v>26</v>
      </c>
      <c r="B128" t="s">
        <v>22</v>
      </c>
      <c r="C128" t="s">
        <v>13</v>
      </c>
      <c r="D128" t="s">
        <v>23</v>
      </c>
      <c r="E128" s="1">
        <v>2.9858876712328768</v>
      </c>
      <c r="F128" s="1">
        <v>2.9663753424657533</v>
      </c>
      <c r="G128" s="1">
        <v>2.7860273972602738</v>
      </c>
      <c r="H128" s="1">
        <v>2.5797260273972604</v>
      </c>
      <c r="I128" s="1">
        <v>2.4693150684931506</v>
      </c>
      <c r="J128" s="1">
        <v>2.39</v>
      </c>
      <c r="K128" s="1">
        <v>1.67</v>
      </c>
      <c r="L128" s="1">
        <v>2.0670000000000002</v>
      </c>
      <c r="M128" s="1">
        <v>1.9636499999999999</v>
      </c>
      <c r="N128" s="1">
        <v>1.69</v>
      </c>
      <c r="O128" s="1">
        <v>1.61</v>
      </c>
      <c r="P128" s="1">
        <v>1.5295000000000001</v>
      </c>
      <c r="Q128" s="1">
        <v>1.453025</v>
      </c>
      <c r="R128" s="1">
        <v>1.38037375</v>
      </c>
      <c r="S128" s="1">
        <v>1.3113550624999999</v>
      </c>
      <c r="T128" s="1">
        <v>1.2457873093749998</v>
      </c>
      <c r="U128" s="1">
        <v>1.1834979439062498</v>
      </c>
      <c r="V128" s="1">
        <v>1.1243230467109373</v>
      </c>
      <c r="W128" s="1">
        <v>1.0681068943753904</v>
      </c>
      <c r="X128" s="1">
        <v>1.0147015496566207</v>
      </c>
      <c r="Y128" s="1">
        <v>0.96396647217378961</v>
      </c>
      <c r="Z128" s="1">
        <v>0.91576814856510014</v>
      </c>
      <c r="AA128" s="1">
        <v>0.86997974113684506</v>
      </c>
      <c r="AB128" s="1">
        <v>0.82648075408000277</v>
      </c>
      <c r="AC128" s="1">
        <v>0.78515671637600259</v>
      </c>
      <c r="AD128" s="1">
        <v>0.74589888055720244</v>
      </c>
      <c r="AE128" s="1">
        <v>0.70860393652934228</v>
      </c>
      <c r="AF128" s="1">
        <v>0.67317373970287508</v>
      </c>
      <c r="AG128" s="1">
        <v>0.63951505271773135</v>
      </c>
      <c r="AH128" s="1">
        <v>0.60753930008184476</v>
      </c>
      <c r="AI128" s="1">
        <v>0.5771623350777525</v>
      </c>
      <c r="AJ128" s="1">
        <v>0.54830421832386489</v>
      </c>
      <c r="AK128" s="1">
        <v>0.52088900740767163</v>
      </c>
      <c r="AL128" s="1">
        <v>0.49484455703728802</v>
      </c>
      <c r="AM128" s="1">
        <v>0.47010232918542361</v>
      </c>
      <c r="AN128" s="1">
        <v>0.44659721272615238</v>
      </c>
    </row>
    <row r="129" spans="1:40" x14ac:dyDescent="0.25">
      <c r="A129" t="s">
        <v>26</v>
      </c>
      <c r="B129" t="s">
        <v>22</v>
      </c>
      <c r="C129" t="s">
        <v>13</v>
      </c>
      <c r="D129" t="s">
        <v>1</v>
      </c>
      <c r="E129" s="1">
        <v>2.9858876712328768</v>
      </c>
      <c r="F129" s="1">
        <v>2.9663753424657533</v>
      </c>
      <c r="G129" s="1">
        <v>2.7860273972602738</v>
      </c>
      <c r="H129" s="1">
        <v>2.5797260273972604</v>
      </c>
      <c r="I129" s="1">
        <v>2.4693150684931506</v>
      </c>
      <c r="J129" s="1">
        <v>2.39</v>
      </c>
      <c r="K129" s="1">
        <v>1.67</v>
      </c>
      <c r="L129" s="1">
        <v>2.0670000000000002</v>
      </c>
      <c r="M129" s="1">
        <v>1.9636499999999999</v>
      </c>
      <c r="N129" s="1">
        <v>1.69</v>
      </c>
      <c r="O129" s="1">
        <v>1.61</v>
      </c>
      <c r="P129" s="1">
        <v>1.5295000000000001</v>
      </c>
      <c r="Q129" s="1">
        <v>1.453025</v>
      </c>
      <c r="R129" s="1">
        <v>1.38037375</v>
      </c>
      <c r="S129" s="1">
        <v>1.3113550624999999</v>
      </c>
      <c r="T129" s="1">
        <v>1.2457873093749998</v>
      </c>
      <c r="U129" s="1">
        <v>1.1834979439062498</v>
      </c>
      <c r="V129" s="1">
        <v>1.1243230467109373</v>
      </c>
      <c r="W129" s="1">
        <v>1.0681068943753904</v>
      </c>
      <c r="X129" s="1">
        <v>1.0147015496566207</v>
      </c>
      <c r="Y129" s="1">
        <v>0.96396647217378961</v>
      </c>
      <c r="Z129" s="1">
        <v>0.91576814856510014</v>
      </c>
      <c r="AA129" s="1">
        <v>0.86997974113684506</v>
      </c>
      <c r="AB129" s="1">
        <v>0.82648075408000277</v>
      </c>
      <c r="AC129" s="1">
        <v>0.78515671637600259</v>
      </c>
      <c r="AD129" s="1">
        <v>0.74589888055720244</v>
      </c>
      <c r="AE129" s="1">
        <v>0.70860393652934228</v>
      </c>
      <c r="AF129" s="1">
        <v>0.67317373970287508</v>
      </c>
      <c r="AG129" s="1">
        <v>0.63951505271773135</v>
      </c>
      <c r="AH129" s="1">
        <v>0.60753930008184476</v>
      </c>
      <c r="AI129" s="1">
        <v>0.5771623350777525</v>
      </c>
      <c r="AJ129" s="1">
        <v>0.54830421832386489</v>
      </c>
      <c r="AK129" s="1">
        <v>0.52088900740767163</v>
      </c>
      <c r="AL129" s="1">
        <v>0.49484455703728802</v>
      </c>
      <c r="AM129" s="1">
        <v>0.47010232918542361</v>
      </c>
      <c r="AN129" s="1">
        <v>0.44659721272615238</v>
      </c>
    </row>
    <row r="130" spans="1:40" x14ac:dyDescent="0.25">
      <c r="A130" t="s">
        <v>26</v>
      </c>
      <c r="B130" t="s">
        <v>22</v>
      </c>
      <c r="C130" t="s">
        <v>14</v>
      </c>
      <c r="D130" t="s">
        <v>23</v>
      </c>
      <c r="E130" s="1">
        <v>2.0546041095890408</v>
      </c>
      <c r="F130" s="1">
        <v>1.9127178082191778</v>
      </c>
      <c r="G130" s="1">
        <v>1.8855501369863013</v>
      </c>
      <c r="H130" s="1">
        <v>1.7537218579234968</v>
      </c>
      <c r="I130" s="1">
        <v>1.1252249315068492</v>
      </c>
      <c r="J130" s="1">
        <v>1.0665109589041095</v>
      </c>
      <c r="K130" s="1">
        <v>0.8600093150684931</v>
      </c>
      <c r="L130" s="1">
        <v>0.58448934426229504</v>
      </c>
      <c r="M130" s="1">
        <v>0.3277084931506849</v>
      </c>
      <c r="N130" s="1">
        <v>0.46</v>
      </c>
      <c r="O130" s="1">
        <v>0.43273658301369861</v>
      </c>
      <c r="P130" s="1">
        <v>0.40738720503606557</v>
      </c>
      <c r="Q130" s="1">
        <v>0.38562714764049533</v>
      </c>
      <c r="R130" s="1">
        <v>0.36403202737262752</v>
      </c>
      <c r="S130" s="1">
        <v>0.3436462338397604</v>
      </c>
      <c r="T130" s="1">
        <v>0.32351570036018534</v>
      </c>
      <c r="U130" s="1">
        <v>0.30623553023902866</v>
      </c>
      <c r="V130" s="1">
        <v>0.28908634054564303</v>
      </c>
      <c r="W130" s="1">
        <v>0.27289750547508701</v>
      </c>
      <c r="X130" s="1">
        <v>0.25691137837840433</v>
      </c>
      <c r="Y130" s="1">
        <v>0.24318879143904712</v>
      </c>
      <c r="Z130" s="1">
        <v>0.22957021911846046</v>
      </c>
      <c r="AA130" s="1">
        <v>0.21671428684782665</v>
      </c>
      <c r="AB130" s="1">
        <v>0.20401932971663156</v>
      </c>
      <c r="AC130" s="1">
        <v>0.19312190272442484</v>
      </c>
      <c r="AD130" s="1">
        <v>0.18230707617185704</v>
      </c>
      <c r="AE130" s="1">
        <v>0.17209787990623304</v>
      </c>
      <c r="AF130" s="1">
        <v>0.16201651776090617</v>
      </c>
      <c r="AG130" s="1">
        <v>0.15336261630812087</v>
      </c>
      <c r="AH130" s="1">
        <v>0.14477430979486611</v>
      </c>
      <c r="AI130" s="1">
        <v>0.1366669484463536</v>
      </c>
      <c r="AJ130" s="1">
        <v>0.12866110316031584</v>
      </c>
      <c r="AK130" s="1">
        <v>0.12178883777068976</v>
      </c>
      <c r="AL130" s="1">
        <v>0.11496866285553113</v>
      </c>
      <c r="AM130" s="1">
        <v>0.10853041773562137</v>
      </c>
      <c r="AN130" s="1">
        <v>0.10217278889340355</v>
      </c>
    </row>
    <row r="131" spans="1:40" x14ac:dyDescent="0.25">
      <c r="A131" t="s">
        <v>26</v>
      </c>
      <c r="B131" t="s">
        <v>22</v>
      </c>
      <c r="C131" t="s">
        <v>14</v>
      </c>
      <c r="D131" t="s">
        <v>3</v>
      </c>
      <c r="E131" s="1">
        <v>2.0546041095890408</v>
      </c>
      <c r="F131" s="1">
        <v>1.9127178082191778</v>
      </c>
      <c r="G131" s="1">
        <v>1.8855501369863013</v>
      </c>
      <c r="H131" s="1">
        <v>1.7537218579234968</v>
      </c>
      <c r="I131" s="1">
        <v>1.1252249315068492</v>
      </c>
      <c r="J131" s="1">
        <v>1.0665109589041095</v>
      </c>
      <c r="K131" s="1">
        <v>0.8600093150684931</v>
      </c>
      <c r="L131" s="1">
        <v>0.58448934426229504</v>
      </c>
      <c r="M131" s="1">
        <v>0.3277084931506849</v>
      </c>
      <c r="N131" s="1">
        <v>0.45840739726027402</v>
      </c>
      <c r="O131" s="1">
        <v>0.43273658301369861</v>
      </c>
      <c r="P131" s="1">
        <v>0.40738720503606557</v>
      </c>
      <c r="Q131" s="1">
        <v>0.38562714764049533</v>
      </c>
      <c r="R131" s="1">
        <v>0.36403202737262752</v>
      </c>
      <c r="S131" s="1">
        <v>0.3436462338397604</v>
      </c>
      <c r="T131" s="1">
        <v>0.32351570036018534</v>
      </c>
      <c r="U131" s="1">
        <v>0.30623553023902866</v>
      </c>
      <c r="V131" s="1">
        <v>0.28908634054564303</v>
      </c>
      <c r="W131" s="1">
        <v>0.27289750547508701</v>
      </c>
      <c r="X131" s="1">
        <v>0.25691137837840433</v>
      </c>
      <c r="Y131" s="1">
        <v>0.24318879143904712</v>
      </c>
      <c r="Z131" s="1">
        <v>0.22957021911846046</v>
      </c>
      <c r="AA131" s="1">
        <v>0.21671428684782665</v>
      </c>
      <c r="AB131" s="1">
        <v>0.20401932971663156</v>
      </c>
      <c r="AC131" s="1">
        <v>0.19312190272442484</v>
      </c>
      <c r="AD131" s="1">
        <v>0.18230707617185704</v>
      </c>
      <c r="AE131" s="1">
        <v>0.17209787990623304</v>
      </c>
      <c r="AF131" s="1">
        <v>0.16201651776090617</v>
      </c>
      <c r="AG131" s="1">
        <v>0.15336261630812087</v>
      </c>
      <c r="AH131" s="1">
        <v>0.14477430979486611</v>
      </c>
      <c r="AI131" s="1">
        <v>0.1366669484463536</v>
      </c>
      <c r="AJ131" s="1">
        <v>0.12866110316031584</v>
      </c>
      <c r="AK131" s="1">
        <v>0.12178883777068976</v>
      </c>
      <c r="AL131" s="1">
        <v>0.11496866285553113</v>
      </c>
      <c r="AM131" s="1">
        <v>0.10853041773562137</v>
      </c>
      <c r="AN131" s="1">
        <v>0.10217278889340355</v>
      </c>
    </row>
    <row r="132" spans="1:40" x14ac:dyDescent="0.25">
      <c r="A132" t="s">
        <v>26</v>
      </c>
      <c r="B132" t="s">
        <v>22</v>
      </c>
      <c r="C132" t="s">
        <v>15</v>
      </c>
      <c r="D132" t="s">
        <v>23</v>
      </c>
      <c r="E132" s="1">
        <v>0.38451041602662572</v>
      </c>
      <c r="F132" s="1">
        <v>0.35441595195212494</v>
      </c>
      <c r="G132" s="1">
        <v>0.33669515435451869</v>
      </c>
      <c r="H132" s="1">
        <v>0.26958904109589044</v>
      </c>
      <c r="I132" s="1">
        <v>0.24958904109589042</v>
      </c>
      <c r="J132" s="1">
        <v>0.24</v>
      </c>
      <c r="K132" s="1">
        <v>0.22320000000000001</v>
      </c>
      <c r="L132" s="1">
        <v>0.22</v>
      </c>
      <c r="M132" s="1">
        <v>0.2046</v>
      </c>
      <c r="N132" s="1">
        <v>0.190278</v>
      </c>
      <c r="O132" s="1">
        <v>0.17695854000000003</v>
      </c>
      <c r="P132" s="1">
        <v>0.16457144220000003</v>
      </c>
      <c r="Q132" s="1">
        <v>0.15305144124600004</v>
      </c>
      <c r="R132" s="1">
        <v>0.14233784035878005</v>
      </c>
      <c r="S132" s="1">
        <v>0.13237419153366545</v>
      </c>
      <c r="T132" s="1">
        <v>0.12310799812630888</v>
      </c>
      <c r="U132" s="1">
        <v>0.11449043825746726</v>
      </c>
      <c r="V132" s="1">
        <v>0.10647610757944455</v>
      </c>
      <c r="W132" s="1">
        <v>9.873655395323977E-2</v>
      </c>
      <c r="X132" s="1">
        <v>9.1263992029051402E-2</v>
      </c>
      <c r="Y132" s="1">
        <v>8.4050837960249286E-2</v>
      </c>
      <c r="Z132" s="1">
        <v>7.7089704457387623E-2</v>
      </c>
      <c r="AA132" s="1">
        <v>7.0373395959456311E-2</v>
      </c>
      <c r="AB132" s="1">
        <v>6.3894903919659324E-2</v>
      </c>
      <c r="AC132" s="1">
        <v>5.7647402203070422E-2</v>
      </c>
      <c r="AD132" s="1">
        <v>5.1624242593577216E-2</v>
      </c>
      <c r="AE132" s="1">
        <v>4.5818950407582507E-2</v>
      </c>
      <c r="AF132" s="1">
        <v>4.0225220211990154E-2</v>
      </c>
      <c r="AG132" s="1">
        <v>3.4836911644058464E-2</v>
      </c>
      <c r="AH132" s="1">
        <v>2.9648045330759248E-2</v>
      </c>
      <c r="AI132" s="1">
        <v>2.4652798905334377E-2</v>
      </c>
      <c r="AJ132" s="1">
        <v>1.9845503118794194E-2</v>
      </c>
      <c r="AK132" s="1">
        <v>1.5220638044153486E-2</v>
      </c>
      <c r="AL132" s="1">
        <v>1.0772829371250891E-2</v>
      </c>
      <c r="AM132" s="1">
        <v>6.4968447900467371E-3</v>
      </c>
      <c r="AN132" s="1">
        <v>2.3875904603422489E-3</v>
      </c>
    </row>
    <row r="133" spans="1:40" x14ac:dyDescent="0.25">
      <c r="A133" t="s">
        <v>26</v>
      </c>
      <c r="B133" t="s">
        <v>22</v>
      </c>
      <c r="C133" t="s">
        <v>15</v>
      </c>
      <c r="D133" t="s">
        <v>1</v>
      </c>
      <c r="E133" s="1">
        <v>0.37693698630136985</v>
      </c>
      <c r="F133" s="1">
        <v>0.34152602739726029</v>
      </c>
      <c r="G133" s="1">
        <v>0.29972602739726029</v>
      </c>
      <c r="H133" s="1">
        <v>0.26958904109589044</v>
      </c>
      <c r="I133" s="1">
        <v>0.24958904109589042</v>
      </c>
      <c r="J133" s="1">
        <v>0.24</v>
      </c>
      <c r="K133" s="1">
        <v>0.22320000000000001</v>
      </c>
      <c r="L133" s="1">
        <v>0.22</v>
      </c>
      <c r="M133" s="1">
        <v>0.2046</v>
      </c>
      <c r="N133" s="1">
        <v>0.190278</v>
      </c>
      <c r="O133" s="1">
        <v>0.17695854000000003</v>
      </c>
      <c r="P133" s="1">
        <v>0.16457144220000003</v>
      </c>
      <c r="Q133" s="1">
        <v>0.15305144124600004</v>
      </c>
      <c r="R133" s="1">
        <v>0.14233784035878005</v>
      </c>
      <c r="S133" s="1">
        <v>0.13237419153366545</v>
      </c>
      <c r="T133" s="1">
        <v>0.12310799812630888</v>
      </c>
      <c r="U133" s="1">
        <v>0.11449043825746726</v>
      </c>
      <c r="V133" s="1">
        <v>0.10647610757944455</v>
      </c>
      <c r="W133" s="1">
        <v>9.873655395323977E-2</v>
      </c>
      <c r="X133" s="1">
        <v>9.1263992029051402E-2</v>
      </c>
      <c r="Y133" s="1">
        <v>8.4050837960249286E-2</v>
      </c>
      <c r="Z133" s="1">
        <v>7.7089704457387623E-2</v>
      </c>
      <c r="AA133" s="1">
        <v>7.0373395959456311E-2</v>
      </c>
      <c r="AB133" s="1">
        <v>6.3894903919659324E-2</v>
      </c>
      <c r="AC133" s="1">
        <v>5.7647402203070422E-2</v>
      </c>
      <c r="AD133" s="1">
        <v>5.1624242593577216E-2</v>
      </c>
      <c r="AE133" s="1">
        <v>4.5818950407582507E-2</v>
      </c>
      <c r="AF133" s="1">
        <v>4.0225220211990154E-2</v>
      </c>
      <c r="AG133" s="1">
        <v>3.4836911644058464E-2</v>
      </c>
      <c r="AH133" s="1">
        <v>2.9648045330759248E-2</v>
      </c>
      <c r="AI133" s="1">
        <v>2.4652798905334377E-2</v>
      </c>
      <c r="AJ133" s="1">
        <v>1.9845503118794194E-2</v>
      </c>
      <c r="AK133" s="1">
        <v>1.5220638044153486E-2</v>
      </c>
      <c r="AL133" s="1">
        <v>1.0772829371250891E-2</v>
      </c>
      <c r="AM133" s="1">
        <v>6.4968447900467371E-3</v>
      </c>
      <c r="AN133" s="1">
        <v>2.3875904603422489E-3</v>
      </c>
    </row>
    <row r="134" spans="1:40" x14ac:dyDescent="0.25">
      <c r="A134" t="s">
        <v>26</v>
      </c>
      <c r="B134" t="s">
        <v>22</v>
      </c>
      <c r="C134" t="s">
        <v>16</v>
      </c>
      <c r="D134" t="s">
        <v>23</v>
      </c>
      <c r="E134" s="1">
        <v>66.733054039199047</v>
      </c>
      <c r="F134" s="1">
        <v>68.174030419970649</v>
      </c>
      <c r="G134" s="1">
        <v>68.098496018848238</v>
      </c>
      <c r="H134" s="1">
        <v>69.988042860537959</v>
      </c>
      <c r="I134" s="1">
        <v>67.633923182151463</v>
      </c>
      <c r="J134" s="1">
        <v>67.359048901700334</v>
      </c>
      <c r="K134" s="1">
        <v>68.163835411747996</v>
      </c>
      <c r="L134" s="1">
        <v>74.858985940320864</v>
      </c>
      <c r="M134" s="1">
        <v>77.207730375237986</v>
      </c>
      <c r="N134" s="1">
        <v>80.928466523533231</v>
      </c>
      <c r="O134" s="1">
        <v>80.83681735328112</v>
      </c>
      <c r="P134" s="1">
        <v>80.659220673541924</v>
      </c>
      <c r="Q134" s="1">
        <v>79.931507462034077</v>
      </c>
      <c r="R134" s="1">
        <v>79.26110756356502</v>
      </c>
      <c r="S134" s="1">
        <v>78.519574156611981</v>
      </c>
      <c r="T134" s="1">
        <v>77.958864340249434</v>
      </c>
      <c r="U134" s="1">
        <v>77.277934712762161</v>
      </c>
      <c r="V134" s="1">
        <v>76.850068355705048</v>
      </c>
      <c r="W134" s="1">
        <v>76.583754092856296</v>
      </c>
      <c r="X134" s="1">
        <v>76.459176895649847</v>
      </c>
      <c r="Y134" s="1">
        <v>76.493048315675509</v>
      </c>
      <c r="Z134" s="1">
        <v>76.583092947753443</v>
      </c>
      <c r="AA134" s="1">
        <v>76.670263156418855</v>
      </c>
      <c r="AB134" s="1">
        <v>76.620433192075623</v>
      </c>
      <c r="AC134" s="1">
        <v>76.302733312507911</v>
      </c>
      <c r="AD134" s="1">
        <v>75.857230231758365</v>
      </c>
      <c r="AE134" s="1">
        <v>75.299883282322625</v>
      </c>
      <c r="AF134" s="1">
        <v>74.573551218315771</v>
      </c>
      <c r="AG134" s="1">
        <v>73.697205292496776</v>
      </c>
      <c r="AH134" s="1">
        <v>72.626366021038336</v>
      </c>
      <c r="AI134" s="1">
        <v>71.224939050978634</v>
      </c>
      <c r="AJ134" s="1">
        <v>70.00616343263296</v>
      </c>
      <c r="AK134" s="1">
        <v>68.646525545128839</v>
      </c>
      <c r="AL134" s="1">
        <v>67.337240936490986</v>
      </c>
      <c r="AM134" s="1">
        <v>65.928095509596901</v>
      </c>
      <c r="AN134" s="1">
        <v>64.507107554498475</v>
      </c>
    </row>
    <row r="135" spans="1:40" x14ac:dyDescent="0.25">
      <c r="A135" t="s">
        <v>26</v>
      </c>
      <c r="B135" t="s">
        <v>22</v>
      </c>
      <c r="C135" t="s">
        <v>16</v>
      </c>
      <c r="D135" t="s">
        <v>1</v>
      </c>
      <c r="E135" s="1">
        <v>9.5385034690820714</v>
      </c>
      <c r="F135" s="1">
        <v>9.9661643215575797</v>
      </c>
      <c r="G135" s="1">
        <v>11.454637531318259</v>
      </c>
      <c r="H135" s="1">
        <v>15.704716024713884</v>
      </c>
      <c r="I135" s="1">
        <v>16.826448167450707</v>
      </c>
      <c r="J135" s="1">
        <v>17.35209181881353</v>
      </c>
      <c r="K135" s="1">
        <v>18.157997011188559</v>
      </c>
      <c r="L135" s="1">
        <v>20.910828283491242</v>
      </c>
      <c r="M135" s="1">
        <v>23.359025058656808</v>
      </c>
      <c r="N135" s="1">
        <v>25.214989442040775</v>
      </c>
      <c r="O135" s="1">
        <v>25.411411425224308</v>
      </c>
      <c r="P135" s="1">
        <v>25.806500958507968</v>
      </c>
      <c r="Q135" s="1">
        <v>26.364462730685286</v>
      </c>
      <c r="R135" s="1">
        <v>26.879321713732502</v>
      </c>
      <c r="S135" s="1">
        <v>27.218083538895375</v>
      </c>
      <c r="T135" s="1">
        <v>27.580928377520628</v>
      </c>
      <c r="U135" s="1">
        <v>27.955702577431136</v>
      </c>
      <c r="V135" s="1">
        <v>28.420899417772038</v>
      </c>
      <c r="W135" s="1">
        <v>28.921589086405714</v>
      </c>
      <c r="X135" s="1">
        <v>29.453946420571462</v>
      </c>
      <c r="Y135" s="1">
        <v>30.042706456944732</v>
      </c>
      <c r="Z135" s="1">
        <v>30.623346534178811</v>
      </c>
      <c r="AA135" s="1">
        <v>31.169790627932933</v>
      </c>
      <c r="AB135" s="1">
        <v>31.605430546470973</v>
      </c>
      <c r="AC135" s="1">
        <v>31.911400249672642</v>
      </c>
      <c r="AD135" s="1">
        <v>32.134375766533253</v>
      </c>
      <c r="AE135" s="1">
        <v>32.249421055872993</v>
      </c>
      <c r="AF135" s="1">
        <v>32.253663227430941</v>
      </c>
      <c r="AG135" s="1">
        <v>32.16943495151051</v>
      </c>
      <c r="AH135" s="1">
        <v>31.916596106380851</v>
      </c>
      <c r="AI135" s="1">
        <v>31.338229178405491</v>
      </c>
      <c r="AJ135" s="1">
        <v>30.917121568624037</v>
      </c>
      <c r="AK135" s="1">
        <v>30.458198839186224</v>
      </c>
      <c r="AL135" s="1">
        <v>30.003970524087528</v>
      </c>
      <c r="AM135" s="1">
        <v>29.453872998262057</v>
      </c>
      <c r="AN135" s="1">
        <v>28.900813665579111</v>
      </c>
    </row>
    <row r="136" spans="1:40" x14ac:dyDescent="0.25">
      <c r="A136" t="s">
        <v>26</v>
      </c>
      <c r="B136" t="s">
        <v>22</v>
      </c>
      <c r="C136" t="s">
        <v>16</v>
      </c>
      <c r="D136" t="s">
        <v>2</v>
      </c>
      <c r="E136" s="1">
        <v>57.10195563189766</v>
      </c>
      <c r="F136" s="1">
        <v>58.109644804647566</v>
      </c>
      <c r="G136" s="1">
        <v>56.539993919009085</v>
      </c>
      <c r="H136" s="1">
        <v>54.165096607133897</v>
      </c>
      <c r="I136" s="1">
        <v>50.636177106927789</v>
      </c>
      <c r="J136" s="1">
        <v>49.826752671620611</v>
      </c>
      <c r="K136" s="1">
        <v>49.812838004560298</v>
      </c>
      <c r="L136" s="1">
        <v>53.755157260830487</v>
      </c>
      <c r="M136" s="1">
        <v>53.655704920582046</v>
      </c>
      <c r="N136" s="1">
        <v>55.520476685493328</v>
      </c>
      <c r="O136" s="1">
        <v>55.232405532057669</v>
      </c>
      <c r="P136" s="1">
        <v>54.327704152574171</v>
      </c>
      <c r="Q136" s="1">
        <v>53.042244661253847</v>
      </c>
      <c r="R136" s="1">
        <v>51.856192658370361</v>
      </c>
      <c r="S136" s="1">
        <v>50.763988489029131</v>
      </c>
      <c r="T136" s="1">
        <v>49.806212703134655</v>
      </c>
      <c r="U136" s="1">
        <v>48.728144924530355</v>
      </c>
      <c r="V136" s="1">
        <v>47.818692570931823</v>
      </c>
      <c r="W136" s="1">
        <v>47.039519524680465</v>
      </c>
      <c r="X136" s="1">
        <v>46.374338850446918</v>
      </c>
      <c r="Y136" s="1">
        <v>45.813799592716087</v>
      </c>
      <c r="Z136" s="1">
        <v>45.321031531232954</v>
      </c>
      <c r="AA136" s="1">
        <v>44.866280487792835</v>
      </c>
      <c r="AB136" s="1">
        <v>44.390100774658194</v>
      </c>
      <c r="AC136" s="1">
        <v>43.777359042991606</v>
      </c>
      <c r="AD136" s="1">
        <v>43.121099106652167</v>
      </c>
      <c r="AE136" s="1">
        <v>42.460635472039741</v>
      </c>
      <c r="AF136" s="1">
        <v>41.743445007765871</v>
      </c>
      <c r="AG136" s="1">
        <v>40.967504885169838</v>
      </c>
      <c r="AH136" s="1">
        <v>40.166601082404895</v>
      </c>
      <c r="AI136" s="1">
        <v>39.360092957294448</v>
      </c>
      <c r="AJ136" s="1">
        <v>38.578450437552341</v>
      </c>
      <c r="AK136" s="1">
        <v>37.693252110618623</v>
      </c>
      <c r="AL136" s="1">
        <v>36.854669917040056</v>
      </c>
      <c r="AM136" s="1">
        <v>36.012725619525199</v>
      </c>
      <c r="AN136" s="1">
        <v>35.161272405249115</v>
      </c>
    </row>
    <row r="137" spans="1:40" x14ac:dyDescent="0.25">
      <c r="A137" t="s">
        <v>26</v>
      </c>
      <c r="B137" t="s">
        <v>22</v>
      </c>
      <c r="C137" t="s">
        <v>16</v>
      </c>
      <c r="D137" t="s">
        <v>3</v>
      </c>
      <c r="E137" s="1">
        <v>9.2594938219321313E-2</v>
      </c>
      <c r="F137" s="1">
        <v>9.8221293765502274E-2</v>
      </c>
      <c r="G137" s="1">
        <v>0.10386456852088388</v>
      </c>
      <c r="H137" s="1">
        <v>0.11823022869017348</v>
      </c>
      <c r="I137" s="1">
        <v>0.1712979077729733</v>
      </c>
      <c r="J137" s="1">
        <v>0.18020441126618261</v>
      </c>
      <c r="K137" s="1">
        <v>0.19300039599913024</v>
      </c>
      <c r="L137" s="1">
        <v>0.19300039599913024</v>
      </c>
      <c r="M137" s="1">
        <v>0.19300039599913024</v>
      </c>
      <c r="N137" s="1">
        <v>0.19300039599913027</v>
      </c>
      <c r="O137" s="1">
        <v>0.19300039599913027</v>
      </c>
      <c r="P137" s="1">
        <v>0.52501556245978909</v>
      </c>
      <c r="Q137" s="1">
        <v>0.52480007009493779</v>
      </c>
      <c r="R137" s="1">
        <v>0.52559319146215311</v>
      </c>
      <c r="S137" s="1">
        <v>0.53750212868747593</v>
      </c>
      <c r="T137" s="1">
        <v>0.57172325959415426</v>
      </c>
      <c r="U137" s="1">
        <v>0.59408721080067228</v>
      </c>
      <c r="V137" s="1">
        <v>0.61047636700118779</v>
      </c>
      <c r="W137" s="1">
        <v>0.62264548177012613</v>
      </c>
      <c r="X137" s="1">
        <v>0.63089162463146364</v>
      </c>
      <c r="Y137" s="1">
        <v>0.63654226601469077</v>
      </c>
      <c r="Z137" s="1">
        <v>0.63871488234167806</v>
      </c>
      <c r="AA137" s="1">
        <v>0.63419204069307866</v>
      </c>
      <c r="AB137" s="1">
        <v>0.62490187094645266</v>
      </c>
      <c r="AC137" s="1">
        <v>0.6139740198436614</v>
      </c>
      <c r="AD137" s="1">
        <v>0.60175535857293805</v>
      </c>
      <c r="AE137" s="1">
        <v>0.58982675440988308</v>
      </c>
      <c r="AF137" s="1">
        <v>0.57644298311896358</v>
      </c>
      <c r="AG137" s="1">
        <v>0.5602654558164385</v>
      </c>
      <c r="AH137" s="1">
        <v>0.54316883225258361</v>
      </c>
      <c r="AI137" s="1">
        <v>0.52661691527868959</v>
      </c>
      <c r="AJ137" s="1">
        <v>0.51059142645658129</v>
      </c>
      <c r="AK137" s="1">
        <v>0.49507459532398479</v>
      </c>
      <c r="AL137" s="1">
        <v>0.47860049536339294</v>
      </c>
      <c r="AM137" s="1">
        <v>0.4614968918096391</v>
      </c>
      <c r="AN137" s="1">
        <v>0.4450214836702413</v>
      </c>
    </row>
    <row r="138" spans="1:40" x14ac:dyDescent="0.25">
      <c r="A138" t="s">
        <v>28</v>
      </c>
      <c r="B138" t="s">
        <v>22</v>
      </c>
      <c r="C138" t="s">
        <v>0</v>
      </c>
      <c r="D138" t="s">
        <v>23</v>
      </c>
      <c r="E138" s="2">
        <v>412.32154414029498</v>
      </c>
      <c r="F138" s="2">
        <v>440.21519007120355</v>
      </c>
      <c r="G138" s="2">
        <v>457.95667866186193</v>
      </c>
      <c r="H138" s="2">
        <v>448.22719514065324</v>
      </c>
      <c r="I138" s="2">
        <v>454.58081198371809</v>
      </c>
      <c r="J138" s="2">
        <v>474.43830133392009</v>
      </c>
      <c r="K138" s="2">
        <v>500.17762886928222</v>
      </c>
      <c r="L138" s="2">
        <v>536.68146255684792</v>
      </c>
      <c r="M138" s="2">
        <v>576.71551782489382</v>
      </c>
      <c r="N138" s="1">
        <v>617.83834563279288</v>
      </c>
      <c r="O138" s="1">
        <v>649.72080091054841</v>
      </c>
      <c r="P138" s="1">
        <v>694.09791576230282</v>
      </c>
      <c r="Q138" s="1">
        <v>731.45477751253031</v>
      </c>
      <c r="R138" s="1">
        <v>758.76697192997324</v>
      </c>
      <c r="S138" s="1">
        <v>772.64968223993014</v>
      </c>
      <c r="T138" s="1">
        <v>776.36790227388656</v>
      </c>
      <c r="U138" s="1">
        <v>784.64061001346681</v>
      </c>
      <c r="V138" s="1">
        <v>801.71943473771091</v>
      </c>
      <c r="W138" s="1">
        <v>822.32897601007653</v>
      </c>
      <c r="X138" s="1">
        <v>843.1113262247535</v>
      </c>
      <c r="Y138" s="1">
        <v>871.94443111835994</v>
      </c>
      <c r="Z138" s="1">
        <v>882.14874397334984</v>
      </c>
      <c r="AA138" s="1">
        <v>892.57273345842759</v>
      </c>
      <c r="AB138" s="1">
        <v>903.82626841427941</v>
      </c>
      <c r="AC138" s="1">
        <v>913.64263246114888</v>
      </c>
      <c r="AD138" s="1">
        <v>922.45521197974836</v>
      </c>
      <c r="AE138" s="1">
        <v>930.19489699673886</v>
      </c>
      <c r="AF138" s="1">
        <v>936.67513347081001</v>
      </c>
      <c r="AG138" s="1">
        <v>941.8282414862166</v>
      </c>
      <c r="AH138" s="1">
        <v>947.53759624436464</v>
      </c>
      <c r="AI138" s="1">
        <v>951.80715721243541</v>
      </c>
      <c r="AJ138" s="1">
        <v>956.94482805904011</v>
      </c>
      <c r="AK138" s="1">
        <v>960.08541164021676</v>
      </c>
      <c r="AL138" s="1">
        <v>962.11024535421393</v>
      </c>
      <c r="AM138" s="1">
        <v>963.64830183944525</v>
      </c>
      <c r="AN138" s="1">
        <v>965.89605251562409</v>
      </c>
    </row>
    <row r="139" spans="1:40" x14ac:dyDescent="0.25">
      <c r="A139" t="s">
        <v>28</v>
      </c>
      <c r="B139" t="s">
        <v>22</v>
      </c>
      <c r="C139" t="s">
        <v>0</v>
      </c>
      <c r="D139" t="s">
        <v>1</v>
      </c>
      <c r="E139" s="2">
        <v>128.28831168826017</v>
      </c>
      <c r="F139" s="2">
        <v>126.34478897909185</v>
      </c>
      <c r="G139" s="2">
        <v>135.93874712035935</v>
      </c>
      <c r="H139" s="2">
        <v>135.62362013430291</v>
      </c>
      <c r="I139" s="2">
        <v>120.25932487977946</v>
      </c>
      <c r="J139" s="2">
        <v>122.30510334305794</v>
      </c>
      <c r="K139" s="2">
        <v>127.59119701118857</v>
      </c>
      <c r="L139" s="2">
        <v>131.12738866479708</v>
      </c>
      <c r="M139" s="2">
        <v>142.6632043022199</v>
      </c>
      <c r="N139" s="1">
        <v>141.65565775841318</v>
      </c>
      <c r="O139" s="1">
        <v>139.78991072572364</v>
      </c>
      <c r="P139" s="1">
        <v>144.63199443563724</v>
      </c>
      <c r="Q139" s="1">
        <v>142.13749220996743</v>
      </c>
      <c r="R139" s="1">
        <v>151.86725980242463</v>
      </c>
      <c r="S139" s="1">
        <v>152.58066001465306</v>
      </c>
      <c r="T139" s="1">
        <v>145.71406554768132</v>
      </c>
      <c r="U139" s="1">
        <v>144.48686558612775</v>
      </c>
      <c r="V139" s="1">
        <v>145.92067295014397</v>
      </c>
      <c r="W139" s="1">
        <v>141.22130835209643</v>
      </c>
      <c r="X139" s="1">
        <v>141.88585967617107</v>
      </c>
      <c r="Y139" s="1">
        <v>156.52383444462012</v>
      </c>
      <c r="Z139" s="1">
        <v>151.62538847920212</v>
      </c>
      <c r="AA139" s="1">
        <v>147.15496473032835</v>
      </c>
      <c r="AB139" s="1">
        <v>144.33590320822799</v>
      </c>
      <c r="AC139" s="1">
        <v>142.51534333564297</v>
      </c>
      <c r="AD139" s="1">
        <v>140.98056935424108</v>
      </c>
      <c r="AE139" s="1">
        <v>137.89458528654129</v>
      </c>
      <c r="AF139" s="1">
        <v>134.09664986506766</v>
      </c>
      <c r="AG139" s="1">
        <v>131.1733592552813</v>
      </c>
      <c r="AH139" s="1">
        <v>129.93063425639411</v>
      </c>
      <c r="AI139" s="1">
        <v>126.59898813234332</v>
      </c>
      <c r="AJ139" s="1">
        <v>124.24959967903705</v>
      </c>
      <c r="AK139" s="1">
        <v>121.86297733289717</v>
      </c>
      <c r="AL139" s="1">
        <v>119.10627581450359</v>
      </c>
      <c r="AM139" s="1">
        <v>116.31599144462902</v>
      </c>
      <c r="AN139" s="1">
        <v>114.45379182939327</v>
      </c>
    </row>
    <row r="140" spans="1:40" x14ac:dyDescent="0.25">
      <c r="A140" t="s">
        <v>28</v>
      </c>
      <c r="B140" t="s">
        <v>22</v>
      </c>
      <c r="C140" t="s">
        <v>0</v>
      </c>
      <c r="D140" t="s">
        <v>2</v>
      </c>
      <c r="E140" s="2">
        <v>88.501955631897658</v>
      </c>
      <c r="F140" s="2">
        <v>87.309644804647562</v>
      </c>
      <c r="G140" s="2">
        <v>84.839993919009089</v>
      </c>
      <c r="H140" s="2">
        <v>78.965096607133901</v>
      </c>
      <c r="I140" s="2">
        <v>73.336177106927792</v>
      </c>
      <c r="J140" s="2">
        <v>72.126752671620608</v>
      </c>
      <c r="K140" s="2">
        <v>72.012838004560294</v>
      </c>
      <c r="L140" s="2">
        <v>77.055157260830484</v>
      </c>
      <c r="M140" s="2">
        <v>77.95570492058205</v>
      </c>
      <c r="N140" s="1">
        <v>79.872764288036109</v>
      </c>
      <c r="O140" s="1">
        <v>78.98950531882798</v>
      </c>
      <c r="P140" s="1">
        <v>77.430024972501855</v>
      </c>
      <c r="Q140" s="1">
        <v>75.778154094307723</v>
      </c>
      <c r="R140" s="1">
        <v>74.241499345485636</v>
      </c>
      <c r="S140" s="1">
        <v>72.845370809960897</v>
      </c>
      <c r="T140" s="1">
        <v>71.609510295228148</v>
      </c>
      <c r="U140" s="1">
        <v>70.534706378417781</v>
      </c>
      <c r="V140" s="1">
        <v>69.673523969239</v>
      </c>
      <c r="W140" s="1">
        <v>68.980745470841484</v>
      </c>
      <c r="X140" s="1">
        <v>68.461920696270738</v>
      </c>
      <c r="Y140" s="1">
        <v>68.081302749634645</v>
      </c>
      <c r="Z140" s="1">
        <v>67.782224117965072</v>
      </c>
      <c r="AA140" s="1">
        <v>67.513095551443911</v>
      </c>
      <c r="AB140" s="1">
        <v>67.173977950524375</v>
      </c>
      <c r="AC140" s="1">
        <v>66.650099817062411</v>
      </c>
      <c r="AD140" s="1">
        <v>65.96477247748777</v>
      </c>
      <c r="AE140" s="1">
        <v>65.182865429422151</v>
      </c>
      <c r="AF140" s="1">
        <v>64.272991938998231</v>
      </c>
      <c r="AG140" s="1">
        <v>63.250723517534354</v>
      </c>
      <c r="AH140" s="1">
        <v>62.185728493532523</v>
      </c>
      <c r="AI140" s="1">
        <v>61.056788513933256</v>
      </c>
      <c r="AJ140" s="1">
        <v>59.989329753640689</v>
      </c>
      <c r="AK140" s="1">
        <v>58.793396199147885</v>
      </c>
      <c r="AL140" s="1">
        <v>57.65395573526289</v>
      </c>
      <c r="AM140" s="1">
        <v>56.4968027314723</v>
      </c>
      <c r="AN140" s="1">
        <v>55.317894944722227</v>
      </c>
    </row>
    <row r="141" spans="1:40" x14ac:dyDescent="0.25">
      <c r="A141" t="s">
        <v>28</v>
      </c>
      <c r="B141" t="s">
        <v>22</v>
      </c>
      <c r="C141" t="s">
        <v>0</v>
      </c>
      <c r="D141" t="s">
        <v>3</v>
      </c>
      <c r="E141" s="2">
        <v>24.138661203698771</v>
      </c>
      <c r="F141" s="2">
        <v>24.807371355957283</v>
      </c>
      <c r="G141" s="2">
        <v>24.533500362219502</v>
      </c>
      <c r="H141" s="2">
        <v>23.111416481408192</v>
      </c>
      <c r="I141" s="2">
        <v>21.391199312079344</v>
      </c>
      <c r="J141" s="2">
        <v>20.997480935679917</v>
      </c>
      <c r="K141" s="2">
        <v>20.557344812437488</v>
      </c>
      <c r="L141" s="2">
        <v>20.096138549028552</v>
      </c>
      <c r="M141" s="2">
        <v>21.143769971954924</v>
      </c>
      <c r="N141" s="1">
        <v>24.896597558946336</v>
      </c>
      <c r="O141" s="1">
        <v>25.456571147870115</v>
      </c>
      <c r="P141" s="1">
        <v>25.514197070746533</v>
      </c>
      <c r="Q141" s="1">
        <v>25.88043093990628</v>
      </c>
      <c r="R141" s="1">
        <v>26.244943067745446</v>
      </c>
      <c r="S141" s="1">
        <v>26.983811518165339</v>
      </c>
      <c r="T141" s="1">
        <v>28.032281872409353</v>
      </c>
      <c r="U141" s="1">
        <v>29.076625799545223</v>
      </c>
      <c r="V141" s="1">
        <v>29.960543047018369</v>
      </c>
      <c r="W141" s="1">
        <v>30.497219529937354</v>
      </c>
      <c r="X141" s="1">
        <v>30.76105676047677</v>
      </c>
      <c r="Y141" s="1">
        <v>31.021387149198738</v>
      </c>
      <c r="Z141" s="1">
        <v>31.277718481590533</v>
      </c>
      <c r="AA141" s="1">
        <v>31.523430650866075</v>
      </c>
      <c r="AB141" s="1">
        <v>31.766404736598975</v>
      </c>
      <c r="AC141" s="1">
        <v>31.99512394180697</v>
      </c>
      <c r="AD141" s="1">
        <v>32.262465379820533</v>
      </c>
      <c r="AE141" s="1">
        <v>32.531313633428802</v>
      </c>
      <c r="AF141" s="1">
        <v>32.765586867083876</v>
      </c>
      <c r="AG141" s="1">
        <v>32.931204873621013</v>
      </c>
      <c r="AH141" s="1">
        <v>32.963424856860968</v>
      </c>
      <c r="AI141" s="1">
        <v>32.949628646754107</v>
      </c>
      <c r="AJ141" s="1">
        <v>32.945968724568822</v>
      </c>
      <c r="AK141" s="1">
        <v>32.947549520539781</v>
      </c>
      <c r="AL141" s="1">
        <v>32.935316270436672</v>
      </c>
      <c r="AM141" s="1">
        <v>32.918348704978897</v>
      </c>
      <c r="AN141" s="1">
        <v>32.908133026392214</v>
      </c>
    </row>
    <row r="142" spans="1:40" x14ac:dyDescent="0.25">
      <c r="A142" t="s">
        <v>28</v>
      </c>
      <c r="B142" t="s">
        <v>22</v>
      </c>
      <c r="C142" t="s">
        <v>0</v>
      </c>
      <c r="D142" t="s">
        <v>4</v>
      </c>
      <c r="E142" s="2">
        <v>2.0926156164383563</v>
      </c>
      <c r="F142" s="2">
        <v>2.3533849315068487</v>
      </c>
      <c r="G142" s="2">
        <v>2.7444372602739726</v>
      </c>
      <c r="H142" s="2">
        <v>3.1270619178082191</v>
      </c>
      <c r="I142" s="2">
        <v>2.894110684931507</v>
      </c>
      <c r="J142" s="2">
        <v>2.7089643835616446</v>
      </c>
      <c r="K142" s="2">
        <v>2.8162490410958907</v>
      </c>
      <c r="L142" s="2">
        <v>2.9027780821917806</v>
      </c>
      <c r="M142" s="2">
        <v>3.5528386301369865</v>
      </c>
      <c r="N142" s="1">
        <v>5.2133260273972599</v>
      </c>
      <c r="O142" s="1">
        <v>5.6635654476805035</v>
      </c>
      <c r="P142" s="1">
        <v>5.6436872232848465</v>
      </c>
      <c r="Q142" s="1">
        <v>5.6257511624015439</v>
      </c>
      <c r="R142" s="1">
        <v>5.6132599449912597</v>
      </c>
      <c r="S142" s="1">
        <v>5.5273573647983856</v>
      </c>
      <c r="T142" s="1">
        <v>5.4384441297163022</v>
      </c>
      <c r="U142" s="1">
        <v>5.4430360141226508</v>
      </c>
      <c r="V142" s="1">
        <v>5.5404687263155079</v>
      </c>
      <c r="W142" s="1">
        <v>5.643740306788116</v>
      </c>
      <c r="X142" s="1">
        <v>5.744029268889598</v>
      </c>
      <c r="Y142" s="1">
        <v>5.8694781313914062</v>
      </c>
      <c r="Z142" s="1">
        <v>5.9959124138235849</v>
      </c>
      <c r="AA142" s="1">
        <v>6.1218494456415442</v>
      </c>
      <c r="AB142" s="1">
        <v>6.2363562388252376</v>
      </c>
      <c r="AC142" s="1">
        <v>6.3264529042665441</v>
      </c>
      <c r="AD142" s="1">
        <v>6.3917476618366242</v>
      </c>
      <c r="AE142" s="1">
        <v>6.4331866865192611</v>
      </c>
      <c r="AF142" s="1">
        <v>6.4496810568037723</v>
      </c>
      <c r="AG142" s="1">
        <v>6.4395124533276178</v>
      </c>
      <c r="AH142" s="1">
        <v>6.4201773480965683</v>
      </c>
      <c r="AI142" s="1">
        <v>6.3739766845557835</v>
      </c>
      <c r="AJ142" s="1">
        <v>6.3265216503753141</v>
      </c>
      <c r="AK142" s="1">
        <v>6.2732923244956602</v>
      </c>
      <c r="AL142" s="1">
        <v>6.2189509254925524</v>
      </c>
      <c r="AM142" s="1">
        <v>6.1529905286416078</v>
      </c>
      <c r="AN142" s="1">
        <v>6.078537227929897</v>
      </c>
    </row>
    <row r="143" spans="1:40" x14ac:dyDescent="0.25">
      <c r="A143" t="s">
        <v>28</v>
      </c>
      <c r="B143" t="s">
        <v>22</v>
      </c>
      <c r="C143" t="s">
        <v>0</v>
      </c>
      <c r="D143" t="s">
        <v>5</v>
      </c>
      <c r="E143" s="2">
        <v>99.6</v>
      </c>
      <c r="F143" s="2">
        <v>120.9</v>
      </c>
      <c r="G143" s="2">
        <v>124.7</v>
      </c>
      <c r="H143" s="2">
        <v>114.7</v>
      </c>
      <c r="I143" s="2">
        <v>131.19999999999999</v>
      </c>
      <c r="J143" s="2">
        <v>136.19999999999999</v>
      </c>
      <c r="K143" s="2">
        <v>141.80000000000001</v>
      </c>
      <c r="L143" s="2">
        <v>147.80000000000001</v>
      </c>
      <c r="M143" s="2">
        <v>155.19999999999999</v>
      </c>
      <c r="N143" s="1">
        <v>165</v>
      </c>
      <c r="O143" s="1">
        <v>179.82124827044612</v>
      </c>
      <c r="P143" s="1">
        <v>200.07385662465876</v>
      </c>
      <c r="Q143" s="1">
        <v>216.87670618151901</v>
      </c>
      <c r="R143" s="1">
        <v>225.30758012041434</v>
      </c>
      <c r="S143" s="1">
        <v>232.51561272951648</v>
      </c>
      <c r="T143" s="1">
        <v>234.45785497924538</v>
      </c>
      <c r="U143" s="1">
        <v>234.5770539620807</v>
      </c>
      <c r="V143" s="1">
        <v>236.86567443251937</v>
      </c>
      <c r="W143" s="1">
        <v>242.3600463707416</v>
      </c>
      <c r="X143" s="1">
        <v>246.2241969260686</v>
      </c>
      <c r="Y143" s="1">
        <v>247.45475113122171</v>
      </c>
      <c r="Z143" s="1">
        <v>248.1699450282338</v>
      </c>
      <c r="AA143" s="1">
        <v>249.65923114318838</v>
      </c>
      <c r="AB143" s="1">
        <v>251.34204031262854</v>
      </c>
      <c r="AC143" s="1">
        <v>251.67860214651662</v>
      </c>
      <c r="AD143" s="1">
        <v>251.67860214651662</v>
      </c>
      <c r="AE143" s="1">
        <v>253.02484948206876</v>
      </c>
      <c r="AF143" s="1">
        <v>254.70765865150895</v>
      </c>
      <c r="AG143" s="1">
        <v>255.04422048539695</v>
      </c>
      <c r="AH143" s="1">
        <v>255.04422048539695</v>
      </c>
      <c r="AI143" s="1">
        <v>256.39046782094914</v>
      </c>
      <c r="AJ143" s="1">
        <v>258.07327699038933</v>
      </c>
      <c r="AK143" s="1">
        <v>258.40983882427736</v>
      </c>
      <c r="AL143" s="1">
        <v>258.40983882427736</v>
      </c>
      <c r="AM143" s="1">
        <v>258.40983882427736</v>
      </c>
      <c r="AN143" s="1">
        <v>258.40983882427736</v>
      </c>
    </row>
    <row r="144" spans="1:40" x14ac:dyDescent="0.25">
      <c r="A144" t="s">
        <v>28</v>
      </c>
      <c r="B144" t="s">
        <v>22</v>
      </c>
      <c r="C144" t="s">
        <v>0</v>
      </c>
      <c r="D144" t="s">
        <v>6</v>
      </c>
      <c r="E144" s="2">
        <v>69.7</v>
      </c>
      <c r="F144" s="2">
        <v>78.5</v>
      </c>
      <c r="G144" s="2">
        <v>85.2</v>
      </c>
      <c r="H144" s="2">
        <v>92.7</v>
      </c>
      <c r="I144" s="2">
        <v>105.5</v>
      </c>
      <c r="J144" s="2">
        <v>120.1</v>
      </c>
      <c r="K144" s="2">
        <v>135.4</v>
      </c>
      <c r="L144" s="2">
        <v>157.69999999999999</v>
      </c>
      <c r="M144" s="2">
        <v>176.2</v>
      </c>
      <c r="N144" s="1">
        <v>201.2</v>
      </c>
      <c r="O144" s="1">
        <v>220</v>
      </c>
      <c r="P144" s="1">
        <v>240.8041554354736</v>
      </c>
      <c r="Q144" s="1">
        <v>265.15624292442828</v>
      </c>
      <c r="R144" s="1">
        <v>275.49242964891192</v>
      </c>
      <c r="S144" s="1">
        <v>282.19686980283592</v>
      </c>
      <c r="T144" s="1">
        <v>291.11574544960598</v>
      </c>
      <c r="U144" s="1">
        <v>300.52232227317268</v>
      </c>
      <c r="V144" s="1">
        <v>313.75855161247466</v>
      </c>
      <c r="W144" s="1">
        <v>333.62591597967156</v>
      </c>
      <c r="X144" s="1">
        <v>350.03426289687673</v>
      </c>
      <c r="Y144" s="1">
        <v>362.99367751229323</v>
      </c>
      <c r="Z144" s="1">
        <v>377.29755545253482</v>
      </c>
      <c r="AA144" s="1">
        <v>390.60016193695941</v>
      </c>
      <c r="AB144" s="1">
        <v>402.97158596747437</v>
      </c>
      <c r="AC144" s="1">
        <v>414.47701031585331</v>
      </c>
      <c r="AD144" s="1">
        <v>425.17705495984569</v>
      </c>
      <c r="AE144" s="1">
        <v>435.12809647875855</v>
      </c>
      <c r="AF144" s="1">
        <v>444.38256509134749</v>
      </c>
      <c r="AG144" s="1">
        <v>452.98922090105532</v>
      </c>
      <c r="AH144" s="1">
        <v>460.99341080408351</v>
      </c>
      <c r="AI144" s="1">
        <v>468.43730741389976</v>
      </c>
      <c r="AJ144" s="1">
        <v>475.36013126102887</v>
      </c>
      <c r="AK144" s="1">
        <v>481.79835743885894</v>
      </c>
      <c r="AL144" s="1">
        <v>487.78590778424092</v>
      </c>
      <c r="AM144" s="1">
        <v>493.35432960544608</v>
      </c>
      <c r="AN144" s="1">
        <v>498.72785666290912</v>
      </c>
    </row>
    <row r="145" spans="1:40" x14ac:dyDescent="0.25">
      <c r="A145" t="s">
        <v>28</v>
      </c>
      <c r="B145" t="s">
        <v>22</v>
      </c>
      <c r="C145" t="s">
        <v>0</v>
      </c>
      <c r="D145" t="s">
        <v>7</v>
      </c>
      <c r="E145" s="2">
        <v>86.9</v>
      </c>
      <c r="F145" s="2">
        <v>104.6</v>
      </c>
      <c r="G145" s="2">
        <v>109.3</v>
      </c>
      <c r="H145" s="2">
        <v>103.9</v>
      </c>
      <c r="I145" s="2">
        <v>121.7</v>
      </c>
      <c r="J145" s="2">
        <v>126.3</v>
      </c>
      <c r="K145" s="2">
        <v>137.1</v>
      </c>
      <c r="L145" s="2">
        <v>145.19999999999999</v>
      </c>
      <c r="M145" s="2">
        <v>148.80000000000001</v>
      </c>
      <c r="N145" s="1">
        <v>151.69999999999999</v>
      </c>
      <c r="O145" s="1">
        <v>158.69999999999999</v>
      </c>
      <c r="P145" s="1">
        <v>161.87062937062939</v>
      </c>
      <c r="Q145" s="1">
        <v>167.94977749523204</v>
      </c>
      <c r="R145" s="1">
        <v>176.74666242848059</v>
      </c>
      <c r="S145" s="1">
        <v>183.58868404322951</v>
      </c>
      <c r="T145" s="1">
        <v>185.23958995549904</v>
      </c>
      <c r="U145" s="1">
        <v>185.34090909090909</v>
      </c>
      <c r="V145" s="1">
        <v>185.34090909090909</v>
      </c>
      <c r="W145" s="1">
        <v>186.48521932612843</v>
      </c>
      <c r="X145" s="1">
        <v>187.9156071201526</v>
      </c>
      <c r="Y145" s="1">
        <v>188.20168467895741</v>
      </c>
      <c r="Z145" s="1">
        <v>188.20168467895741</v>
      </c>
      <c r="AA145" s="1">
        <v>189.34599491417674</v>
      </c>
      <c r="AB145" s="1">
        <v>190.77638270820088</v>
      </c>
      <c r="AC145" s="1">
        <v>191.06246026700572</v>
      </c>
      <c r="AD145" s="1">
        <v>191.06246026700572</v>
      </c>
      <c r="AE145" s="1">
        <v>192.20677050222505</v>
      </c>
      <c r="AF145" s="1">
        <v>193.63715829624923</v>
      </c>
      <c r="AG145" s="1">
        <v>193.92323585505406</v>
      </c>
      <c r="AH145" s="1">
        <v>193.92323585505406</v>
      </c>
      <c r="AI145" s="1">
        <v>195.06754609027337</v>
      </c>
      <c r="AJ145" s="1">
        <v>196.49793388429754</v>
      </c>
      <c r="AK145" s="1">
        <v>196.78401144310234</v>
      </c>
      <c r="AL145" s="1">
        <v>196.78401144310234</v>
      </c>
      <c r="AM145" s="1">
        <v>196.78401144310234</v>
      </c>
      <c r="AN145" s="1">
        <v>196.78401144310234</v>
      </c>
    </row>
    <row r="146" spans="1:40" x14ac:dyDescent="0.25">
      <c r="A146" t="s">
        <v>28</v>
      </c>
      <c r="B146" t="s">
        <v>22</v>
      </c>
      <c r="C146" t="s">
        <v>8</v>
      </c>
      <c r="D146" t="s">
        <v>23</v>
      </c>
      <c r="E146" s="2">
        <v>282.20860407369861</v>
      </c>
      <c r="F146" s="2">
        <v>308.90460787041098</v>
      </c>
      <c r="G146" s="2">
        <v>316.64411771150685</v>
      </c>
      <c r="H146" s="2">
        <v>309.78232814821916</v>
      </c>
      <c r="I146" s="2">
        <v>331.01528414403236</v>
      </c>
      <c r="J146" s="2">
        <v>349.55594720934528</v>
      </c>
      <c r="K146" s="2">
        <v>374.75838962191779</v>
      </c>
      <c r="L146" s="2">
        <v>413.09346524712328</v>
      </c>
      <c r="M146" s="2">
        <v>444.75393532938045</v>
      </c>
      <c r="N146" s="1">
        <v>485.01773166914631</v>
      </c>
      <c r="O146" s="1">
        <v>517.86990318394442</v>
      </c>
      <c r="P146" s="1">
        <v>555.82972786671962</v>
      </c>
      <c r="Q146" s="1">
        <v>595.17733649298907</v>
      </c>
      <c r="R146" s="1">
        <v>612.39454503854176</v>
      </c>
      <c r="S146" s="1">
        <v>625.37162563072002</v>
      </c>
      <c r="T146" s="1">
        <v>635.73259711654487</v>
      </c>
      <c r="U146" s="1">
        <v>645.02113851848003</v>
      </c>
      <c r="V146" s="1">
        <v>660.62475822842362</v>
      </c>
      <c r="W146" s="1">
        <v>686.32232091522087</v>
      </c>
      <c r="X146" s="1">
        <v>707.15277118158838</v>
      </c>
      <c r="Y146" s="1">
        <v>722.14013377771266</v>
      </c>
      <c r="Z146" s="1">
        <v>738.1122206540872</v>
      </c>
      <c r="AA146" s="1">
        <v>753.89043308845748</v>
      </c>
      <c r="AB146" s="1">
        <v>768.81653496779586</v>
      </c>
      <c r="AC146" s="1">
        <v>781.28551364291957</v>
      </c>
      <c r="AD146" s="1">
        <v>792.39486852906543</v>
      </c>
      <c r="AE146" s="1">
        <v>803.85870542200678</v>
      </c>
      <c r="AF146" s="1">
        <v>814.6769828368034</v>
      </c>
      <c r="AG146" s="1">
        <v>823.13772294419948</v>
      </c>
      <c r="AH146" s="1">
        <v>830.46452776636909</v>
      </c>
      <c r="AI146" s="1">
        <v>838.26795742392164</v>
      </c>
      <c r="AJ146" s="1">
        <v>845.96471988796714</v>
      </c>
      <c r="AK146" s="1">
        <v>851.77235838910588</v>
      </c>
      <c r="AL146" s="1">
        <v>856.79224648205741</v>
      </c>
      <c r="AM146" s="1">
        <v>861.25043110757883</v>
      </c>
      <c r="AN146" s="1">
        <v>865.43437754427214</v>
      </c>
    </row>
    <row r="147" spans="1:40" x14ac:dyDescent="0.25">
      <c r="A147" t="s">
        <v>28</v>
      </c>
      <c r="B147" t="s">
        <v>22</v>
      </c>
      <c r="C147" t="s">
        <v>8</v>
      </c>
      <c r="D147" t="s">
        <v>1</v>
      </c>
      <c r="E147" s="2">
        <v>59.4</v>
      </c>
      <c r="F147" s="2">
        <v>57.2</v>
      </c>
      <c r="G147" s="2">
        <v>55.1</v>
      </c>
      <c r="H147" s="2">
        <v>55.1</v>
      </c>
      <c r="I147" s="2">
        <v>50.6</v>
      </c>
      <c r="J147" s="2">
        <v>50.7</v>
      </c>
      <c r="K147" s="2">
        <v>55.7</v>
      </c>
      <c r="L147" s="2">
        <v>65</v>
      </c>
      <c r="M147" s="2">
        <v>68.3</v>
      </c>
      <c r="N147" s="1">
        <v>69.48072267379213</v>
      </c>
      <c r="O147" s="1">
        <v>68.67669172254088</v>
      </c>
      <c r="P147" s="1">
        <v>66.808467376875811</v>
      </c>
      <c r="Q147" s="1">
        <v>65.588578333941413</v>
      </c>
      <c r="R147" s="1">
        <v>64.552873594348839</v>
      </c>
      <c r="S147" s="1">
        <v>63.870452266798274</v>
      </c>
      <c r="T147" s="1">
        <v>63.509300934898988</v>
      </c>
      <c r="U147" s="1">
        <v>63.376502839849209</v>
      </c>
      <c r="V147" s="1">
        <v>63.501849967079615</v>
      </c>
      <c r="W147" s="1">
        <v>63.891618257824796</v>
      </c>
      <c r="X147" s="1">
        <v>64.484367815491112</v>
      </c>
      <c r="Y147" s="1">
        <v>65.261382888389306</v>
      </c>
      <c r="Z147" s="1">
        <v>66.140495801419505</v>
      </c>
      <c r="AA147" s="1">
        <v>67.027017508491753</v>
      </c>
      <c r="AB147" s="1">
        <v>67.803176925774252</v>
      </c>
      <c r="AC147" s="1">
        <v>68.38385499856264</v>
      </c>
      <c r="AD147" s="1">
        <v>68.753461018030876</v>
      </c>
      <c r="AE147" s="1">
        <v>68.917877163827939</v>
      </c>
      <c r="AF147" s="1">
        <v>68.862684916953384</v>
      </c>
      <c r="AG147" s="1">
        <v>68.563009559308057</v>
      </c>
      <c r="AH147" s="1">
        <v>68.195810561883334</v>
      </c>
      <c r="AI147" s="1">
        <v>67.606943729126826</v>
      </c>
      <c r="AJ147" s="1">
        <v>67.048857696838596</v>
      </c>
      <c r="AK147" s="1">
        <v>66.433690122998215</v>
      </c>
      <c r="AL147" s="1">
        <v>65.813937634950733</v>
      </c>
      <c r="AM147" s="1">
        <v>65.064361683296781</v>
      </c>
      <c r="AN147" s="1">
        <v>64.242349089575171</v>
      </c>
    </row>
    <row r="148" spans="1:40" x14ac:dyDescent="0.25">
      <c r="A148" t="s">
        <v>28</v>
      </c>
      <c r="B148" t="s">
        <v>22</v>
      </c>
      <c r="C148" t="s">
        <v>8</v>
      </c>
      <c r="D148" t="s">
        <v>2</v>
      </c>
      <c r="E148" s="2">
        <v>31.4</v>
      </c>
      <c r="F148" s="2">
        <v>29.2</v>
      </c>
      <c r="G148" s="2">
        <v>28.3</v>
      </c>
      <c r="H148" s="2">
        <v>24.8</v>
      </c>
      <c r="I148" s="2">
        <v>22.7</v>
      </c>
      <c r="J148" s="2">
        <v>22.3</v>
      </c>
      <c r="K148" s="2">
        <v>22.2</v>
      </c>
      <c r="L148" s="2">
        <v>23.3</v>
      </c>
      <c r="M148" s="2">
        <v>24.3</v>
      </c>
      <c r="N148" s="1">
        <v>24.352287602542773</v>
      </c>
      <c r="O148" s="1">
        <v>23.813335058866937</v>
      </c>
      <c r="P148" s="1">
        <v>23.121438349198986</v>
      </c>
      <c r="Q148" s="1">
        <v>22.454318836614689</v>
      </c>
      <c r="R148" s="1">
        <v>21.854167613319532</v>
      </c>
      <c r="S148" s="1">
        <v>21.343258214925324</v>
      </c>
      <c r="T148" s="1">
        <v>20.902155428804768</v>
      </c>
      <c r="U148" s="1">
        <v>20.531502672776021</v>
      </c>
      <c r="V148" s="1">
        <v>20.232027795239564</v>
      </c>
      <c r="W148" s="1">
        <v>19.997525778459909</v>
      </c>
      <c r="X148" s="1">
        <v>19.822325072716875</v>
      </c>
      <c r="Y148" s="1">
        <v>19.703620135464213</v>
      </c>
      <c r="Z148" s="1">
        <v>19.625594062689</v>
      </c>
      <c r="AA148" s="1">
        <v>19.568834258531641</v>
      </c>
      <c r="AB148" s="1">
        <v>19.504191216279718</v>
      </c>
      <c r="AC148" s="1">
        <v>19.407158766100626</v>
      </c>
      <c r="AD148" s="1">
        <v>19.271500873603074</v>
      </c>
      <c r="AE148" s="1">
        <v>19.097539740670033</v>
      </c>
      <c r="AF148" s="1">
        <v>18.881112755331287</v>
      </c>
      <c r="AG148" s="1">
        <v>18.615659928516639</v>
      </c>
      <c r="AH148" s="1">
        <v>18.3354345323521</v>
      </c>
      <c r="AI148" s="1">
        <v>17.994367132871563</v>
      </c>
      <c r="AJ148" s="1">
        <v>17.688306563946735</v>
      </c>
      <c r="AK148" s="1">
        <v>17.376054879561785</v>
      </c>
      <c r="AL148" s="1">
        <v>17.074114076824266</v>
      </c>
      <c r="AM148" s="1">
        <v>16.761692790269414</v>
      </c>
      <c r="AN148" s="1">
        <v>16.442081292185076</v>
      </c>
    </row>
    <row r="149" spans="1:40" x14ac:dyDescent="0.25">
      <c r="A149" t="s">
        <v>28</v>
      </c>
      <c r="B149" t="s">
        <v>22</v>
      </c>
      <c r="C149" t="s">
        <v>8</v>
      </c>
      <c r="D149" t="s">
        <v>3</v>
      </c>
      <c r="E149" s="2">
        <v>20.565848731232876</v>
      </c>
      <c r="F149" s="2">
        <v>21.351348966301373</v>
      </c>
      <c r="G149" s="2">
        <v>21.25555168410958</v>
      </c>
      <c r="H149" s="2">
        <v>20.072068970136986</v>
      </c>
      <c r="I149" s="2">
        <v>18.837373459100888</v>
      </c>
      <c r="J149" s="2">
        <v>18.333695154550721</v>
      </c>
      <c r="K149" s="2">
        <v>17.721337841095892</v>
      </c>
      <c r="L149" s="2">
        <v>17.291944699178085</v>
      </c>
      <c r="M149" s="2">
        <v>18.159458343079081</v>
      </c>
      <c r="N149" s="1">
        <v>21.232762368426656</v>
      </c>
      <c r="O149" s="1">
        <v>21.850086779073337</v>
      </c>
      <c r="P149" s="1">
        <v>21.414152842161126</v>
      </c>
      <c r="Q149" s="1">
        <v>21.559706986452895</v>
      </c>
      <c r="R149" s="1">
        <v>21.701638887452365</v>
      </c>
      <c r="S149" s="1">
        <v>21.996428194236895</v>
      </c>
      <c r="T149" s="1">
        <v>22.31803807350515</v>
      </c>
      <c r="U149" s="1">
        <v>22.591425617249552</v>
      </c>
      <c r="V149" s="1">
        <v>22.837554522888077</v>
      </c>
      <c r="W149" s="1">
        <v>22.997067142600454</v>
      </c>
      <c r="X149" s="1">
        <v>23.105462608398586</v>
      </c>
      <c r="Y149" s="1">
        <v>23.202587434371193</v>
      </c>
      <c r="Z149" s="1">
        <v>23.307043535933428</v>
      </c>
      <c r="AA149" s="1">
        <v>23.415729295827827</v>
      </c>
      <c r="AB149" s="1">
        <v>23.534168991647086</v>
      </c>
      <c r="AC149" s="1">
        <v>23.646159245964025</v>
      </c>
      <c r="AD149" s="1">
        <v>23.80156263609555</v>
      </c>
      <c r="AE149" s="1">
        <v>23.968777189834888</v>
      </c>
      <c r="AF149" s="1">
        <v>24.124376436146843</v>
      </c>
      <c r="AG149" s="1">
        <v>24.223209553719897</v>
      </c>
      <c r="AH149" s="1">
        <v>24.213077612311519</v>
      </c>
      <c r="AI149" s="1">
        <v>24.18809636570154</v>
      </c>
      <c r="AJ149" s="1">
        <v>24.173509060134311</v>
      </c>
      <c r="AK149" s="1">
        <v>24.166997856767676</v>
      </c>
      <c r="AL149" s="1">
        <v>24.154495529476826</v>
      </c>
      <c r="AM149" s="1">
        <v>24.146732673391224</v>
      </c>
      <c r="AN149" s="1">
        <v>24.143164824488309</v>
      </c>
    </row>
    <row r="150" spans="1:40" x14ac:dyDescent="0.25">
      <c r="A150" t="s">
        <v>28</v>
      </c>
      <c r="B150" t="s">
        <v>22</v>
      </c>
      <c r="C150" t="s">
        <v>8</v>
      </c>
      <c r="D150" t="s">
        <v>4</v>
      </c>
      <c r="E150" s="2">
        <v>1.5427553424657536</v>
      </c>
      <c r="F150" s="2">
        <v>1.7532589041095885</v>
      </c>
      <c r="G150" s="2">
        <v>2.0885660273972602</v>
      </c>
      <c r="H150" s="2">
        <v>2.4102591780821916</v>
      </c>
      <c r="I150" s="2">
        <v>2.1779106849315073</v>
      </c>
      <c r="J150" s="2">
        <v>1.922252054794521</v>
      </c>
      <c r="K150" s="2">
        <v>1.9370517808219181</v>
      </c>
      <c r="L150" s="2">
        <v>2.0015205479452054</v>
      </c>
      <c r="M150" s="2">
        <v>2.5944769863013697</v>
      </c>
      <c r="N150" s="1">
        <v>3.7833260273972598</v>
      </c>
      <c r="O150" s="1">
        <v>3.7085413530172073</v>
      </c>
      <c r="P150" s="1">
        <v>3.6076572383512939</v>
      </c>
      <c r="Q150" s="1">
        <v>3.5417832300328365</v>
      </c>
      <c r="R150" s="1">
        <v>3.4858551740948371</v>
      </c>
      <c r="S150" s="1">
        <v>3.4490044224071066</v>
      </c>
      <c r="T150" s="1">
        <v>3.4295022504845454</v>
      </c>
      <c r="U150" s="1">
        <v>3.4223311533518572</v>
      </c>
      <c r="V150" s="1">
        <v>3.4290998982222991</v>
      </c>
      <c r="W150" s="1">
        <v>3.4501473859225391</v>
      </c>
      <c r="X150" s="1">
        <v>3.4821558620365201</v>
      </c>
      <c r="Y150" s="1">
        <v>3.5241146759730224</v>
      </c>
      <c r="Z150" s="1">
        <v>3.5715867732766533</v>
      </c>
      <c r="AA150" s="1">
        <v>3.6194589454585544</v>
      </c>
      <c r="AB150" s="1">
        <v>3.6613715539918097</v>
      </c>
      <c r="AC150" s="1">
        <v>3.6927281699223826</v>
      </c>
      <c r="AD150" s="1">
        <v>3.7126868949736673</v>
      </c>
      <c r="AE150" s="1">
        <v>3.7215653668467086</v>
      </c>
      <c r="AF150" s="1">
        <v>3.7185849855154829</v>
      </c>
      <c r="AG150" s="1">
        <v>3.7024025162026351</v>
      </c>
      <c r="AH150" s="1">
        <v>3.6825737703416999</v>
      </c>
      <c r="AI150" s="1">
        <v>3.6507749613728486</v>
      </c>
      <c r="AJ150" s="1">
        <v>3.6206383156292841</v>
      </c>
      <c r="AK150" s="1">
        <v>3.5874192666419034</v>
      </c>
      <c r="AL150" s="1">
        <v>3.5539526322873396</v>
      </c>
      <c r="AM150" s="1">
        <v>3.5134755308980261</v>
      </c>
      <c r="AN150" s="1">
        <v>3.4690868508370594</v>
      </c>
    </row>
    <row r="151" spans="1:40" x14ac:dyDescent="0.25">
      <c r="A151" t="s">
        <v>28</v>
      </c>
      <c r="B151" t="s">
        <v>22</v>
      </c>
      <c r="C151" t="s">
        <v>8</v>
      </c>
      <c r="D151" t="s">
        <v>5</v>
      </c>
      <c r="E151" s="2">
        <v>99.6</v>
      </c>
      <c r="F151" s="2">
        <v>120.9</v>
      </c>
      <c r="G151" s="2">
        <v>124.7</v>
      </c>
      <c r="H151" s="2">
        <v>114.7</v>
      </c>
      <c r="I151" s="2">
        <v>131.19999999999999</v>
      </c>
      <c r="J151" s="2">
        <v>136.19999999999999</v>
      </c>
      <c r="K151" s="2">
        <v>141.80000000000001</v>
      </c>
      <c r="L151" s="2">
        <v>147.80000000000001</v>
      </c>
      <c r="M151" s="2">
        <v>155.19999999999999</v>
      </c>
      <c r="N151" s="1">
        <v>165</v>
      </c>
      <c r="O151" s="1">
        <v>179.82124827044612</v>
      </c>
      <c r="P151" s="1">
        <v>200.07385662465876</v>
      </c>
      <c r="Q151" s="1">
        <v>216.87670618151901</v>
      </c>
      <c r="R151" s="1">
        <v>225.30758012041434</v>
      </c>
      <c r="S151" s="1">
        <v>232.51561272951648</v>
      </c>
      <c r="T151" s="1">
        <v>234.45785497924538</v>
      </c>
      <c r="U151" s="1">
        <v>234.5770539620807</v>
      </c>
      <c r="V151" s="1">
        <v>236.86567443251937</v>
      </c>
      <c r="W151" s="1">
        <v>242.3600463707416</v>
      </c>
      <c r="X151" s="1">
        <v>246.2241969260686</v>
      </c>
      <c r="Y151" s="1">
        <v>247.45475113122171</v>
      </c>
      <c r="Z151" s="1">
        <v>248.1699450282338</v>
      </c>
      <c r="AA151" s="1">
        <v>249.65923114318838</v>
      </c>
      <c r="AB151" s="1">
        <v>251.34204031262854</v>
      </c>
      <c r="AC151" s="1">
        <v>251.67860214651662</v>
      </c>
      <c r="AD151" s="1">
        <v>251.67860214651662</v>
      </c>
      <c r="AE151" s="1">
        <v>253.02484948206876</v>
      </c>
      <c r="AF151" s="1">
        <v>254.70765865150895</v>
      </c>
      <c r="AG151" s="1">
        <v>255.04422048539695</v>
      </c>
      <c r="AH151" s="1">
        <v>255.04422048539695</v>
      </c>
      <c r="AI151" s="1">
        <v>256.39046782094914</v>
      </c>
      <c r="AJ151" s="1">
        <v>258.07327699038933</v>
      </c>
      <c r="AK151" s="1">
        <v>258.40983882427736</v>
      </c>
      <c r="AL151" s="1">
        <v>258.40983882427736</v>
      </c>
      <c r="AM151" s="1">
        <v>258.40983882427736</v>
      </c>
      <c r="AN151" s="1">
        <v>258.40983882427736</v>
      </c>
    </row>
    <row r="152" spans="1:40" x14ac:dyDescent="0.25">
      <c r="A152" t="s">
        <v>28</v>
      </c>
      <c r="B152" t="s">
        <v>22</v>
      </c>
      <c r="C152" t="s">
        <v>8</v>
      </c>
      <c r="D152" t="s">
        <v>6</v>
      </c>
      <c r="E152" s="2">
        <v>69.7</v>
      </c>
      <c r="F152" s="2">
        <v>78.5</v>
      </c>
      <c r="G152" s="2">
        <v>85.2</v>
      </c>
      <c r="H152" s="2">
        <v>92.7</v>
      </c>
      <c r="I152" s="2">
        <v>105.5</v>
      </c>
      <c r="J152" s="2">
        <v>120.1</v>
      </c>
      <c r="K152" s="2">
        <v>135.4</v>
      </c>
      <c r="L152" s="2">
        <v>157.69999999999999</v>
      </c>
      <c r="M152" s="2">
        <v>176.2</v>
      </c>
      <c r="N152" s="1">
        <v>201.2</v>
      </c>
      <c r="O152" s="1">
        <v>220</v>
      </c>
      <c r="P152" s="1">
        <v>240.8041554354736</v>
      </c>
      <c r="Q152" s="1">
        <v>265.15624292442828</v>
      </c>
      <c r="R152" s="1">
        <v>275.49242964891192</v>
      </c>
      <c r="S152" s="1">
        <v>282.19686980283592</v>
      </c>
      <c r="T152" s="1">
        <v>291.11574544960598</v>
      </c>
      <c r="U152" s="1">
        <v>300.52232227317268</v>
      </c>
      <c r="V152" s="1">
        <v>313.75855161247466</v>
      </c>
      <c r="W152" s="1">
        <v>333.62591597967156</v>
      </c>
      <c r="X152" s="1">
        <v>350.03426289687673</v>
      </c>
      <c r="Y152" s="1">
        <v>362.99367751229323</v>
      </c>
      <c r="Z152" s="1">
        <v>377.29755545253482</v>
      </c>
      <c r="AA152" s="1">
        <v>390.60016193695941</v>
      </c>
      <c r="AB152" s="1">
        <v>402.97158596747437</v>
      </c>
      <c r="AC152" s="1">
        <v>414.47701031585331</v>
      </c>
      <c r="AD152" s="1">
        <v>425.17705495984569</v>
      </c>
      <c r="AE152" s="1">
        <v>435.12809647875855</v>
      </c>
      <c r="AF152" s="1">
        <v>444.38256509134749</v>
      </c>
      <c r="AG152" s="1">
        <v>452.98922090105532</v>
      </c>
      <c r="AH152" s="1">
        <v>460.99341080408351</v>
      </c>
      <c r="AI152" s="1">
        <v>468.43730741389976</v>
      </c>
      <c r="AJ152" s="1">
        <v>475.36013126102887</v>
      </c>
      <c r="AK152" s="1">
        <v>481.79835743885894</v>
      </c>
      <c r="AL152" s="1">
        <v>487.78590778424092</v>
      </c>
      <c r="AM152" s="1">
        <v>493.35432960544608</v>
      </c>
      <c r="AN152" s="1">
        <v>498.72785666290912</v>
      </c>
    </row>
    <row r="153" spans="1:40" x14ac:dyDescent="0.25">
      <c r="A153" t="s">
        <v>28</v>
      </c>
      <c r="B153" t="s">
        <v>22</v>
      </c>
      <c r="C153" t="s">
        <v>8</v>
      </c>
      <c r="D153" t="s">
        <v>7</v>
      </c>
      <c r="E153" s="2">
        <v>86.9</v>
      </c>
      <c r="F153" s="2">
        <v>104.6</v>
      </c>
      <c r="G153" s="2">
        <v>109.3</v>
      </c>
      <c r="H153" s="2">
        <v>103.9</v>
      </c>
      <c r="I153" s="2">
        <v>121.7</v>
      </c>
      <c r="J153" s="2">
        <v>126.3</v>
      </c>
      <c r="K153" s="2">
        <v>137.1</v>
      </c>
      <c r="L153" s="2">
        <v>145.19999999999999</v>
      </c>
      <c r="M153" s="2">
        <v>148.80000000000001</v>
      </c>
      <c r="N153" s="1">
        <v>151.69999999999999</v>
      </c>
      <c r="O153" s="1">
        <v>158.69999999999999</v>
      </c>
      <c r="P153" s="1">
        <v>161.87062937062939</v>
      </c>
      <c r="Q153" s="1">
        <v>167.94977749523204</v>
      </c>
      <c r="R153" s="1">
        <v>176.74666242848059</v>
      </c>
      <c r="S153" s="1">
        <v>183.58868404322951</v>
      </c>
      <c r="T153" s="1">
        <v>185.23958995549904</v>
      </c>
      <c r="U153" s="1">
        <v>185.34090909090909</v>
      </c>
      <c r="V153" s="1">
        <v>185.34090909090909</v>
      </c>
      <c r="W153" s="1">
        <v>186.48521932612843</v>
      </c>
      <c r="X153" s="1">
        <v>187.9156071201526</v>
      </c>
      <c r="Y153" s="1">
        <v>188.20168467895741</v>
      </c>
      <c r="Z153" s="1">
        <v>188.20168467895741</v>
      </c>
      <c r="AA153" s="1">
        <v>189.34599491417674</v>
      </c>
      <c r="AB153" s="1">
        <v>190.77638270820088</v>
      </c>
      <c r="AC153" s="1">
        <v>191.06246026700572</v>
      </c>
      <c r="AD153" s="1">
        <v>191.06246026700572</v>
      </c>
      <c r="AE153" s="1">
        <v>192.20677050222505</v>
      </c>
      <c r="AF153" s="1">
        <v>193.63715829624923</v>
      </c>
      <c r="AG153" s="1">
        <v>193.92323585505406</v>
      </c>
      <c r="AH153" s="1">
        <v>193.92323585505406</v>
      </c>
      <c r="AI153" s="1">
        <v>195.06754609027337</v>
      </c>
      <c r="AJ153" s="1">
        <v>196.49793388429754</v>
      </c>
      <c r="AK153" s="1">
        <v>196.78401144310234</v>
      </c>
      <c r="AL153" s="1">
        <v>196.78401144310234</v>
      </c>
      <c r="AM153" s="1">
        <v>196.78401144310234</v>
      </c>
      <c r="AN153" s="1">
        <v>196.78401144310234</v>
      </c>
    </row>
    <row r="154" spans="1:40" x14ac:dyDescent="0.25">
      <c r="A154" t="s">
        <v>28</v>
      </c>
      <c r="B154" t="s">
        <v>22</v>
      </c>
      <c r="C154" t="s">
        <v>9</v>
      </c>
      <c r="D154" t="s">
        <v>23</v>
      </c>
      <c r="E154" s="1">
        <v>7.2869805479452054</v>
      </c>
      <c r="F154" s="1">
        <v>6.622195616438356</v>
      </c>
      <c r="G154" s="1">
        <v>6.1339942465753419</v>
      </c>
      <c r="H154" s="1">
        <v>5.5603625479452052</v>
      </c>
      <c r="I154" s="1">
        <v>5.4598043835616439</v>
      </c>
      <c r="J154" s="1">
        <v>5.553782739726028</v>
      </c>
      <c r="K154" s="1">
        <v>5.9021945205479458</v>
      </c>
      <c r="L154" s="1">
        <v>6.3079616438356165</v>
      </c>
      <c r="M154" s="1">
        <v>6.5653643835616444</v>
      </c>
      <c r="N154" s="1">
        <v>7.872738992871974</v>
      </c>
      <c r="O154" s="1">
        <v>8.8458196737738355</v>
      </c>
      <c r="P154" s="1">
        <v>9.2757314158902098</v>
      </c>
      <c r="Q154" s="1">
        <v>9.6622005328240768</v>
      </c>
      <c r="R154" s="1">
        <v>10.035893274147568</v>
      </c>
      <c r="S154" s="1">
        <v>10.341293788575047</v>
      </c>
      <c r="T154" s="1">
        <v>10.84583047664513</v>
      </c>
      <c r="U154" s="1">
        <v>11.64699202356835</v>
      </c>
      <c r="V154" s="1">
        <v>12.557532300863087</v>
      </c>
      <c r="W154" s="1">
        <v>13.185388162688422</v>
      </c>
      <c r="X154" s="1">
        <v>13.553411369627552</v>
      </c>
      <c r="Y154" s="1">
        <v>13.975159023628958</v>
      </c>
      <c r="Z154" s="1">
        <v>14.375366765837764</v>
      </c>
      <c r="AA154" s="1">
        <v>14.763966528046311</v>
      </c>
      <c r="AB154" s="1">
        <v>15.128268598789088</v>
      </c>
      <c r="AC154" s="1">
        <v>15.443042976307344</v>
      </c>
      <c r="AD154" s="1">
        <v>15.714022609569056</v>
      </c>
      <c r="AE154" s="1">
        <v>15.935475768295454</v>
      </c>
      <c r="AF154" s="1">
        <v>16.096039143922034</v>
      </c>
      <c r="AG154" s="1">
        <v>16.205697059151504</v>
      </c>
      <c r="AH154" s="1">
        <v>16.275214835766604</v>
      </c>
      <c r="AI154" s="1">
        <v>16.267853586876331</v>
      </c>
      <c r="AJ154" s="1">
        <v>16.250857139055707</v>
      </c>
      <c r="AK154" s="1">
        <v>16.221307404238704</v>
      </c>
      <c r="AL154" s="1">
        <v>16.182246462356556</v>
      </c>
      <c r="AM154" s="1">
        <v>16.120133715273159</v>
      </c>
      <c r="AN154" s="1">
        <v>16.046125060618774</v>
      </c>
    </row>
    <row r="155" spans="1:40" x14ac:dyDescent="0.25">
      <c r="A155" t="s">
        <v>28</v>
      </c>
      <c r="B155" t="s">
        <v>22</v>
      </c>
      <c r="C155" t="s">
        <v>9</v>
      </c>
      <c r="D155" t="s">
        <v>1</v>
      </c>
      <c r="E155" s="1">
        <v>5.3115068493150686</v>
      </c>
      <c r="F155" s="1">
        <v>4.5769863013698631</v>
      </c>
      <c r="G155" s="1">
        <v>4.18958904109589</v>
      </c>
      <c r="H155" s="1">
        <v>3.6761643835616438</v>
      </c>
      <c r="I155" s="1">
        <v>3.4863013698630136</v>
      </c>
      <c r="J155" s="1">
        <v>3.35</v>
      </c>
      <c r="K155" s="1">
        <v>3.24</v>
      </c>
      <c r="L155" s="1">
        <v>3.38</v>
      </c>
      <c r="M155" s="1">
        <v>3.1434000000000002</v>
      </c>
      <c r="N155" s="1">
        <v>3.4303115956117001</v>
      </c>
      <c r="O155" s="1">
        <v>3.9100481893265924</v>
      </c>
      <c r="P155" s="1">
        <v>4.0720599698671043</v>
      </c>
      <c r="Q155" s="1">
        <v>4.1679358647374158</v>
      </c>
      <c r="R155" s="1">
        <v>4.2548095417928451</v>
      </c>
      <c r="S155" s="1">
        <v>4.1567058847825589</v>
      </c>
      <c r="T155" s="1">
        <v>4.0178837584635128</v>
      </c>
      <c r="U155" s="1">
        <v>4.0414097215415872</v>
      </c>
      <c r="V155" s="1">
        <v>4.2227376561864185</v>
      </c>
      <c r="W155" s="1">
        <v>4.3871858417311547</v>
      </c>
      <c r="X155" s="1">
        <v>4.5237468137061567</v>
      </c>
      <c r="Y155" s="1">
        <v>4.6907269108367675</v>
      </c>
      <c r="Z155" s="1">
        <v>4.8486512810938631</v>
      </c>
      <c r="AA155" s="1">
        <v>5.0047810003659787</v>
      </c>
      <c r="AB155" s="1">
        <v>5.1499693696668567</v>
      </c>
      <c r="AC155" s="1">
        <v>5.267449468688322</v>
      </c>
      <c r="AD155" s="1">
        <v>5.3581215337259138</v>
      </c>
      <c r="AE155" s="1">
        <v>5.423242639345105</v>
      </c>
      <c r="AF155" s="1">
        <v>5.4621921425765798</v>
      </c>
      <c r="AG155" s="1">
        <v>5.4742198742499664</v>
      </c>
      <c r="AH155" s="1">
        <v>5.4752071555097368</v>
      </c>
      <c r="AI155" s="1">
        <v>5.4464034463658697</v>
      </c>
      <c r="AJ155" s="1">
        <v>5.411766669492061</v>
      </c>
      <c r="AK155" s="1">
        <v>5.3717461157075146</v>
      </c>
      <c r="AL155" s="1">
        <v>5.3299965864104255</v>
      </c>
      <c r="AM155" s="1">
        <v>5.2790299954871633</v>
      </c>
      <c r="AN155" s="1">
        <v>5.2189007541856753</v>
      </c>
    </row>
    <row r="156" spans="1:40" x14ac:dyDescent="0.25">
      <c r="A156" t="s">
        <v>28</v>
      </c>
      <c r="B156" t="s">
        <v>22</v>
      </c>
      <c r="C156" t="s">
        <v>9</v>
      </c>
      <c r="D156" t="s">
        <v>3</v>
      </c>
      <c r="E156" s="1">
        <v>1.4256134246575345</v>
      </c>
      <c r="F156" s="1">
        <v>1.4450832876712327</v>
      </c>
      <c r="G156" s="1">
        <v>1.2885339726027401</v>
      </c>
      <c r="H156" s="1">
        <v>1.1673954246575342</v>
      </c>
      <c r="I156" s="1">
        <v>1.2573030136986305</v>
      </c>
      <c r="J156" s="1">
        <v>1.4170704109589043</v>
      </c>
      <c r="K156" s="1">
        <v>1.7829972602739728</v>
      </c>
      <c r="L156" s="1">
        <v>2.0267041095890415</v>
      </c>
      <c r="M156" s="1">
        <v>2.4636027397260269</v>
      </c>
      <c r="N156" s="1">
        <v>3.0124273972602742</v>
      </c>
      <c r="O156" s="1">
        <v>2.9807473897839478</v>
      </c>
      <c r="P156" s="1">
        <v>3.1676414610895525</v>
      </c>
      <c r="Q156" s="1">
        <v>3.4102967357179521</v>
      </c>
      <c r="R156" s="1">
        <v>3.6536789614583012</v>
      </c>
      <c r="S156" s="1">
        <v>4.1062349614012099</v>
      </c>
      <c r="T156" s="1">
        <v>4.8190048389498612</v>
      </c>
      <c r="U156" s="1">
        <v>5.5848774412559701</v>
      </c>
      <c r="V156" s="1">
        <v>6.2234258165834611</v>
      </c>
      <c r="W156" s="1">
        <v>6.6046094000916904</v>
      </c>
      <c r="X156" s="1">
        <v>6.7677911490683167</v>
      </c>
      <c r="Y156" s="1">
        <v>6.9390686573738085</v>
      </c>
      <c r="Z156" s="1">
        <v>7.1023898441969679</v>
      </c>
      <c r="AA156" s="1">
        <v>7.2567950274973416</v>
      </c>
      <c r="AB156" s="1">
        <v>7.4033145442888024</v>
      </c>
      <c r="AC156" s="1">
        <v>7.5418687732748619</v>
      </c>
      <c r="AD156" s="1">
        <v>7.6768403089801858</v>
      </c>
      <c r="AE156" s="1">
        <v>7.8006118092777958</v>
      </c>
      <c r="AF156" s="1">
        <v>7.9027509300571621</v>
      </c>
      <c r="AG156" s="1">
        <v>7.9943672477765553</v>
      </c>
      <c r="AH156" s="1">
        <v>8.0624041025019988</v>
      </c>
      <c r="AI156" s="1">
        <v>8.0982484173275271</v>
      </c>
      <c r="AJ156" s="1">
        <v>8.1332071348176154</v>
      </c>
      <c r="AK156" s="1">
        <v>8.1636882306774314</v>
      </c>
      <c r="AL156" s="1">
        <v>8.1872515827409167</v>
      </c>
      <c r="AM156" s="1">
        <v>8.2015887220424144</v>
      </c>
      <c r="AN156" s="1">
        <v>8.217773929340261</v>
      </c>
    </row>
    <row r="157" spans="1:40" x14ac:dyDescent="0.25">
      <c r="A157" t="s">
        <v>28</v>
      </c>
      <c r="B157" t="s">
        <v>22</v>
      </c>
      <c r="C157" t="s">
        <v>9</v>
      </c>
      <c r="D157" t="s">
        <v>10</v>
      </c>
      <c r="E157" s="1">
        <v>0.54986027397260273</v>
      </c>
      <c r="F157" s="1">
        <v>0.60012602739726029</v>
      </c>
      <c r="G157" s="1">
        <v>0.65587123287671234</v>
      </c>
      <c r="H157" s="1">
        <v>0.71680273972602748</v>
      </c>
      <c r="I157" s="1">
        <v>0.71619999999999984</v>
      </c>
      <c r="J157" s="1">
        <v>0.78671232876712338</v>
      </c>
      <c r="K157" s="1">
        <v>0.8791972602739726</v>
      </c>
      <c r="L157" s="1">
        <v>0.90125753424657529</v>
      </c>
      <c r="M157" s="1">
        <v>0.95836164383561662</v>
      </c>
      <c r="N157" s="1">
        <v>1.43</v>
      </c>
      <c r="O157" s="1">
        <v>1.9550240946632962</v>
      </c>
      <c r="P157" s="1">
        <v>2.0360299849335521</v>
      </c>
      <c r="Q157" s="1">
        <v>2.0839679323687079</v>
      </c>
      <c r="R157" s="1">
        <v>2.1274047708964225</v>
      </c>
      <c r="S157" s="1">
        <v>2.0783529423912794</v>
      </c>
      <c r="T157" s="1">
        <v>2.0089418792317564</v>
      </c>
      <c r="U157" s="1">
        <v>2.0207048607707936</v>
      </c>
      <c r="V157" s="1">
        <v>2.1113688280932092</v>
      </c>
      <c r="W157" s="1">
        <v>2.1935929208655773</v>
      </c>
      <c r="X157" s="1">
        <v>2.2618734068530784</v>
      </c>
      <c r="Y157" s="1">
        <v>2.3453634554183838</v>
      </c>
      <c r="Z157" s="1">
        <v>2.4243256405469316</v>
      </c>
      <c r="AA157" s="1">
        <v>2.5023905001829894</v>
      </c>
      <c r="AB157" s="1">
        <v>2.5749846848334284</v>
      </c>
      <c r="AC157" s="1">
        <v>2.633724734344161</v>
      </c>
      <c r="AD157" s="1">
        <v>2.6790607668629569</v>
      </c>
      <c r="AE157" s="1">
        <v>2.7116213196725525</v>
      </c>
      <c r="AF157" s="1">
        <v>2.7310960712882899</v>
      </c>
      <c r="AG157" s="1">
        <v>2.7371099371249832</v>
      </c>
      <c r="AH157" s="1">
        <v>2.7376035777548684</v>
      </c>
      <c r="AI157" s="1">
        <v>2.7232017231829349</v>
      </c>
      <c r="AJ157" s="1">
        <v>2.7058833347460305</v>
      </c>
      <c r="AK157" s="1">
        <v>2.6858730578537573</v>
      </c>
      <c r="AL157" s="1">
        <v>2.6649982932052128</v>
      </c>
      <c r="AM157" s="1">
        <v>2.6395149977435817</v>
      </c>
      <c r="AN157" s="1">
        <v>2.6094503770928377</v>
      </c>
    </row>
    <row r="158" spans="1:40" x14ac:dyDescent="0.25">
      <c r="A158" t="s">
        <v>28</v>
      </c>
      <c r="B158" t="s">
        <v>22</v>
      </c>
      <c r="C158" t="s">
        <v>11</v>
      </c>
      <c r="D158" t="s">
        <v>23</v>
      </c>
      <c r="E158" s="1">
        <v>2.2085945205479454</v>
      </c>
      <c r="F158" s="1">
        <v>3.015890410958904</v>
      </c>
      <c r="G158" s="1">
        <v>3.5317808219178084</v>
      </c>
      <c r="H158" s="1">
        <v>3.7389041095890412</v>
      </c>
      <c r="I158" s="1">
        <v>4.0769863013698631</v>
      </c>
      <c r="J158" s="1">
        <v>4.42</v>
      </c>
      <c r="K158" s="1">
        <v>6.46</v>
      </c>
      <c r="L158" s="1">
        <v>8.1199999999999992</v>
      </c>
      <c r="M158" s="1">
        <v>8.82</v>
      </c>
      <c r="N158" s="1">
        <v>7.3047777861937035</v>
      </c>
      <c r="O158" s="1">
        <v>6.0567660332372943</v>
      </c>
      <c r="P158" s="1">
        <v>5.357643659993478</v>
      </c>
      <c r="Q158" s="1">
        <v>4.8599226734665137</v>
      </c>
      <c r="R158" s="1">
        <v>4.4562376729514295</v>
      </c>
      <c r="S158" s="1">
        <v>4.1447410813674486</v>
      </c>
      <c r="T158" s="1">
        <v>3.8896616841012519</v>
      </c>
      <c r="U158" s="1">
        <v>3.670605472962134</v>
      </c>
      <c r="V158" s="1">
        <v>3.4918447491712454</v>
      </c>
      <c r="W158" s="1">
        <v>3.3469350472843598</v>
      </c>
      <c r="X158" s="1">
        <v>3.2311161595513265</v>
      </c>
      <c r="Y158" s="1">
        <v>3.1444350914356241</v>
      </c>
      <c r="Z158" s="1">
        <v>3.0792477343915987</v>
      </c>
      <c r="AA158" s="1">
        <v>3.0285850411557211</v>
      </c>
      <c r="AB158" s="1">
        <v>2.9821991319754537</v>
      </c>
      <c r="AC158" s="1">
        <v>2.9320619626033224</v>
      </c>
      <c r="AD158" s="1">
        <v>2.8767084819290809</v>
      </c>
      <c r="AE158" s="1">
        <v>2.8169261487422221</v>
      </c>
      <c r="AF158" s="1">
        <v>2.7607404988074986</v>
      </c>
      <c r="AG158" s="1">
        <v>2.700349145184421</v>
      </c>
      <c r="AH158" s="1">
        <v>2.6213634849376195</v>
      </c>
      <c r="AI158" s="1">
        <v>2.5377360545608045</v>
      </c>
      <c r="AJ158" s="1">
        <v>2.459541657784845</v>
      </c>
      <c r="AK158" s="1">
        <v>2.3776369177702614</v>
      </c>
      <c r="AL158" s="1">
        <v>2.3268532759895608</v>
      </c>
      <c r="AM158" s="1">
        <v>2.2806515063926152</v>
      </c>
      <c r="AN158" s="1">
        <v>2.2376280111336575</v>
      </c>
    </row>
    <row r="159" spans="1:40" x14ac:dyDescent="0.25">
      <c r="A159" t="s">
        <v>28</v>
      </c>
      <c r="B159" t="s">
        <v>22</v>
      </c>
      <c r="C159" t="s">
        <v>11</v>
      </c>
      <c r="D159" t="s">
        <v>1</v>
      </c>
      <c r="E159" s="1">
        <v>2.2085945205479454</v>
      </c>
      <c r="F159" s="1">
        <v>3.015890410958904</v>
      </c>
      <c r="G159" s="1">
        <v>3.5317808219178084</v>
      </c>
      <c r="H159" s="1">
        <v>3.7389041095890412</v>
      </c>
      <c r="I159" s="1">
        <v>4.0769863013698631</v>
      </c>
      <c r="J159" s="1">
        <v>4.42</v>
      </c>
      <c r="K159" s="1">
        <v>6.46</v>
      </c>
      <c r="L159" s="1">
        <v>8.1199999999999992</v>
      </c>
      <c r="M159" s="1">
        <v>8.82</v>
      </c>
      <c r="N159" s="1">
        <v>7.3047777861937035</v>
      </c>
      <c r="O159" s="1">
        <v>6.0567660332372943</v>
      </c>
      <c r="P159" s="1">
        <v>5.357643659993478</v>
      </c>
      <c r="Q159" s="1">
        <v>4.8599226734665137</v>
      </c>
      <c r="R159" s="1">
        <v>4.4562376729514295</v>
      </c>
      <c r="S159" s="1">
        <v>4.1447410813674486</v>
      </c>
      <c r="T159" s="1">
        <v>3.8896616841012519</v>
      </c>
      <c r="U159" s="1">
        <v>3.670605472962134</v>
      </c>
      <c r="V159" s="1">
        <v>3.4918447491712454</v>
      </c>
      <c r="W159" s="1">
        <v>3.3469350472843598</v>
      </c>
      <c r="X159" s="1">
        <v>3.2311161595513265</v>
      </c>
      <c r="Y159" s="1">
        <v>3.1444350914356241</v>
      </c>
      <c r="Z159" s="1">
        <v>3.0792477343915987</v>
      </c>
      <c r="AA159" s="1">
        <v>3.0285850411557211</v>
      </c>
      <c r="AB159" s="1">
        <v>2.9821991319754537</v>
      </c>
      <c r="AC159" s="1">
        <v>2.9320619626033224</v>
      </c>
      <c r="AD159" s="1">
        <v>2.8767084819290809</v>
      </c>
      <c r="AE159" s="1">
        <v>2.8169261487422221</v>
      </c>
      <c r="AF159" s="1">
        <v>2.7607404988074986</v>
      </c>
      <c r="AG159" s="1">
        <v>2.700349145184421</v>
      </c>
      <c r="AH159" s="1">
        <v>2.6213634849376195</v>
      </c>
      <c r="AI159" s="1">
        <v>2.5377360545608045</v>
      </c>
      <c r="AJ159" s="1">
        <v>2.459541657784845</v>
      </c>
      <c r="AK159" s="1">
        <v>2.3776369177702614</v>
      </c>
      <c r="AL159" s="1">
        <v>2.3268532759895608</v>
      </c>
      <c r="AM159" s="1">
        <v>2.2806515063926152</v>
      </c>
      <c r="AN159" s="1">
        <v>2.2376280111336575</v>
      </c>
    </row>
    <row r="160" spans="1:40" x14ac:dyDescent="0.25">
      <c r="A160" t="s">
        <v>28</v>
      </c>
      <c r="B160" t="s">
        <v>22</v>
      </c>
      <c r="C160" t="s">
        <v>12</v>
      </c>
      <c r="D160" t="s">
        <v>23</v>
      </c>
      <c r="E160" s="1">
        <v>48.466882191780826</v>
      </c>
      <c r="F160" s="1">
        <v>48.277846575342465</v>
      </c>
      <c r="G160" s="1">
        <v>58.576986301369864</v>
      </c>
      <c r="H160" s="1">
        <v>54.554520547945202</v>
      </c>
      <c r="I160" s="1">
        <v>42.550684931506844</v>
      </c>
      <c r="J160" s="1">
        <v>43.853011524244394</v>
      </c>
      <c r="K160" s="1">
        <v>42.14</v>
      </c>
      <c r="L160" s="1">
        <v>31.429560381305837</v>
      </c>
      <c r="M160" s="1">
        <v>36.872529243563093</v>
      </c>
      <c r="N160" s="1">
        <v>34.344578260774881</v>
      </c>
      <c r="O160" s="1">
        <v>33.948034815394557</v>
      </c>
      <c r="P160" s="1">
        <v>40.893251028192886</v>
      </c>
      <c r="Q160" s="1">
        <v>39.550516165890812</v>
      </c>
      <c r="R160" s="1">
        <v>50.201305689240215</v>
      </c>
      <c r="S160" s="1">
        <v>51.746947988775737</v>
      </c>
      <c r="T160" s="1">
        <v>45.347395485195598</v>
      </c>
      <c r="U160" s="1">
        <v>44.14465659217997</v>
      </c>
      <c r="V160" s="1">
        <v>45.052542005644248</v>
      </c>
      <c r="W160" s="1">
        <v>39.507136670521767</v>
      </c>
      <c r="X160" s="1">
        <v>39.086716925165348</v>
      </c>
      <c r="Y160" s="1">
        <v>52.336565786879646</v>
      </c>
      <c r="Z160" s="1">
        <v>45.940789275095824</v>
      </c>
      <c r="AA160" s="1">
        <v>39.984437415285669</v>
      </c>
      <c r="AB160" s="1">
        <v>35.904751576340786</v>
      </c>
      <c r="AC160" s="1">
        <v>33.177772537536946</v>
      </c>
      <c r="AD160" s="1">
        <v>31.060379430871162</v>
      </c>
      <c r="AE160" s="1">
        <v>27.732695391816115</v>
      </c>
      <c r="AF160" s="1">
        <v>24.043970119384397</v>
      </c>
      <c r="AG160" s="1">
        <v>21.59199376066654</v>
      </c>
      <c r="AH160" s="1">
        <v>21.084469602269998</v>
      </c>
      <c r="AI160" s="1">
        <v>19.067860589901247</v>
      </c>
      <c r="AJ160" s="1">
        <v>17.844162364854853</v>
      </c>
      <c r="AK160" s="1">
        <v>16.685595691783142</v>
      </c>
      <c r="AL160" s="1">
        <v>15.125900406656791</v>
      </c>
      <c r="AM160" s="1">
        <v>13.761476087214938</v>
      </c>
      <c r="AN160" s="1">
        <v>13.405115505733184</v>
      </c>
    </row>
    <row r="161" spans="1:40" x14ac:dyDescent="0.25">
      <c r="A161" t="s">
        <v>28</v>
      </c>
      <c r="B161" t="s">
        <v>22</v>
      </c>
      <c r="C161" t="s">
        <v>12</v>
      </c>
      <c r="D161" t="s">
        <v>1</v>
      </c>
      <c r="E161" s="1">
        <v>48.466882191780826</v>
      </c>
      <c r="F161" s="1">
        <v>48.277846575342465</v>
      </c>
      <c r="G161" s="1">
        <v>58.576986301369864</v>
      </c>
      <c r="H161" s="1">
        <v>54.554520547945202</v>
      </c>
      <c r="I161" s="1">
        <v>42.550684931506844</v>
      </c>
      <c r="J161" s="1">
        <v>43.853011524244394</v>
      </c>
      <c r="K161" s="1">
        <v>42.14</v>
      </c>
      <c r="L161" s="1">
        <v>31.429560381305837</v>
      </c>
      <c r="M161" s="1">
        <v>36.872529243563093</v>
      </c>
      <c r="N161" s="1">
        <v>34.344578260774881</v>
      </c>
      <c r="O161" s="1">
        <v>33.948034815394557</v>
      </c>
      <c r="P161" s="1">
        <v>40.893251028192886</v>
      </c>
      <c r="Q161" s="1">
        <v>39.550516165890812</v>
      </c>
      <c r="R161" s="1">
        <v>50.201305689240215</v>
      </c>
      <c r="S161" s="1">
        <v>51.746947988775737</v>
      </c>
      <c r="T161" s="1">
        <v>45.347395485195598</v>
      </c>
      <c r="U161" s="1">
        <v>44.14465659217997</v>
      </c>
      <c r="V161" s="1">
        <v>45.052542005644248</v>
      </c>
      <c r="W161" s="1">
        <v>39.507136670521767</v>
      </c>
      <c r="X161" s="1">
        <v>39.086716925165348</v>
      </c>
      <c r="Y161" s="1">
        <v>52.336565786879646</v>
      </c>
      <c r="Z161" s="1">
        <v>45.940789275095824</v>
      </c>
      <c r="AA161" s="1">
        <v>39.984437415285669</v>
      </c>
      <c r="AB161" s="1">
        <v>35.904751576340786</v>
      </c>
      <c r="AC161" s="1">
        <v>33.177772537536946</v>
      </c>
      <c r="AD161" s="1">
        <v>31.060379430871162</v>
      </c>
      <c r="AE161" s="1">
        <v>27.732695391816115</v>
      </c>
      <c r="AF161" s="1">
        <v>24.043970119384397</v>
      </c>
      <c r="AG161" s="1">
        <v>21.59199376066654</v>
      </c>
      <c r="AH161" s="1">
        <v>21.084469602269998</v>
      </c>
      <c r="AI161" s="1">
        <v>19.067860589901247</v>
      </c>
      <c r="AJ161" s="1">
        <v>17.844162364854853</v>
      </c>
      <c r="AK161" s="1">
        <v>16.685595691783142</v>
      </c>
      <c r="AL161" s="1">
        <v>15.125900406656791</v>
      </c>
      <c r="AM161" s="1">
        <v>13.761476087214938</v>
      </c>
      <c r="AN161" s="1">
        <v>13.405115505733184</v>
      </c>
    </row>
    <row r="162" spans="1:40" x14ac:dyDescent="0.25">
      <c r="A162" t="s">
        <v>28</v>
      </c>
      <c r="B162" t="s">
        <v>22</v>
      </c>
      <c r="C162" t="s">
        <v>13</v>
      </c>
      <c r="D162" t="s">
        <v>23</v>
      </c>
      <c r="E162" s="1">
        <v>2.9858876712328768</v>
      </c>
      <c r="F162" s="1">
        <v>2.9663753424657533</v>
      </c>
      <c r="G162" s="1">
        <v>2.7860273972602738</v>
      </c>
      <c r="H162" s="1">
        <v>2.5797260273972604</v>
      </c>
      <c r="I162" s="1">
        <v>2.4693150684931506</v>
      </c>
      <c r="J162" s="1">
        <v>2.39</v>
      </c>
      <c r="K162" s="1">
        <v>1.67</v>
      </c>
      <c r="L162" s="1">
        <v>2.0670000000000002</v>
      </c>
      <c r="M162" s="1">
        <v>1.9636499999999999</v>
      </c>
      <c r="N162" s="1">
        <v>1.69</v>
      </c>
      <c r="O162" s="1">
        <v>1.61</v>
      </c>
      <c r="P162" s="1">
        <v>1.5295000000000001</v>
      </c>
      <c r="Q162" s="1">
        <v>1.453025</v>
      </c>
      <c r="R162" s="1">
        <v>1.38037375</v>
      </c>
      <c r="S162" s="1">
        <v>1.3113550624999999</v>
      </c>
      <c r="T162" s="1">
        <v>1.2457873093749998</v>
      </c>
      <c r="U162" s="1">
        <v>1.1834979439062498</v>
      </c>
      <c r="V162" s="1">
        <v>1.1243230467109373</v>
      </c>
      <c r="W162" s="1">
        <v>1.0681068943753904</v>
      </c>
      <c r="X162" s="1">
        <v>1.0147015496566207</v>
      </c>
      <c r="Y162" s="1">
        <v>0.96396647217378961</v>
      </c>
      <c r="Z162" s="1">
        <v>0.91576814856510014</v>
      </c>
      <c r="AA162" s="1">
        <v>0.86997974113684506</v>
      </c>
      <c r="AB162" s="1">
        <v>0.82648075408000277</v>
      </c>
      <c r="AC162" s="1">
        <v>0.78515671637600259</v>
      </c>
      <c r="AD162" s="1">
        <v>0.74589888055720244</v>
      </c>
      <c r="AE162" s="1">
        <v>0.70860393652934228</v>
      </c>
      <c r="AF162" s="1">
        <v>0.67317373970287508</v>
      </c>
      <c r="AG162" s="1">
        <v>0.63951505271773135</v>
      </c>
      <c r="AH162" s="1">
        <v>0.60753930008184476</v>
      </c>
      <c r="AI162" s="1">
        <v>0.5771623350777525</v>
      </c>
      <c r="AJ162" s="1">
        <v>0.54830421832386489</v>
      </c>
      <c r="AK162" s="1">
        <v>0.52088900740767163</v>
      </c>
      <c r="AL162" s="1">
        <v>0.49484455703728802</v>
      </c>
      <c r="AM162" s="1">
        <v>0.47010232918542361</v>
      </c>
      <c r="AN162" s="1">
        <v>0.44659721272615238</v>
      </c>
    </row>
    <row r="163" spans="1:40" x14ac:dyDescent="0.25">
      <c r="A163" t="s">
        <v>28</v>
      </c>
      <c r="B163" t="s">
        <v>22</v>
      </c>
      <c r="C163" t="s">
        <v>13</v>
      </c>
      <c r="D163" t="s">
        <v>1</v>
      </c>
      <c r="E163" s="1">
        <v>2.9858876712328768</v>
      </c>
      <c r="F163" s="1">
        <v>2.9663753424657533</v>
      </c>
      <c r="G163" s="1">
        <v>2.7860273972602738</v>
      </c>
      <c r="H163" s="1">
        <v>2.5797260273972604</v>
      </c>
      <c r="I163" s="1">
        <v>2.4693150684931506</v>
      </c>
      <c r="J163" s="1">
        <v>2.39</v>
      </c>
      <c r="K163" s="1">
        <v>1.67</v>
      </c>
      <c r="L163" s="1">
        <v>2.0670000000000002</v>
      </c>
      <c r="M163" s="1">
        <v>1.9636499999999999</v>
      </c>
      <c r="N163" s="1">
        <v>1.69</v>
      </c>
      <c r="O163" s="1">
        <v>1.61</v>
      </c>
      <c r="P163" s="1">
        <v>1.5295000000000001</v>
      </c>
      <c r="Q163" s="1">
        <v>1.453025</v>
      </c>
      <c r="R163" s="1">
        <v>1.38037375</v>
      </c>
      <c r="S163" s="1">
        <v>1.3113550624999999</v>
      </c>
      <c r="T163" s="1">
        <v>1.2457873093749998</v>
      </c>
      <c r="U163" s="1">
        <v>1.1834979439062498</v>
      </c>
      <c r="V163" s="1">
        <v>1.1243230467109373</v>
      </c>
      <c r="W163" s="1">
        <v>1.0681068943753904</v>
      </c>
      <c r="X163" s="1">
        <v>1.0147015496566207</v>
      </c>
      <c r="Y163" s="1">
        <v>0.96396647217378961</v>
      </c>
      <c r="Z163" s="1">
        <v>0.91576814856510014</v>
      </c>
      <c r="AA163" s="1">
        <v>0.86997974113684506</v>
      </c>
      <c r="AB163" s="1">
        <v>0.82648075408000277</v>
      </c>
      <c r="AC163" s="1">
        <v>0.78515671637600259</v>
      </c>
      <c r="AD163" s="1">
        <v>0.74589888055720244</v>
      </c>
      <c r="AE163" s="1">
        <v>0.70860393652934228</v>
      </c>
      <c r="AF163" s="1">
        <v>0.67317373970287508</v>
      </c>
      <c r="AG163" s="1">
        <v>0.63951505271773135</v>
      </c>
      <c r="AH163" s="1">
        <v>0.60753930008184476</v>
      </c>
      <c r="AI163" s="1">
        <v>0.5771623350777525</v>
      </c>
      <c r="AJ163" s="1">
        <v>0.54830421832386489</v>
      </c>
      <c r="AK163" s="1">
        <v>0.52088900740767163</v>
      </c>
      <c r="AL163" s="1">
        <v>0.49484455703728802</v>
      </c>
      <c r="AM163" s="1">
        <v>0.47010232918542361</v>
      </c>
      <c r="AN163" s="1">
        <v>0.44659721272615238</v>
      </c>
    </row>
    <row r="164" spans="1:40" x14ac:dyDescent="0.25">
      <c r="A164" t="s">
        <v>28</v>
      </c>
      <c r="B164" t="s">
        <v>22</v>
      </c>
      <c r="C164" t="s">
        <v>14</v>
      </c>
      <c r="D164" t="s">
        <v>23</v>
      </c>
      <c r="E164" s="1">
        <v>2.0546041095890408</v>
      </c>
      <c r="F164" s="1">
        <v>1.9127178082191778</v>
      </c>
      <c r="G164" s="1">
        <v>1.8855501369863013</v>
      </c>
      <c r="H164" s="1">
        <v>1.7537218579234968</v>
      </c>
      <c r="I164" s="1">
        <v>1.1252249315068492</v>
      </c>
      <c r="J164" s="1">
        <v>1.0665109589041095</v>
      </c>
      <c r="K164" s="1">
        <v>0.8600093150684931</v>
      </c>
      <c r="L164" s="1">
        <v>0.58448934426229504</v>
      </c>
      <c r="M164" s="1">
        <v>0.3277084931506849</v>
      </c>
      <c r="N164" s="1">
        <v>0.45840739726027402</v>
      </c>
      <c r="O164" s="1">
        <v>0.43273658301369861</v>
      </c>
      <c r="P164" s="1">
        <v>0.40738720503606557</v>
      </c>
      <c r="Q164" s="1">
        <v>0.38562714764049533</v>
      </c>
      <c r="R164" s="1">
        <v>0.36403202737262752</v>
      </c>
      <c r="S164" s="1">
        <v>0.3436462338397604</v>
      </c>
      <c r="T164" s="1">
        <v>0.32351570036018534</v>
      </c>
      <c r="U164" s="1">
        <v>0.30623553023902866</v>
      </c>
      <c r="V164" s="1">
        <v>0.28908634054564303</v>
      </c>
      <c r="W164" s="1">
        <v>0.27289750547508701</v>
      </c>
      <c r="X164" s="1">
        <v>0.25691137837840433</v>
      </c>
      <c r="Y164" s="1">
        <v>0.24318879143904712</v>
      </c>
      <c r="Z164" s="1">
        <v>0.22957021911846046</v>
      </c>
      <c r="AA164" s="1">
        <v>0.21671428684782665</v>
      </c>
      <c r="AB164" s="1">
        <v>0.20401932971663156</v>
      </c>
      <c r="AC164" s="1">
        <v>0.19312190272442484</v>
      </c>
      <c r="AD164" s="1">
        <v>0.18230707617185704</v>
      </c>
      <c r="AE164" s="1">
        <v>0.17209787990623304</v>
      </c>
      <c r="AF164" s="1">
        <v>0.16201651776090617</v>
      </c>
      <c r="AG164" s="1">
        <v>0.15336261630812087</v>
      </c>
      <c r="AH164" s="1">
        <v>0.14477430979486611</v>
      </c>
      <c r="AI164" s="1">
        <v>0.1366669484463536</v>
      </c>
      <c r="AJ164" s="1">
        <v>0.12866110316031584</v>
      </c>
      <c r="AK164" s="1">
        <v>0.12178883777068976</v>
      </c>
      <c r="AL164" s="1">
        <v>0.11496866285553113</v>
      </c>
      <c r="AM164" s="1">
        <v>0.10853041773562137</v>
      </c>
      <c r="AN164" s="1">
        <v>0.10217278889340355</v>
      </c>
    </row>
    <row r="165" spans="1:40" x14ac:dyDescent="0.25">
      <c r="A165" t="s">
        <v>28</v>
      </c>
      <c r="B165" t="s">
        <v>22</v>
      </c>
      <c r="C165" t="s">
        <v>14</v>
      </c>
      <c r="D165" t="s">
        <v>3</v>
      </c>
      <c r="E165" s="1">
        <v>2.0546041095890408</v>
      </c>
      <c r="F165" s="1">
        <v>1.9127178082191778</v>
      </c>
      <c r="G165" s="1">
        <v>1.8855501369863013</v>
      </c>
      <c r="H165" s="1">
        <v>1.7537218579234968</v>
      </c>
      <c r="I165" s="1">
        <v>1.1252249315068492</v>
      </c>
      <c r="J165" s="1">
        <v>1.0665109589041095</v>
      </c>
      <c r="K165" s="1">
        <v>0.8600093150684931</v>
      </c>
      <c r="L165" s="1">
        <v>0.58448934426229504</v>
      </c>
      <c r="M165" s="1">
        <v>0.3277084931506849</v>
      </c>
      <c r="N165" s="1">
        <v>0.45840739726027402</v>
      </c>
      <c r="O165" s="1">
        <v>0.43273658301369861</v>
      </c>
      <c r="P165" s="1">
        <v>0.40738720503606557</v>
      </c>
      <c r="Q165" s="1">
        <v>0.38562714764049533</v>
      </c>
      <c r="R165" s="1">
        <v>0.36403202737262752</v>
      </c>
      <c r="S165" s="1">
        <v>0.3436462338397604</v>
      </c>
      <c r="T165" s="1">
        <v>0.32351570036018534</v>
      </c>
      <c r="U165" s="1">
        <v>0.30623553023902866</v>
      </c>
      <c r="V165" s="1">
        <v>0.28908634054564303</v>
      </c>
      <c r="W165" s="1">
        <v>0.27289750547508701</v>
      </c>
      <c r="X165" s="1">
        <v>0.25691137837840433</v>
      </c>
      <c r="Y165" s="1">
        <v>0.24318879143904712</v>
      </c>
      <c r="Z165" s="1">
        <v>0.22957021911846046</v>
      </c>
      <c r="AA165" s="1">
        <v>0.21671428684782665</v>
      </c>
      <c r="AB165" s="1">
        <v>0.20401932971663156</v>
      </c>
      <c r="AC165" s="1">
        <v>0.19312190272442484</v>
      </c>
      <c r="AD165" s="1">
        <v>0.18230707617185704</v>
      </c>
      <c r="AE165" s="1">
        <v>0.17209787990623304</v>
      </c>
      <c r="AF165" s="1">
        <v>0.16201651776090617</v>
      </c>
      <c r="AG165" s="1">
        <v>0.15336261630812087</v>
      </c>
      <c r="AH165" s="1">
        <v>0.14477430979486611</v>
      </c>
      <c r="AI165" s="1">
        <v>0.1366669484463536</v>
      </c>
      <c r="AJ165" s="1">
        <v>0.12866110316031584</v>
      </c>
      <c r="AK165" s="1">
        <v>0.12178883777068976</v>
      </c>
      <c r="AL165" s="1">
        <v>0.11496866285553113</v>
      </c>
      <c r="AM165" s="1">
        <v>0.10853041773562137</v>
      </c>
      <c r="AN165" s="1">
        <v>0.10217278889340355</v>
      </c>
    </row>
    <row r="166" spans="1:40" x14ac:dyDescent="0.25">
      <c r="A166" t="s">
        <v>28</v>
      </c>
      <c r="B166" t="s">
        <v>22</v>
      </c>
      <c r="C166" t="s">
        <v>15</v>
      </c>
      <c r="D166" t="s">
        <v>23</v>
      </c>
      <c r="E166" s="1">
        <v>0.38451041602662572</v>
      </c>
      <c r="F166" s="1">
        <v>0.35441595195212494</v>
      </c>
      <c r="G166" s="1">
        <v>0.33669515435451869</v>
      </c>
      <c r="H166" s="1">
        <v>0.26958904109589044</v>
      </c>
      <c r="I166" s="1">
        <v>0.24958904109589042</v>
      </c>
      <c r="J166" s="1">
        <v>0.24</v>
      </c>
      <c r="K166" s="1">
        <v>0.22320000000000001</v>
      </c>
      <c r="L166" s="1">
        <v>0.22</v>
      </c>
      <c r="M166" s="1">
        <v>0.2046</v>
      </c>
      <c r="N166" s="1">
        <v>0.190278</v>
      </c>
      <c r="O166" s="1">
        <v>0.17695854000000003</v>
      </c>
      <c r="P166" s="1">
        <v>0.16457144220000003</v>
      </c>
      <c r="Q166" s="1">
        <v>0.15305144124600004</v>
      </c>
      <c r="R166" s="1">
        <v>0.14233784035878005</v>
      </c>
      <c r="S166" s="1">
        <v>0.13237419153366545</v>
      </c>
      <c r="T166" s="1">
        <v>0.12310799812630888</v>
      </c>
      <c r="U166" s="1">
        <v>0.11449043825746726</v>
      </c>
      <c r="V166" s="1">
        <v>0.10647610757944455</v>
      </c>
      <c r="W166" s="1">
        <v>9.873655395323977E-2</v>
      </c>
      <c r="X166" s="1">
        <v>9.1263992029051402E-2</v>
      </c>
      <c r="Y166" s="1">
        <v>8.4050837960249286E-2</v>
      </c>
      <c r="Z166" s="1">
        <v>7.7089704457387623E-2</v>
      </c>
      <c r="AA166" s="1">
        <v>7.0373395959456311E-2</v>
      </c>
      <c r="AB166" s="1">
        <v>6.3894903919659324E-2</v>
      </c>
      <c r="AC166" s="1">
        <v>5.7647402203070422E-2</v>
      </c>
      <c r="AD166" s="1">
        <v>5.1624242593577216E-2</v>
      </c>
      <c r="AE166" s="1">
        <v>4.5818950407582507E-2</v>
      </c>
      <c r="AF166" s="1">
        <v>4.0225220211990154E-2</v>
      </c>
      <c r="AG166" s="1">
        <v>3.4836911644058464E-2</v>
      </c>
      <c r="AH166" s="1">
        <v>2.9648045330759248E-2</v>
      </c>
      <c r="AI166" s="1">
        <v>2.4652798905334377E-2</v>
      </c>
      <c r="AJ166" s="1">
        <v>1.9845503118794194E-2</v>
      </c>
      <c r="AK166" s="1">
        <v>1.5220638044153486E-2</v>
      </c>
      <c r="AL166" s="1">
        <v>1.0772829371250891E-2</v>
      </c>
      <c r="AM166" s="1">
        <v>6.4968447900467371E-3</v>
      </c>
      <c r="AN166" s="1">
        <v>2.3875904603422489E-3</v>
      </c>
    </row>
    <row r="167" spans="1:40" x14ac:dyDescent="0.25">
      <c r="A167" t="s">
        <v>28</v>
      </c>
      <c r="B167" t="s">
        <v>22</v>
      </c>
      <c r="C167" t="s">
        <v>15</v>
      </c>
      <c r="D167" t="s">
        <v>1</v>
      </c>
      <c r="E167" s="1">
        <v>0.37693698630136985</v>
      </c>
      <c r="F167" s="1">
        <v>0.34152602739726029</v>
      </c>
      <c r="G167" s="1">
        <v>0.29972602739726029</v>
      </c>
      <c r="H167" s="1">
        <v>0.26958904109589044</v>
      </c>
      <c r="I167" s="1">
        <v>0.24958904109589042</v>
      </c>
      <c r="J167" s="1">
        <v>0.24</v>
      </c>
      <c r="K167" s="1">
        <v>0.22320000000000001</v>
      </c>
      <c r="L167" s="1">
        <v>0.22</v>
      </c>
      <c r="M167" s="1">
        <v>0.2046</v>
      </c>
      <c r="N167" s="1">
        <v>0.190278</v>
      </c>
      <c r="O167" s="1">
        <v>0.17695854000000003</v>
      </c>
      <c r="P167" s="1">
        <v>0.16457144220000003</v>
      </c>
      <c r="Q167" s="1">
        <v>0.15305144124600004</v>
      </c>
      <c r="R167" s="1">
        <v>0.14233784035878005</v>
      </c>
      <c r="S167" s="1">
        <v>0.13237419153366545</v>
      </c>
      <c r="T167" s="1">
        <v>0.12310799812630888</v>
      </c>
      <c r="U167" s="1">
        <v>0.11449043825746726</v>
      </c>
      <c r="V167" s="1">
        <v>0.10647610757944455</v>
      </c>
      <c r="W167" s="1">
        <v>9.873655395323977E-2</v>
      </c>
      <c r="X167" s="1">
        <v>9.1263992029051402E-2</v>
      </c>
      <c r="Y167" s="1">
        <v>8.4050837960249286E-2</v>
      </c>
      <c r="Z167" s="1">
        <v>7.7089704457387623E-2</v>
      </c>
      <c r="AA167" s="1">
        <v>7.0373395959456311E-2</v>
      </c>
      <c r="AB167" s="1">
        <v>6.3894903919659324E-2</v>
      </c>
      <c r="AC167" s="1">
        <v>5.7647402203070422E-2</v>
      </c>
      <c r="AD167" s="1">
        <v>5.1624242593577216E-2</v>
      </c>
      <c r="AE167" s="1">
        <v>4.5818950407582507E-2</v>
      </c>
      <c r="AF167" s="1">
        <v>4.0225220211990154E-2</v>
      </c>
      <c r="AG167" s="1">
        <v>3.4836911644058464E-2</v>
      </c>
      <c r="AH167" s="1">
        <v>2.9648045330759248E-2</v>
      </c>
      <c r="AI167" s="1">
        <v>2.4652798905334377E-2</v>
      </c>
      <c r="AJ167" s="1">
        <v>1.9845503118794194E-2</v>
      </c>
      <c r="AK167" s="1">
        <v>1.5220638044153486E-2</v>
      </c>
      <c r="AL167" s="1">
        <v>1.0772829371250891E-2</v>
      </c>
      <c r="AM167" s="1">
        <v>6.4968447900467371E-3</v>
      </c>
      <c r="AN167" s="1">
        <v>2.3875904603422489E-3</v>
      </c>
    </row>
    <row r="168" spans="1:40" x14ac:dyDescent="0.25">
      <c r="A168" t="s">
        <v>28</v>
      </c>
      <c r="B168" t="s">
        <v>22</v>
      </c>
      <c r="C168" t="s">
        <v>16</v>
      </c>
      <c r="D168" t="s">
        <v>23</v>
      </c>
      <c r="E168" s="1">
        <v>66.733054039199047</v>
      </c>
      <c r="F168" s="1">
        <v>68.174030419970649</v>
      </c>
      <c r="G168" s="1">
        <v>68.098496018848238</v>
      </c>
      <c r="H168" s="1">
        <v>69.988042860537959</v>
      </c>
      <c r="I168" s="1">
        <v>67.633923182151463</v>
      </c>
      <c r="J168" s="1">
        <v>67.359048901700334</v>
      </c>
      <c r="K168" s="1">
        <v>68.163835411747996</v>
      </c>
      <c r="L168" s="1">
        <v>74.858985940320864</v>
      </c>
      <c r="M168" s="1">
        <v>77.207730375237986</v>
      </c>
      <c r="N168" s="1">
        <v>80.928466523533231</v>
      </c>
      <c r="O168" s="1">
        <v>80.780582081184477</v>
      </c>
      <c r="P168" s="1">
        <v>80.640103144270611</v>
      </c>
      <c r="Q168" s="1">
        <v>80.213098058473264</v>
      </c>
      <c r="R168" s="1">
        <v>79.792246637360748</v>
      </c>
      <c r="S168" s="1">
        <v>79.257698262618419</v>
      </c>
      <c r="T168" s="1">
        <v>78.860006503538173</v>
      </c>
      <c r="U168" s="1">
        <v>78.552993493873558</v>
      </c>
      <c r="V168" s="1">
        <v>78.472871958772657</v>
      </c>
      <c r="W168" s="1">
        <v>78.527454260557406</v>
      </c>
      <c r="X168" s="1">
        <v>78.724433668756788</v>
      </c>
      <c r="Y168" s="1">
        <v>79.056931337129853</v>
      </c>
      <c r="Z168" s="1">
        <v>79.418691471796549</v>
      </c>
      <c r="AA168" s="1">
        <v>79.748243961538293</v>
      </c>
      <c r="AB168" s="1">
        <v>79.900119151662082</v>
      </c>
      <c r="AC168" s="1">
        <v>79.768315320478095</v>
      </c>
      <c r="AD168" s="1">
        <v>79.42940272899088</v>
      </c>
      <c r="AE168" s="1">
        <v>78.924573499034992</v>
      </c>
      <c r="AF168" s="1">
        <v>78.221985394216858</v>
      </c>
      <c r="AG168" s="1">
        <v>77.364763996344649</v>
      </c>
      <c r="AH168" s="1">
        <v>76.310058899813868</v>
      </c>
      <c r="AI168" s="1">
        <v>74.927267474745875</v>
      </c>
      <c r="AJ168" s="1">
        <v>73.728736184774576</v>
      </c>
      <c r="AK168" s="1">
        <v>72.370614754096309</v>
      </c>
      <c r="AL168" s="1">
        <v>71.06241267788954</v>
      </c>
      <c r="AM168" s="1">
        <v>69.650479831274595</v>
      </c>
      <c r="AN168" s="1">
        <v>68.221648801786515</v>
      </c>
    </row>
    <row r="169" spans="1:40" x14ac:dyDescent="0.25">
      <c r="A169" t="s">
        <v>28</v>
      </c>
      <c r="B169" t="s">
        <v>22</v>
      </c>
      <c r="C169" t="s">
        <v>16</v>
      </c>
      <c r="D169" t="s">
        <v>1</v>
      </c>
      <c r="E169" s="1">
        <v>9.5385034690820714</v>
      </c>
      <c r="F169" s="1">
        <v>9.9661643215575797</v>
      </c>
      <c r="G169" s="1">
        <v>11.454637531318259</v>
      </c>
      <c r="H169" s="1">
        <v>15.704716024713884</v>
      </c>
      <c r="I169" s="1">
        <v>16.826448167450707</v>
      </c>
      <c r="J169" s="1">
        <v>17.35209181881353</v>
      </c>
      <c r="K169" s="1">
        <v>18.157997011188559</v>
      </c>
      <c r="L169" s="1">
        <v>20.910828283491242</v>
      </c>
      <c r="M169" s="1">
        <v>23.359025058656808</v>
      </c>
      <c r="N169" s="1">
        <v>25.214989442040775</v>
      </c>
      <c r="O169" s="1">
        <v>25.411411425224308</v>
      </c>
      <c r="P169" s="1">
        <v>25.806500958507968</v>
      </c>
      <c r="Q169" s="1">
        <v>26.364462730685286</v>
      </c>
      <c r="R169" s="1">
        <v>26.879321713732502</v>
      </c>
      <c r="S169" s="1">
        <v>27.218083538895375</v>
      </c>
      <c r="T169" s="1">
        <v>27.580928377520628</v>
      </c>
      <c r="U169" s="1">
        <v>27.955702577431136</v>
      </c>
      <c r="V169" s="1">
        <v>28.420899417772038</v>
      </c>
      <c r="W169" s="1">
        <v>28.921589086405714</v>
      </c>
      <c r="X169" s="1">
        <v>29.453946420571462</v>
      </c>
      <c r="Y169" s="1">
        <v>30.042706456944732</v>
      </c>
      <c r="Z169" s="1">
        <v>30.623346534178811</v>
      </c>
      <c r="AA169" s="1">
        <v>31.169790627932933</v>
      </c>
      <c r="AB169" s="1">
        <v>31.605430546470973</v>
      </c>
      <c r="AC169" s="1">
        <v>31.911400249672642</v>
      </c>
      <c r="AD169" s="1">
        <v>32.134375766533253</v>
      </c>
      <c r="AE169" s="1">
        <v>32.249421055872993</v>
      </c>
      <c r="AF169" s="1">
        <v>32.253663227430941</v>
      </c>
      <c r="AG169" s="1">
        <v>32.16943495151051</v>
      </c>
      <c r="AH169" s="1">
        <v>31.916596106380851</v>
      </c>
      <c r="AI169" s="1">
        <v>31.338229178405491</v>
      </c>
      <c r="AJ169" s="1">
        <v>30.917121568624037</v>
      </c>
      <c r="AK169" s="1">
        <v>30.458198839186224</v>
      </c>
      <c r="AL169" s="1">
        <v>30.003970524087528</v>
      </c>
      <c r="AM169" s="1">
        <v>29.453872998262057</v>
      </c>
      <c r="AN169" s="1">
        <v>28.900813665579111</v>
      </c>
    </row>
    <row r="170" spans="1:40" x14ac:dyDescent="0.25">
      <c r="A170" t="s">
        <v>28</v>
      </c>
      <c r="B170" t="s">
        <v>22</v>
      </c>
      <c r="C170" t="s">
        <v>16</v>
      </c>
      <c r="D170" t="s">
        <v>2</v>
      </c>
      <c r="E170" s="1">
        <v>57.10195563189766</v>
      </c>
      <c r="F170" s="1">
        <v>58.109644804647566</v>
      </c>
      <c r="G170" s="1">
        <v>56.539993919009085</v>
      </c>
      <c r="H170" s="1">
        <v>54.165096607133897</v>
      </c>
      <c r="I170" s="1">
        <v>50.636177106927789</v>
      </c>
      <c r="J170" s="1">
        <v>49.826752671620611</v>
      </c>
      <c r="K170" s="1">
        <v>49.812838004560298</v>
      </c>
      <c r="L170" s="1">
        <v>53.755157260830487</v>
      </c>
      <c r="M170" s="1">
        <v>53.655704920582046</v>
      </c>
      <c r="N170" s="1">
        <v>55.520476685493328</v>
      </c>
      <c r="O170" s="1">
        <v>55.17617025996104</v>
      </c>
      <c r="P170" s="1">
        <v>54.308586623302865</v>
      </c>
      <c r="Q170" s="1">
        <v>53.323835257693034</v>
      </c>
      <c r="R170" s="1">
        <v>52.387331732166096</v>
      </c>
      <c r="S170" s="1">
        <v>51.50211259503557</v>
      </c>
      <c r="T170" s="1">
        <v>50.707354866423387</v>
      </c>
      <c r="U170" s="1">
        <v>50.003203705641752</v>
      </c>
      <c r="V170" s="1">
        <v>49.44149617399944</v>
      </c>
      <c r="W170" s="1">
        <v>48.983219692381574</v>
      </c>
      <c r="X170" s="1">
        <v>48.639595623553866</v>
      </c>
      <c r="Y170" s="1">
        <v>48.377682614170432</v>
      </c>
      <c r="Z170" s="1">
        <v>48.156630055276068</v>
      </c>
      <c r="AA170" s="1">
        <v>47.944261292912273</v>
      </c>
      <c r="AB170" s="1">
        <v>47.669786734244653</v>
      </c>
      <c r="AC170" s="1">
        <v>47.242941050961782</v>
      </c>
      <c r="AD170" s="1">
        <v>46.693271603884689</v>
      </c>
      <c r="AE170" s="1">
        <v>46.085325688752121</v>
      </c>
      <c r="AF170" s="1">
        <v>45.391879183666944</v>
      </c>
      <c r="AG170" s="1">
        <v>44.635063589017712</v>
      </c>
      <c r="AH170" s="1">
        <v>43.850293961180427</v>
      </c>
      <c r="AI170" s="1">
        <v>43.062421381061696</v>
      </c>
      <c r="AJ170" s="1">
        <v>42.30102318969395</v>
      </c>
      <c r="AK170" s="1">
        <v>41.4173413195861</v>
      </c>
      <c r="AL170" s="1">
        <v>40.579841658438625</v>
      </c>
      <c r="AM170" s="1">
        <v>39.735109941202886</v>
      </c>
      <c r="AN170" s="1">
        <v>38.875813652537154</v>
      </c>
    </row>
    <row r="171" spans="1:40" x14ac:dyDescent="0.25">
      <c r="A171" t="s">
        <v>28</v>
      </c>
      <c r="B171" t="s">
        <v>22</v>
      </c>
      <c r="C171" t="s">
        <v>16</v>
      </c>
      <c r="D171" t="s">
        <v>3</v>
      </c>
      <c r="E171" s="1">
        <v>9.2594938219321313E-2</v>
      </c>
      <c r="F171" s="1">
        <v>9.8221293765502274E-2</v>
      </c>
      <c r="G171" s="1">
        <v>0.10386456852088388</v>
      </c>
      <c r="H171" s="1">
        <v>0.11823022869017348</v>
      </c>
      <c r="I171" s="1">
        <v>0.1712979077729733</v>
      </c>
      <c r="J171" s="1">
        <v>0.18020441126618261</v>
      </c>
      <c r="K171" s="1">
        <v>0.19300039599913024</v>
      </c>
      <c r="L171" s="1">
        <v>0.19300039599913024</v>
      </c>
      <c r="M171" s="1">
        <v>0.19300039599913024</v>
      </c>
      <c r="N171" s="1">
        <v>0.19300039599913027</v>
      </c>
      <c r="O171" s="1">
        <v>0.19300039599913027</v>
      </c>
      <c r="P171" s="1">
        <v>0.52501556245978909</v>
      </c>
      <c r="Q171" s="1">
        <v>0.52480007009493779</v>
      </c>
      <c r="R171" s="1">
        <v>0.52559319146215311</v>
      </c>
      <c r="S171" s="1">
        <v>0.53750212868747593</v>
      </c>
      <c r="T171" s="1">
        <v>0.57172325959415426</v>
      </c>
      <c r="U171" s="1">
        <v>0.59408721080067228</v>
      </c>
      <c r="V171" s="1">
        <v>0.61047636700118779</v>
      </c>
      <c r="W171" s="1">
        <v>0.62264548177012613</v>
      </c>
      <c r="X171" s="1">
        <v>0.63089162463146364</v>
      </c>
      <c r="Y171" s="1">
        <v>0.63654226601469077</v>
      </c>
      <c r="Z171" s="1">
        <v>0.63871488234167806</v>
      </c>
      <c r="AA171" s="1">
        <v>0.63419204069307866</v>
      </c>
      <c r="AB171" s="1">
        <v>0.62490187094645266</v>
      </c>
      <c r="AC171" s="1">
        <v>0.6139740198436614</v>
      </c>
      <c r="AD171" s="1">
        <v>0.60175535857293805</v>
      </c>
      <c r="AE171" s="1">
        <v>0.58982675440988308</v>
      </c>
      <c r="AF171" s="1">
        <v>0.57644298311896358</v>
      </c>
      <c r="AG171" s="1">
        <v>0.5602654558164385</v>
      </c>
      <c r="AH171" s="1">
        <v>0.54316883225258361</v>
      </c>
      <c r="AI171" s="1">
        <v>0.52661691527868959</v>
      </c>
      <c r="AJ171" s="1">
        <v>0.51059142645658129</v>
      </c>
      <c r="AK171" s="1">
        <v>0.49507459532398479</v>
      </c>
      <c r="AL171" s="1">
        <v>0.47860049536339294</v>
      </c>
      <c r="AM171" s="1">
        <v>0.4614968918096391</v>
      </c>
      <c r="AN171" s="1">
        <v>0.4450214836702413</v>
      </c>
    </row>
    <row r="172" spans="1:40" x14ac:dyDescent="0.25">
      <c r="A172" t="s">
        <v>27</v>
      </c>
      <c r="B172" t="s">
        <v>22</v>
      </c>
      <c r="C172" t="s">
        <v>0</v>
      </c>
      <c r="D172" t="s">
        <v>23</v>
      </c>
      <c r="E172" s="2">
        <v>412.32154414029498</v>
      </c>
      <c r="F172" s="2">
        <v>440.21519007120355</v>
      </c>
      <c r="G172" s="2">
        <v>457.95667866186193</v>
      </c>
      <c r="H172" s="2">
        <v>448.22719514065324</v>
      </c>
      <c r="I172" s="2">
        <v>454.58081198371809</v>
      </c>
      <c r="J172" s="2">
        <v>474.43830133392009</v>
      </c>
      <c r="K172" s="2">
        <v>500.17762886928222</v>
      </c>
      <c r="L172" s="2">
        <v>536.68146255684792</v>
      </c>
      <c r="M172" s="2">
        <v>576.71551782489382</v>
      </c>
      <c r="N172" s="1">
        <v>617.83834563279288</v>
      </c>
      <c r="O172" s="1">
        <v>649.57147047022625</v>
      </c>
      <c r="P172" s="1">
        <v>693.82514586746311</v>
      </c>
      <c r="Q172" s="1">
        <v>730.89297015261502</v>
      </c>
      <c r="R172" s="1">
        <v>757.87969354455743</v>
      </c>
      <c r="S172" s="1">
        <v>771.20039741819392</v>
      </c>
      <c r="T172" s="1">
        <v>774.16503716952809</v>
      </c>
      <c r="U172" s="1">
        <v>781.75859348122003</v>
      </c>
      <c r="V172" s="1">
        <v>798.27556141648756</v>
      </c>
      <c r="W172" s="1">
        <v>818.58345088416741</v>
      </c>
      <c r="X172" s="1">
        <v>839.27963368207702</v>
      </c>
      <c r="Y172" s="1">
        <v>867.92972375350803</v>
      </c>
      <c r="Z172" s="1">
        <v>877.87858079865293</v>
      </c>
      <c r="AA172" s="1">
        <v>888.01357496747301</v>
      </c>
      <c r="AB172" s="1">
        <v>898.93936353580318</v>
      </c>
      <c r="AC172" s="1">
        <v>908.42134651975107</v>
      </c>
      <c r="AD172" s="1">
        <v>916.83640039405236</v>
      </c>
      <c r="AE172" s="1">
        <v>924.16027736660112</v>
      </c>
      <c r="AF172" s="1">
        <v>930.26531520364074</v>
      </c>
      <c r="AG172" s="1">
        <v>935.10091780180176</v>
      </c>
      <c r="AH172" s="1">
        <v>940.60324416771221</v>
      </c>
      <c r="AI172" s="1">
        <v>944.69184806525664</v>
      </c>
      <c r="AJ172" s="1">
        <v>949.60011649283547</v>
      </c>
      <c r="AK172" s="1">
        <v>952.49073035268009</v>
      </c>
      <c r="AL172" s="1">
        <v>954.25609729056168</v>
      </c>
      <c r="AM172" s="1">
        <v>955.53970021268844</v>
      </c>
      <c r="AN172" s="1">
        <v>957.51910907540241</v>
      </c>
    </row>
    <row r="173" spans="1:40" x14ac:dyDescent="0.25">
      <c r="A173" t="s">
        <v>27</v>
      </c>
      <c r="B173" t="s">
        <v>22</v>
      </c>
      <c r="C173" t="s">
        <v>0</v>
      </c>
      <c r="D173" t="s">
        <v>1</v>
      </c>
      <c r="E173" s="2">
        <v>128.28831168826017</v>
      </c>
      <c r="F173" s="2">
        <v>126.34478897909185</v>
      </c>
      <c r="G173" s="2">
        <v>135.93874712035935</v>
      </c>
      <c r="H173" s="2">
        <v>135.62362013430291</v>
      </c>
      <c r="I173" s="2">
        <v>120.25932487977946</v>
      </c>
      <c r="J173" s="2">
        <v>122.30510334305794</v>
      </c>
      <c r="K173" s="2">
        <v>127.59119701118857</v>
      </c>
      <c r="L173" s="2">
        <v>131.12738866479708</v>
      </c>
      <c r="M173" s="2">
        <v>142.6632043022199</v>
      </c>
      <c r="N173" s="1">
        <v>141.65565775841318</v>
      </c>
      <c r="O173" s="1">
        <v>139.78991072572364</v>
      </c>
      <c r="P173" s="1">
        <v>144.63199443563724</v>
      </c>
      <c r="Q173" s="1">
        <v>142.13749220996743</v>
      </c>
      <c r="R173" s="1">
        <v>151.86725980242463</v>
      </c>
      <c r="S173" s="1">
        <v>152.58066001465306</v>
      </c>
      <c r="T173" s="1">
        <v>145.71406554768132</v>
      </c>
      <c r="U173" s="1">
        <v>144.48686558612775</v>
      </c>
      <c r="V173" s="1">
        <v>145.92067295014397</v>
      </c>
      <c r="W173" s="1">
        <v>141.22130835209643</v>
      </c>
      <c r="X173" s="1">
        <v>141.88585967617107</v>
      </c>
      <c r="Y173" s="1">
        <v>156.52383444462012</v>
      </c>
      <c r="Z173" s="1">
        <v>151.62538847920212</v>
      </c>
      <c r="AA173" s="1">
        <v>147.15496473032835</v>
      </c>
      <c r="AB173" s="1">
        <v>144.33590320822799</v>
      </c>
      <c r="AC173" s="1">
        <v>142.51534333564297</v>
      </c>
      <c r="AD173" s="1">
        <v>140.98056935424108</v>
      </c>
      <c r="AE173" s="1">
        <v>137.89458528654129</v>
      </c>
      <c r="AF173" s="1">
        <v>134.09664986506766</v>
      </c>
      <c r="AG173" s="1">
        <v>131.1733592552813</v>
      </c>
      <c r="AH173" s="1">
        <v>129.93063425639411</v>
      </c>
      <c r="AI173" s="1">
        <v>126.59898813234332</v>
      </c>
      <c r="AJ173" s="1">
        <v>124.24959967903705</v>
      </c>
      <c r="AK173" s="1">
        <v>121.86297733289717</v>
      </c>
      <c r="AL173" s="1">
        <v>119.10627581450359</v>
      </c>
      <c r="AM173" s="1">
        <v>116.31599144462902</v>
      </c>
      <c r="AN173" s="1">
        <v>114.45379182939327</v>
      </c>
    </row>
    <row r="174" spans="1:40" x14ac:dyDescent="0.25">
      <c r="A174" t="s">
        <v>27</v>
      </c>
      <c r="B174" t="s">
        <v>22</v>
      </c>
      <c r="C174" t="s">
        <v>0</v>
      </c>
      <c r="D174" t="s">
        <v>2</v>
      </c>
      <c r="E174" s="2">
        <v>88.501955631897658</v>
      </c>
      <c r="F174" s="2">
        <v>87.309644804647562</v>
      </c>
      <c r="G174" s="2">
        <v>84.839993919009089</v>
      </c>
      <c r="H174" s="2">
        <v>78.965096607133901</v>
      </c>
      <c r="I174" s="2">
        <v>73.336177106927792</v>
      </c>
      <c r="J174" s="2">
        <v>72.126752671620608</v>
      </c>
      <c r="K174" s="2">
        <v>72.012838004560294</v>
      </c>
      <c r="L174" s="2">
        <v>77.055157260830484</v>
      </c>
      <c r="M174" s="2">
        <v>77.95570492058205</v>
      </c>
      <c r="N174" s="1">
        <v>79.872764288036109</v>
      </c>
      <c r="O174" s="1">
        <v>78.98950531882798</v>
      </c>
      <c r="P174" s="1">
        <v>77.430024972501855</v>
      </c>
      <c r="Q174" s="1">
        <v>75.778154094307723</v>
      </c>
      <c r="R174" s="1">
        <v>74.241499345485636</v>
      </c>
      <c r="S174" s="1">
        <v>72.845370809960897</v>
      </c>
      <c r="T174" s="1">
        <v>71.609510295228148</v>
      </c>
      <c r="U174" s="1">
        <v>70.534706378417781</v>
      </c>
      <c r="V174" s="1">
        <v>69.673523969239</v>
      </c>
      <c r="W174" s="1">
        <v>68.980745470841484</v>
      </c>
      <c r="X174" s="1">
        <v>68.461920696270738</v>
      </c>
      <c r="Y174" s="1">
        <v>68.081302749634645</v>
      </c>
      <c r="Z174" s="1">
        <v>67.782224117965072</v>
      </c>
      <c r="AA174" s="1">
        <v>67.513095551443911</v>
      </c>
      <c r="AB174" s="1">
        <v>67.173977950524375</v>
      </c>
      <c r="AC174" s="1">
        <v>66.650099817062411</v>
      </c>
      <c r="AD174" s="1">
        <v>65.96477247748777</v>
      </c>
      <c r="AE174" s="1">
        <v>65.182865429422151</v>
      </c>
      <c r="AF174" s="1">
        <v>64.272991938998231</v>
      </c>
      <c r="AG174" s="1">
        <v>63.250723517534354</v>
      </c>
      <c r="AH174" s="1">
        <v>62.185728493532523</v>
      </c>
      <c r="AI174" s="1">
        <v>61.056788513933256</v>
      </c>
      <c r="AJ174" s="1">
        <v>59.989329753640689</v>
      </c>
      <c r="AK174" s="1">
        <v>58.793396199147885</v>
      </c>
      <c r="AL174" s="1">
        <v>57.65395573526289</v>
      </c>
      <c r="AM174" s="1">
        <v>56.4968027314723</v>
      </c>
      <c r="AN174" s="1">
        <v>55.317894944722227</v>
      </c>
    </row>
    <row r="175" spans="1:40" x14ac:dyDescent="0.25">
      <c r="A175" t="s">
        <v>27</v>
      </c>
      <c r="B175" t="s">
        <v>22</v>
      </c>
      <c r="C175" t="s">
        <v>0</v>
      </c>
      <c r="D175" t="s">
        <v>3</v>
      </c>
      <c r="E175" s="2">
        <v>24.138661203698771</v>
      </c>
      <c r="F175" s="2">
        <v>24.807371355957283</v>
      </c>
      <c r="G175" s="2">
        <v>24.533500362219502</v>
      </c>
      <c r="H175" s="2">
        <v>23.111416481408192</v>
      </c>
      <c r="I175" s="2">
        <v>21.391199312079344</v>
      </c>
      <c r="J175" s="2">
        <v>20.997480935679917</v>
      </c>
      <c r="K175" s="2">
        <v>20.557344812437488</v>
      </c>
      <c r="L175" s="2">
        <v>20.096138549028552</v>
      </c>
      <c r="M175" s="2">
        <v>21.143769971954924</v>
      </c>
      <c r="N175" s="1">
        <v>24.896597558946336</v>
      </c>
      <c r="O175" s="1">
        <v>25.307240707547983</v>
      </c>
      <c r="P175" s="1">
        <v>25.241427175906736</v>
      </c>
      <c r="Q175" s="1">
        <v>25.318623579991037</v>
      </c>
      <c r="R175" s="1">
        <v>25.357664682329649</v>
      </c>
      <c r="S175" s="1">
        <v>25.534526696429079</v>
      </c>
      <c r="T175" s="1">
        <v>25.829416768050958</v>
      </c>
      <c r="U175" s="1">
        <v>26.194609267298461</v>
      </c>
      <c r="V175" s="1">
        <v>26.516669725794987</v>
      </c>
      <c r="W175" s="1">
        <v>26.751694404028171</v>
      </c>
      <c r="X175" s="1">
        <v>26.929364217800295</v>
      </c>
      <c r="Y175" s="1">
        <v>27.00667978434689</v>
      </c>
      <c r="Z175" s="1">
        <v>27.007555306893511</v>
      </c>
      <c r="AA175" s="1">
        <v>26.964272159911474</v>
      </c>
      <c r="AB175" s="1">
        <v>26.879499858122671</v>
      </c>
      <c r="AC175" s="1">
        <v>26.773838000409285</v>
      </c>
      <c r="AD175" s="1">
        <v>26.643653794124557</v>
      </c>
      <c r="AE175" s="1">
        <v>26.496694003291168</v>
      </c>
      <c r="AF175" s="1">
        <v>26.355768599914676</v>
      </c>
      <c r="AG175" s="1">
        <v>26.203881189206186</v>
      </c>
      <c r="AH175" s="1">
        <v>26.029072780208573</v>
      </c>
      <c r="AI175" s="1">
        <v>25.834319499575393</v>
      </c>
      <c r="AJ175" s="1">
        <v>25.601257158364188</v>
      </c>
      <c r="AK175" s="1">
        <v>25.352868233003047</v>
      </c>
      <c r="AL175" s="1">
        <v>25.081168206784422</v>
      </c>
      <c r="AM175" s="1">
        <v>24.809747078222067</v>
      </c>
      <c r="AN175" s="1">
        <v>24.531189586170488</v>
      </c>
    </row>
    <row r="176" spans="1:40" x14ac:dyDescent="0.25">
      <c r="A176" t="s">
        <v>27</v>
      </c>
      <c r="B176" t="s">
        <v>22</v>
      </c>
      <c r="C176" t="s">
        <v>0</v>
      </c>
      <c r="D176" t="s">
        <v>4</v>
      </c>
      <c r="E176" s="2">
        <v>2.0926156164383563</v>
      </c>
      <c r="F176" s="2">
        <v>2.3533849315068487</v>
      </c>
      <c r="G176" s="2">
        <v>2.7444372602739726</v>
      </c>
      <c r="H176" s="2">
        <v>3.1270619178082191</v>
      </c>
      <c r="I176" s="2">
        <v>2.894110684931507</v>
      </c>
      <c r="J176" s="2">
        <v>2.7089643835616446</v>
      </c>
      <c r="K176" s="2">
        <v>2.8162490410958907</v>
      </c>
      <c r="L176" s="2">
        <v>2.9027780821917806</v>
      </c>
      <c r="M176" s="2">
        <v>3.5528386301369865</v>
      </c>
      <c r="N176" s="1">
        <v>5.2133260273972599</v>
      </c>
      <c r="O176" s="1">
        <v>5.6635654476805035</v>
      </c>
      <c r="P176" s="1">
        <v>5.6436872232848465</v>
      </c>
      <c r="Q176" s="1">
        <v>5.6257511624015439</v>
      </c>
      <c r="R176" s="1">
        <v>5.6132599449912597</v>
      </c>
      <c r="S176" s="1">
        <v>5.5273573647983856</v>
      </c>
      <c r="T176" s="1">
        <v>5.4384441297163022</v>
      </c>
      <c r="U176" s="1">
        <v>5.4430360141226508</v>
      </c>
      <c r="V176" s="1">
        <v>5.5404687263155079</v>
      </c>
      <c r="W176" s="1">
        <v>5.643740306788116</v>
      </c>
      <c r="X176" s="1">
        <v>5.744029268889598</v>
      </c>
      <c r="Y176" s="1">
        <v>5.8694781313914062</v>
      </c>
      <c r="Z176" s="1">
        <v>5.9959124138235849</v>
      </c>
      <c r="AA176" s="1">
        <v>6.1218494456415442</v>
      </c>
      <c r="AB176" s="1">
        <v>6.2363562388252376</v>
      </c>
      <c r="AC176" s="1">
        <v>6.3264529042665441</v>
      </c>
      <c r="AD176" s="1">
        <v>6.3917476618366242</v>
      </c>
      <c r="AE176" s="1">
        <v>6.4331866865192611</v>
      </c>
      <c r="AF176" s="1">
        <v>6.4496810568037723</v>
      </c>
      <c r="AG176" s="1">
        <v>6.4395124533276178</v>
      </c>
      <c r="AH176" s="1">
        <v>6.4201773480965683</v>
      </c>
      <c r="AI176" s="1">
        <v>6.3739766845557835</v>
      </c>
      <c r="AJ176" s="1">
        <v>6.3265216503753141</v>
      </c>
      <c r="AK176" s="1">
        <v>6.2732923244956602</v>
      </c>
      <c r="AL176" s="1">
        <v>6.2189509254925524</v>
      </c>
      <c r="AM176" s="1">
        <v>6.1529905286416078</v>
      </c>
      <c r="AN176" s="1">
        <v>6.078537227929897</v>
      </c>
    </row>
    <row r="177" spans="1:40" x14ac:dyDescent="0.25">
      <c r="A177" t="s">
        <v>27</v>
      </c>
      <c r="B177" t="s">
        <v>22</v>
      </c>
      <c r="C177" t="s">
        <v>0</v>
      </c>
      <c r="D177" t="s">
        <v>5</v>
      </c>
      <c r="E177" s="2">
        <v>99.6</v>
      </c>
      <c r="F177" s="2">
        <v>120.9</v>
      </c>
      <c r="G177" s="2">
        <v>124.7</v>
      </c>
      <c r="H177" s="2">
        <v>114.7</v>
      </c>
      <c r="I177" s="2">
        <v>131.19999999999999</v>
      </c>
      <c r="J177" s="2">
        <v>136.19999999999999</v>
      </c>
      <c r="K177" s="2">
        <v>141.80000000000001</v>
      </c>
      <c r="L177" s="2">
        <v>147.80000000000001</v>
      </c>
      <c r="M177" s="2">
        <v>155.19999999999999</v>
      </c>
      <c r="N177" s="1">
        <v>165</v>
      </c>
      <c r="O177" s="1">
        <v>179.82124827044612</v>
      </c>
      <c r="P177" s="1">
        <v>200.07385662465876</v>
      </c>
      <c r="Q177" s="1">
        <v>216.87670618151901</v>
      </c>
      <c r="R177" s="1">
        <v>225.30758012041434</v>
      </c>
      <c r="S177" s="1">
        <v>232.51561272951648</v>
      </c>
      <c r="T177" s="1">
        <v>234.45785497924538</v>
      </c>
      <c r="U177" s="1">
        <v>234.5770539620807</v>
      </c>
      <c r="V177" s="1">
        <v>236.86567443251937</v>
      </c>
      <c r="W177" s="1">
        <v>242.3600463707416</v>
      </c>
      <c r="X177" s="1">
        <v>246.2241969260686</v>
      </c>
      <c r="Y177" s="1">
        <v>247.45475113122171</v>
      </c>
      <c r="Z177" s="1">
        <v>248.1699450282338</v>
      </c>
      <c r="AA177" s="1">
        <v>249.65923114318838</v>
      </c>
      <c r="AB177" s="1">
        <v>251.34204031262854</v>
      </c>
      <c r="AC177" s="1">
        <v>251.67860214651662</v>
      </c>
      <c r="AD177" s="1">
        <v>251.67860214651662</v>
      </c>
      <c r="AE177" s="1">
        <v>253.02484948206876</v>
      </c>
      <c r="AF177" s="1">
        <v>254.70765865150895</v>
      </c>
      <c r="AG177" s="1">
        <v>255.04422048539695</v>
      </c>
      <c r="AH177" s="1">
        <v>255.04422048539695</v>
      </c>
      <c r="AI177" s="1">
        <v>256.39046782094914</v>
      </c>
      <c r="AJ177" s="1">
        <v>258.07327699038933</v>
      </c>
      <c r="AK177" s="1">
        <v>258.40983882427736</v>
      </c>
      <c r="AL177" s="1">
        <v>258.40983882427736</v>
      </c>
      <c r="AM177" s="1">
        <v>258.40983882427736</v>
      </c>
      <c r="AN177" s="1">
        <v>258.40983882427736</v>
      </c>
    </row>
    <row r="178" spans="1:40" x14ac:dyDescent="0.25">
      <c r="A178" t="s">
        <v>27</v>
      </c>
      <c r="B178" t="s">
        <v>22</v>
      </c>
      <c r="C178" t="s">
        <v>0</v>
      </c>
      <c r="D178" t="s">
        <v>6</v>
      </c>
      <c r="E178" s="2">
        <v>69.7</v>
      </c>
      <c r="F178" s="2">
        <v>78.5</v>
      </c>
      <c r="G178" s="2">
        <v>85.2</v>
      </c>
      <c r="H178" s="2">
        <v>92.7</v>
      </c>
      <c r="I178" s="2">
        <v>105.5</v>
      </c>
      <c r="J178" s="2">
        <v>120.1</v>
      </c>
      <c r="K178" s="2">
        <v>135.4</v>
      </c>
      <c r="L178" s="2">
        <v>157.69999999999999</v>
      </c>
      <c r="M178" s="2">
        <v>176.2</v>
      </c>
      <c r="N178" s="1">
        <v>201.2</v>
      </c>
      <c r="O178" s="1">
        <v>220</v>
      </c>
      <c r="P178" s="1">
        <v>240.8041554354736</v>
      </c>
      <c r="Q178" s="1">
        <v>265.15624292442828</v>
      </c>
      <c r="R178" s="1">
        <v>275.49242964891192</v>
      </c>
      <c r="S178" s="1">
        <v>282.19686980283592</v>
      </c>
      <c r="T178" s="1">
        <v>291.11574544960598</v>
      </c>
      <c r="U178" s="1">
        <v>300.52232227317268</v>
      </c>
      <c r="V178" s="1">
        <v>313.75855161247466</v>
      </c>
      <c r="W178" s="1">
        <v>333.62591597967156</v>
      </c>
      <c r="X178" s="1">
        <v>350.03426289687673</v>
      </c>
      <c r="Y178" s="1">
        <v>362.99367751229323</v>
      </c>
      <c r="Z178" s="1">
        <v>377.29755545253482</v>
      </c>
      <c r="AA178" s="1">
        <v>390.60016193695941</v>
      </c>
      <c r="AB178" s="1">
        <v>402.97158596747437</v>
      </c>
      <c r="AC178" s="1">
        <v>414.47701031585331</v>
      </c>
      <c r="AD178" s="1">
        <v>425.17705495984569</v>
      </c>
      <c r="AE178" s="1">
        <v>435.12809647875855</v>
      </c>
      <c r="AF178" s="1">
        <v>444.38256509134749</v>
      </c>
      <c r="AG178" s="1">
        <v>452.98922090105532</v>
      </c>
      <c r="AH178" s="1">
        <v>460.99341080408351</v>
      </c>
      <c r="AI178" s="1">
        <v>468.43730741389976</v>
      </c>
      <c r="AJ178" s="1">
        <v>475.36013126102887</v>
      </c>
      <c r="AK178" s="1">
        <v>481.79835743885894</v>
      </c>
      <c r="AL178" s="1">
        <v>487.78590778424092</v>
      </c>
      <c r="AM178" s="1">
        <v>493.35432960544608</v>
      </c>
      <c r="AN178" s="1">
        <v>498.72785666290912</v>
      </c>
    </row>
    <row r="179" spans="1:40" x14ac:dyDescent="0.25">
      <c r="A179" t="s">
        <v>27</v>
      </c>
      <c r="B179" t="s">
        <v>22</v>
      </c>
      <c r="C179" t="s">
        <v>0</v>
      </c>
      <c r="D179" t="s">
        <v>7</v>
      </c>
      <c r="E179" s="2">
        <v>86.9</v>
      </c>
      <c r="F179" s="2">
        <v>104.6</v>
      </c>
      <c r="G179" s="2">
        <v>109.3</v>
      </c>
      <c r="H179" s="2">
        <v>103.9</v>
      </c>
      <c r="I179" s="2">
        <v>121.7</v>
      </c>
      <c r="J179" s="2">
        <v>126.3</v>
      </c>
      <c r="K179" s="2">
        <v>137.1</v>
      </c>
      <c r="L179" s="2">
        <v>145.19999999999999</v>
      </c>
      <c r="M179" s="2">
        <v>148.80000000000001</v>
      </c>
      <c r="N179" s="1">
        <v>151.69999999999999</v>
      </c>
      <c r="O179" s="1">
        <v>158.69999999999999</v>
      </c>
      <c r="P179" s="1">
        <v>161.87062937062939</v>
      </c>
      <c r="Q179" s="1">
        <v>167.94977749523204</v>
      </c>
      <c r="R179" s="1">
        <v>176.74666242848059</v>
      </c>
      <c r="S179" s="1">
        <v>183.58868404322951</v>
      </c>
      <c r="T179" s="1">
        <v>185.23958995549904</v>
      </c>
      <c r="U179" s="1">
        <v>185.34090909090909</v>
      </c>
      <c r="V179" s="1">
        <v>185.34090909090909</v>
      </c>
      <c r="W179" s="1">
        <v>186.48521932612843</v>
      </c>
      <c r="X179" s="1">
        <v>187.9156071201526</v>
      </c>
      <c r="Y179" s="1">
        <v>188.20168467895741</v>
      </c>
      <c r="Z179" s="1">
        <v>188.20168467895741</v>
      </c>
      <c r="AA179" s="1">
        <v>189.34599491417674</v>
      </c>
      <c r="AB179" s="1">
        <v>190.77638270820088</v>
      </c>
      <c r="AC179" s="1">
        <v>191.06246026700572</v>
      </c>
      <c r="AD179" s="1">
        <v>191.06246026700572</v>
      </c>
      <c r="AE179" s="1">
        <v>192.20677050222505</v>
      </c>
      <c r="AF179" s="1">
        <v>193.63715829624923</v>
      </c>
      <c r="AG179" s="1">
        <v>193.92323585505406</v>
      </c>
      <c r="AH179" s="1">
        <v>193.92323585505406</v>
      </c>
      <c r="AI179" s="1">
        <v>195.06754609027337</v>
      </c>
      <c r="AJ179" s="1">
        <v>196.49793388429754</v>
      </c>
      <c r="AK179" s="1">
        <v>196.78401144310234</v>
      </c>
      <c r="AL179" s="1">
        <v>196.78401144310234</v>
      </c>
      <c r="AM179" s="1">
        <v>196.78401144310234</v>
      </c>
      <c r="AN179" s="1">
        <v>196.78401144310234</v>
      </c>
    </row>
    <row r="180" spans="1:40" x14ac:dyDescent="0.25">
      <c r="A180" t="s">
        <v>27</v>
      </c>
      <c r="B180" t="s">
        <v>22</v>
      </c>
      <c r="C180" t="s">
        <v>8</v>
      </c>
      <c r="D180" t="s">
        <v>23</v>
      </c>
      <c r="E180" s="2">
        <v>282.20860407369861</v>
      </c>
      <c r="F180" s="2">
        <v>308.90460787041098</v>
      </c>
      <c r="G180" s="2">
        <v>316.64411771150685</v>
      </c>
      <c r="H180" s="2">
        <v>309.78232814821916</v>
      </c>
      <c r="I180" s="2">
        <v>331.01528414403236</v>
      </c>
      <c r="J180" s="2">
        <v>349.55594720934528</v>
      </c>
      <c r="K180" s="2">
        <v>374.75838962191779</v>
      </c>
      <c r="L180" s="2">
        <v>413.09346524712328</v>
      </c>
      <c r="M180" s="2">
        <v>444.75393532938045</v>
      </c>
      <c r="N180" s="1">
        <v>485.01773166914631</v>
      </c>
      <c r="O180" s="1">
        <v>517.72900008797012</v>
      </c>
      <c r="P180" s="1">
        <v>555.60577839078996</v>
      </c>
      <c r="Q180" s="1">
        <v>594.71863851591104</v>
      </c>
      <c r="R180" s="1">
        <v>611.67854214641216</v>
      </c>
      <c r="S180" s="1">
        <v>624.31150575855099</v>
      </c>
      <c r="T180" s="1">
        <v>634.32990228246786</v>
      </c>
      <c r="U180" s="1">
        <v>643.3644465765658</v>
      </c>
      <c r="V180" s="1">
        <v>658.72884573858801</v>
      </c>
      <c r="W180" s="1">
        <v>684.24667470547638</v>
      </c>
      <c r="X180" s="1">
        <v>704.96383714323099</v>
      </c>
      <c r="Y180" s="1">
        <v>719.82116027526854</v>
      </c>
      <c r="Z180" s="1">
        <v>735.61419331668026</v>
      </c>
      <c r="AA180" s="1">
        <v>751.21140266144528</v>
      </c>
      <c r="AB180" s="1">
        <v>765.95145988026275</v>
      </c>
      <c r="AC180" s="1">
        <v>778.22352356242379</v>
      </c>
      <c r="AD180" s="1">
        <v>789.06416478978974</v>
      </c>
      <c r="AE180" s="1">
        <v>800.22593408660669</v>
      </c>
      <c r="AF180" s="1">
        <v>810.75993355212313</v>
      </c>
      <c r="AG180" s="1">
        <v>818.98786223754337</v>
      </c>
      <c r="AH180" s="1">
        <v>826.16590937310309</v>
      </c>
      <c r="AI180" s="1">
        <v>833.81954178079855</v>
      </c>
      <c r="AJ180" s="1">
        <v>841.32851929832486</v>
      </c>
      <c r="AK180" s="1">
        <v>846.93215598315851</v>
      </c>
      <c r="AL180" s="1">
        <v>851.73759486385177</v>
      </c>
      <c r="AM180" s="1">
        <v>855.98164616855286</v>
      </c>
      <c r="AN180" s="1">
        <v>859.94371717349463</v>
      </c>
    </row>
    <row r="181" spans="1:40" x14ac:dyDescent="0.25">
      <c r="A181" t="s">
        <v>27</v>
      </c>
      <c r="B181" t="s">
        <v>22</v>
      </c>
      <c r="C181" t="s">
        <v>8</v>
      </c>
      <c r="D181" t="s">
        <v>1</v>
      </c>
      <c r="E181" s="2">
        <v>59.4</v>
      </c>
      <c r="F181" s="2">
        <v>57.2</v>
      </c>
      <c r="G181" s="2">
        <v>55.1</v>
      </c>
      <c r="H181" s="2">
        <v>55.1</v>
      </c>
      <c r="I181" s="2">
        <v>50.6</v>
      </c>
      <c r="J181" s="2">
        <v>50.7</v>
      </c>
      <c r="K181" s="2">
        <v>55.7</v>
      </c>
      <c r="L181" s="2">
        <v>65</v>
      </c>
      <c r="M181" s="2">
        <v>68.3</v>
      </c>
      <c r="N181" s="1">
        <v>69.48072267379213</v>
      </c>
      <c r="O181" s="1">
        <v>68.67669172254088</v>
      </c>
      <c r="P181" s="1">
        <v>66.808467376875811</v>
      </c>
      <c r="Q181" s="1">
        <v>65.588578333941413</v>
      </c>
      <c r="R181" s="1">
        <v>64.552873594348839</v>
      </c>
      <c r="S181" s="1">
        <v>63.870452266798274</v>
      </c>
      <c r="T181" s="1">
        <v>63.509300934898988</v>
      </c>
      <c r="U181" s="1">
        <v>63.376502839849209</v>
      </c>
      <c r="V181" s="1">
        <v>63.501849967079615</v>
      </c>
      <c r="W181" s="1">
        <v>63.891618257824796</v>
      </c>
      <c r="X181" s="1">
        <v>64.484367815491112</v>
      </c>
      <c r="Y181" s="1">
        <v>65.261382888389306</v>
      </c>
      <c r="Z181" s="1">
        <v>66.140495801419505</v>
      </c>
      <c r="AA181" s="1">
        <v>67.027017508491753</v>
      </c>
      <c r="AB181" s="1">
        <v>67.803176925774252</v>
      </c>
      <c r="AC181" s="1">
        <v>68.38385499856264</v>
      </c>
      <c r="AD181" s="1">
        <v>68.753461018030876</v>
      </c>
      <c r="AE181" s="1">
        <v>68.917877163827939</v>
      </c>
      <c r="AF181" s="1">
        <v>68.862684916953384</v>
      </c>
      <c r="AG181" s="1">
        <v>68.563009559308057</v>
      </c>
      <c r="AH181" s="1">
        <v>68.195810561883334</v>
      </c>
      <c r="AI181" s="1">
        <v>67.606943729126826</v>
      </c>
      <c r="AJ181" s="1">
        <v>67.048857696838596</v>
      </c>
      <c r="AK181" s="1">
        <v>66.433690122998215</v>
      </c>
      <c r="AL181" s="1">
        <v>65.813937634950733</v>
      </c>
      <c r="AM181" s="1">
        <v>65.064361683296781</v>
      </c>
      <c r="AN181" s="1">
        <v>64.242349089575171</v>
      </c>
    </row>
    <row r="182" spans="1:40" x14ac:dyDescent="0.25">
      <c r="A182" t="s">
        <v>27</v>
      </c>
      <c r="B182" t="s">
        <v>22</v>
      </c>
      <c r="C182" t="s">
        <v>8</v>
      </c>
      <c r="D182" t="s">
        <v>2</v>
      </c>
      <c r="E182" s="2">
        <v>31.4</v>
      </c>
      <c r="F182" s="2">
        <v>29.2</v>
      </c>
      <c r="G182" s="2">
        <v>28.3</v>
      </c>
      <c r="H182" s="2">
        <v>24.8</v>
      </c>
      <c r="I182" s="2">
        <v>22.7</v>
      </c>
      <c r="J182" s="2">
        <v>22.3</v>
      </c>
      <c r="K182" s="2">
        <v>22.2</v>
      </c>
      <c r="L182" s="2">
        <v>23.3</v>
      </c>
      <c r="M182" s="2">
        <v>24.3</v>
      </c>
      <c r="N182" s="1">
        <v>24.352287602542773</v>
      </c>
      <c r="O182" s="1">
        <v>23.813335058866937</v>
      </c>
      <c r="P182" s="1">
        <v>23.121438349198986</v>
      </c>
      <c r="Q182" s="1">
        <v>22.454318836614689</v>
      </c>
      <c r="R182" s="1">
        <v>21.854167613319532</v>
      </c>
      <c r="S182" s="1">
        <v>21.343258214925324</v>
      </c>
      <c r="T182" s="1">
        <v>20.902155428804768</v>
      </c>
      <c r="U182" s="1">
        <v>20.531502672776021</v>
      </c>
      <c r="V182" s="1">
        <v>20.232027795239564</v>
      </c>
      <c r="W182" s="1">
        <v>19.997525778459909</v>
      </c>
      <c r="X182" s="1">
        <v>19.822325072716875</v>
      </c>
      <c r="Y182" s="1">
        <v>19.703620135464213</v>
      </c>
      <c r="Z182" s="1">
        <v>19.625594062689</v>
      </c>
      <c r="AA182" s="1">
        <v>19.568834258531641</v>
      </c>
      <c r="AB182" s="1">
        <v>19.504191216279718</v>
      </c>
      <c r="AC182" s="1">
        <v>19.407158766100626</v>
      </c>
      <c r="AD182" s="1">
        <v>19.271500873603074</v>
      </c>
      <c r="AE182" s="1">
        <v>19.097539740670033</v>
      </c>
      <c r="AF182" s="1">
        <v>18.881112755331287</v>
      </c>
      <c r="AG182" s="1">
        <v>18.615659928516639</v>
      </c>
      <c r="AH182" s="1">
        <v>18.3354345323521</v>
      </c>
      <c r="AI182" s="1">
        <v>17.994367132871563</v>
      </c>
      <c r="AJ182" s="1">
        <v>17.688306563946735</v>
      </c>
      <c r="AK182" s="1">
        <v>17.376054879561785</v>
      </c>
      <c r="AL182" s="1">
        <v>17.074114076824266</v>
      </c>
      <c r="AM182" s="1">
        <v>16.761692790269414</v>
      </c>
      <c r="AN182" s="1">
        <v>16.442081292185076</v>
      </c>
    </row>
    <row r="183" spans="1:40" x14ac:dyDescent="0.25">
      <c r="A183" t="s">
        <v>27</v>
      </c>
      <c r="B183" t="s">
        <v>22</v>
      </c>
      <c r="C183" t="s">
        <v>8</v>
      </c>
      <c r="D183" t="s">
        <v>3</v>
      </c>
      <c r="E183" s="2">
        <v>20.565848731232876</v>
      </c>
      <c r="F183" s="2">
        <v>21.351348966301373</v>
      </c>
      <c r="G183" s="2">
        <v>21.25555168410958</v>
      </c>
      <c r="H183" s="2">
        <v>20.072068970136986</v>
      </c>
      <c r="I183" s="2">
        <v>18.837373459100888</v>
      </c>
      <c r="J183" s="2">
        <v>18.333695154550721</v>
      </c>
      <c r="K183" s="2">
        <v>17.721337841095892</v>
      </c>
      <c r="L183" s="2">
        <v>17.291944699178085</v>
      </c>
      <c r="M183" s="2">
        <v>18.159458343079081</v>
      </c>
      <c r="N183" s="1">
        <v>21.232762368426656</v>
      </c>
      <c r="O183" s="1">
        <v>21.709183683098988</v>
      </c>
      <c r="P183" s="1">
        <v>21.190203366231561</v>
      </c>
      <c r="Q183" s="1">
        <v>21.101009009374831</v>
      </c>
      <c r="R183" s="1">
        <v>20.985635995322632</v>
      </c>
      <c r="S183" s="1">
        <v>20.936308322067902</v>
      </c>
      <c r="T183" s="1">
        <v>20.915343239428161</v>
      </c>
      <c r="U183" s="1">
        <v>20.934733675335305</v>
      </c>
      <c r="V183" s="1">
        <v>20.941642033052549</v>
      </c>
      <c r="W183" s="1">
        <v>20.921420932856023</v>
      </c>
      <c r="X183" s="1">
        <v>20.91652857004118</v>
      </c>
      <c r="Y183" s="1">
        <v>20.883613931927059</v>
      </c>
      <c r="Z183" s="1">
        <v>20.8090161985265</v>
      </c>
      <c r="AA183" s="1">
        <v>20.736698868815541</v>
      </c>
      <c r="AB183" s="1">
        <v>20.669093904114114</v>
      </c>
      <c r="AC183" s="1">
        <v>20.584169165468225</v>
      </c>
      <c r="AD183" s="1">
        <v>20.470858896819781</v>
      </c>
      <c r="AE183" s="1">
        <v>20.336005854434749</v>
      </c>
      <c r="AF183" s="1">
        <v>20.207327151466465</v>
      </c>
      <c r="AG183" s="1">
        <v>20.073348847063812</v>
      </c>
      <c r="AH183" s="1">
        <v>19.914459219045469</v>
      </c>
      <c r="AI183" s="1">
        <v>19.73968072257842</v>
      </c>
      <c r="AJ183" s="1">
        <v>19.537308470492032</v>
      </c>
      <c r="AK183" s="1">
        <v>19.326795450820253</v>
      </c>
      <c r="AL183" s="1">
        <v>19.099843911271165</v>
      </c>
      <c r="AM183" s="1">
        <v>18.877947734365176</v>
      </c>
      <c r="AN183" s="1">
        <v>18.652504453710851</v>
      </c>
    </row>
    <row r="184" spans="1:40" x14ac:dyDescent="0.25">
      <c r="A184" t="s">
        <v>27</v>
      </c>
      <c r="B184" t="s">
        <v>22</v>
      </c>
      <c r="C184" t="s">
        <v>8</v>
      </c>
      <c r="D184" t="s">
        <v>4</v>
      </c>
      <c r="E184" s="2">
        <v>1.5427553424657536</v>
      </c>
      <c r="F184" s="2">
        <v>1.7532589041095885</v>
      </c>
      <c r="G184" s="2">
        <v>2.0885660273972602</v>
      </c>
      <c r="H184" s="2">
        <v>2.4102591780821916</v>
      </c>
      <c r="I184" s="2">
        <v>2.1779106849315073</v>
      </c>
      <c r="J184" s="2">
        <v>1.922252054794521</v>
      </c>
      <c r="K184" s="2">
        <v>1.9370517808219181</v>
      </c>
      <c r="L184" s="2">
        <v>2.0015205479452054</v>
      </c>
      <c r="M184" s="2">
        <v>2.5944769863013697</v>
      </c>
      <c r="N184" s="1">
        <v>3.7833260273972598</v>
      </c>
      <c r="O184" s="1">
        <v>3.7085413530172073</v>
      </c>
      <c r="P184" s="1">
        <v>3.6076572383512939</v>
      </c>
      <c r="Q184" s="1">
        <v>3.5417832300328365</v>
      </c>
      <c r="R184" s="1">
        <v>3.4858551740948371</v>
      </c>
      <c r="S184" s="1">
        <v>3.4490044224071066</v>
      </c>
      <c r="T184" s="1">
        <v>3.4295022504845454</v>
      </c>
      <c r="U184" s="1">
        <v>3.4223311533518572</v>
      </c>
      <c r="V184" s="1">
        <v>3.4290998982222991</v>
      </c>
      <c r="W184" s="1">
        <v>3.4501473859225391</v>
      </c>
      <c r="X184" s="1">
        <v>3.4821558620365201</v>
      </c>
      <c r="Y184" s="1">
        <v>3.5241146759730224</v>
      </c>
      <c r="Z184" s="1">
        <v>3.5715867732766533</v>
      </c>
      <c r="AA184" s="1">
        <v>3.6194589454585544</v>
      </c>
      <c r="AB184" s="1">
        <v>3.6613715539918097</v>
      </c>
      <c r="AC184" s="1">
        <v>3.6927281699223826</v>
      </c>
      <c r="AD184" s="1">
        <v>3.7126868949736673</v>
      </c>
      <c r="AE184" s="1">
        <v>3.7215653668467086</v>
      </c>
      <c r="AF184" s="1">
        <v>3.7185849855154829</v>
      </c>
      <c r="AG184" s="1">
        <v>3.7024025162026351</v>
      </c>
      <c r="AH184" s="1">
        <v>3.6825737703416999</v>
      </c>
      <c r="AI184" s="1">
        <v>3.6507749613728486</v>
      </c>
      <c r="AJ184" s="1">
        <v>3.6206383156292841</v>
      </c>
      <c r="AK184" s="1">
        <v>3.5874192666419034</v>
      </c>
      <c r="AL184" s="1">
        <v>3.5539526322873396</v>
      </c>
      <c r="AM184" s="1">
        <v>3.5134755308980261</v>
      </c>
      <c r="AN184" s="1">
        <v>3.4690868508370594</v>
      </c>
    </row>
    <row r="185" spans="1:40" x14ac:dyDescent="0.25">
      <c r="A185" t="s">
        <v>27</v>
      </c>
      <c r="B185" t="s">
        <v>22</v>
      </c>
      <c r="C185" t="s">
        <v>8</v>
      </c>
      <c r="D185" t="s">
        <v>5</v>
      </c>
      <c r="E185" s="2">
        <v>99.6</v>
      </c>
      <c r="F185" s="2">
        <v>120.9</v>
      </c>
      <c r="G185" s="2">
        <v>124.7</v>
      </c>
      <c r="H185" s="2">
        <v>114.7</v>
      </c>
      <c r="I185" s="2">
        <v>131.19999999999999</v>
      </c>
      <c r="J185" s="2">
        <v>136.19999999999999</v>
      </c>
      <c r="K185" s="2">
        <v>141.80000000000001</v>
      </c>
      <c r="L185" s="2">
        <v>147.80000000000001</v>
      </c>
      <c r="M185" s="2">
        <v>155.19999999999999</v>
      </c>
      <c r="N185" s="1">
        <v>165</v>
      </c>
      <c r="O185" s="1">
        <v>179.82124827044612</v>
      </c>
      <c r="P185" s="1">
        <v>200.07385662465876</v>
      </c>
      <c r="Q185" s="1">
        <v>216.87670618151901</v>
      </c>
      <c r="R185" s="1">
        <v>225.30758012041434</v>
      </c>
      <c r="S185" s="1">
        <v>232.51561272951648</v>
      </c>
      <c r="T185" s="1">
        <v>234.45785497924538</v>
      </c>
      <c r="U185" s="1">
        <v>234.5770539620807</v>
      </c>
      <c r="V185" s="1">
        <v>236.86567443251937</v>
      </c>
      <c r="W185" s="1">
        <v>242.3600463707416</v>
      </c>
      <c r="X185" s="1">
        <v>246.2241969260686</v>
      </c>
      <c r="Y185" s="1">
        <v>247.45475113122171</v>
      </c>
      <c r="Z185" s="1">
        <v>248.1699450282338</v>
      </c>
      <c r="AA185" s="1">
        <v>249.65923114318838</v>
      </c>
      <c r="AB185" s="1">
        <v>251.34204031262854</v>
      </c>
      <c r="AC185" s="1">
        <v>251.67860214651662</v>
      </c>
      <c r="AD185" s="1">
        <v>251.67860214651662</v>
      </c>
      <c r="AE185" s="1">
        <v>253.02484948206876</v>
      </c>
      <c r="AF185" s="1">
        <v>254.70765865150895</v>
      </c>
      <c r="AG185" s="1">
        <v>255.04422048539695</v>
      </c>
      <c r="AH185" s="1">
        <v>255.04422048539695</v>
      </c>
      <c r="AI185" s="1">
        <v>256.39046782094914</v>
      </c>
      <c r="AJ185" s="1">
        <v>258.07327699038933</v>
      </c>
      <c r="AK185" s="1">
        <v>258.40983882427736</v>
      </c>
      <c r="AL185" s="1">
        <v>258.40983882427736</v>
      </c>
      <c r="AM185" s="1">
        <v>258.40983882427736</v>
      </c>
      <c r="AN185" s="1">
        <v>258.40983882427736</v>
      </c>
    </row>
    <row r="186" spans="1:40" x14ac:dyDescent="0.25">
      <c r="A186" t="s">
        <v>27</v>
      </c>
      <c r="B186" t="s">
        <v>22</v>
      </c>
      <c r="C186" t="s">
        <v>8</v>
      </c>
      <c r="D186" t="s">
        <v>6</v>
      </c>
      <c r="E186" s="2">
        <v>69.7</v>
      </c>
      <c r="F186" s="2">
        <v>78.5</v>
      </c>
      <c r="G186" s="2">
        <v>85.2</v>
      </c>
      <c r="H186" s="2">
        <v>92.7</v>
      </c>
      <c r="I186" s="2">
        <v>105.5</v>
      </c>
      <c r="J186" s="2">
        <v>120.1</v>
      </c>
      <c r="K186" s="2">
        <v>135.4</v>
      </c>
      <c r="L186" s="2">
        <v>157.69999999999999</v>
      </c>
      <c r="M186" s="2">
        <v>176.2</v>
      </c>
      <c r="N186" s="1">
        <v>201.2</v>
      </c>
      <c r="O186" s="1">
        <v>220</v>
      </c>
      <c r="P186" s="1">
        <v>240.8041554354736</v>
      </c>
      <c r="Q186" s="1">
        <v>265.15624292442828</v>
      </c>
      <c r="R186" s="1">
        <v>275.49242964891192</v>
      </c>
      <c r="S186" s="1">
        <v>282.19686980283592</v>
      </c>
      <c r="T186" s="1">
        <v>291.11574544960598</v>
      </c>
      <c r="U186" s="1">
        <v>300.52232227317268</v>
      </c>
      <c r="V186" s="1">
        <v>313.75855161247466</v>
      </c>
      <c r="W186" s="1">
        <v>333.62591597967156</v>
      </c>
      <c r="X186" s="1">
        <v>350.03426289687673</v>
      </c>
      <c r="Y186" s="1">
        <v>362.99367751229323</v>
      </c>
      <c r="Z186" s="1">
        <v>377.29755545253482</v>
      </c>
      <c r="AA186" s="1">
        <v>390.60016193695941</v>
      </c>
      <c r="AB186" s="1">
        <v>402.97158596747437</v>
      </c>
      <c r="AC186" s="1">
        <v>414.47701031585331</v>
      </c>
      <c r="AD186" s="1">
        <v>425.17705495984569</v>
      </c>
      <c r="AE186" s="1">
        <v>435.12809647875855</v>
      </c>
      <c r="AF186" s="1">
        <v>444.38256509134749</v>
      </c>
      <c r="AG186" s="1">
        <v>452.98922090105532</v>
      </c>
      <c r="AH186" s="1">
        <v>460.99341080408351</v>
      </c>
      <c r="AI186" s="1">
        <v>468.43730741389976</v>
      </c>
      <c r="AJ186" s="1">
        <v>475.36013126102887</v>
      </c>
      <c r="AK186" s="1">
        <v>481.79835743885894</v>
      </c>
      <c r="AL186" s="1">
        <v>487.78590778424092</v>
      </c>
      <c r="AM186" s="1">
        <v>493.35432960544608</v>
      </c>
      <c r="AN186" s="1">
        <v>498.72785666290912</v>
      </c>
    </row>
    <row r="187" spans="1:40" x14ac:dyDescent="0.25">
      <c r="A187" t="s">
        <v>27</v>
      </c>
      <c r="B187" t="s">
        <v>22</v>
      </c>
      <c r="C187" t="s">
        <v>8</v>
      </c>
      <c r="D187" t="s">
        <v>7</v>
      </c>
      <c r="E187" s="2">
        <v>86.9</v>
      </c>
      <c r="F187" s="2">
        <v>104.6</v>
      </c>
      <c r="G187" s="2">
        <v>109.3</v>
      </c>
      <c r="H187" s="2">
        <v>103.9</v>
      </c>
      <c r="I187" s="2">
        <v>121.7</v>
      </c>
      <c r="J187" s="2">
        <v>126.3</v>
      </c>
      <c r="K187" s="2">
        <v>137.1</v>
      </c>
      <c r="L187" s="2">
        <v>145.19999999999999</v>
      </c>
      <c r="M187" s="2">
        <v>148.80000000000001</v>
      </c>
      <c r="N187" s="1">
        <v>151.69999999999999</v>
      </c>
      <c r="O187" s="1">
        <v>158.69999999999999</v>
      </c>
      <c r="P187" s="1">
        <v>161.87062937062939</v>
      </c>
      <c r="Q187" s="1">
        <v>167.94977749523204</v>
      </c>
      <c r="R187" s="1">
        <v>176.74666242848059</v>
      </c>
      <c r="S187" s="1">
        <v>183.58868404322951</v>
      </c>
      <c r="T187" s="1">
        <v>185.23958995549904</v>
      </c>
      <c r="U187" s="1">
        <v>185.34090909090909</v>
      </c>
      <c r="V187" s="1">
        <v>185.34090909090909</v>
      </c>
      <c r="W187" s="1">
        <v>186.48521932612843</v>
      </c>
      <c r="X187" s="1">
        <v>187.9156071201526</v>
      </c>
      <c r="Y187" s="1">
        <v>188.20168467895741</v>
      </c>
      <c r="Z187" s="1">
        <v>188.20168467895741</v>
      </c>
      <c r="AA187" s="1">
        <v>189.34599491417674</v>
      </c>
      <c r="AB187" s="1">
        <v>190.77638270820088</v>
      </c>
      <c r="AC187" s="1">
        <v>191.06246026700572</v>
      </c>
      <c r="AD187" s="1">
        <v>191.06246026700572</v>
      </c>
      <c r="AE187" s="1">
        <v>192.20677050222505</v>
      </c>
      <c r="AF187" s="1">
        <v>193.63715829624923</v>
      </c>
      <c r="AG187" s="1">
        <v>193.92323585505406</v>
      </c>
      <c r="AH187" s="1">
        <v>193.92323585505406</v>
      </c>
      <c r="AI187" s="1">
        <v>195.06754609027337</v>
      </c>
      <c r="AJ187" s="1">
        <v>196.49793388429754</v>
      </c>
      <c r="AK187" s="1">
        <v>196.78401144310234</v>
      </c>
      <c r="AL187" s="1">
        <v>196.78401144310234</v>
      </c>
      <c r="AM187" s="1">
        <v>196.78401144310234</v>
      </c>
      <c r="AN187" s="1">
        <v>196.78401144310234</v>
      </c>
    </row>
    <row r="188" spans="1:40" x14ac:dyDescent="0.25">
      <c r="A188" t="s">
        <v>27</v>
      </c>
      <c r="B188" t="s">
        <v>22</v>
      </c>
      <c r="C188" t="s">
        <v>9</v>
      </c>
      <c r="D188" t="s">
        <v>23</v>
      </c>
      <c r="E188" s="1">
        <v>7.2869805479452054</v>
      </c>
      <c r="F188" s="1">
        <v>6.622195616438356</v>
      </c>
      <c r="G188" s="1">
        <v>6.1339942465753419</v>
      </c>
      <c r="H188" s="1">
        <v>5.5603625479452052</v>
      </c>
      <c r="I188" s="1">
        <v>5.4598043835616439</v>
      </c>
      <c r="J188" s="1">
        <v>5.553782739726028</v>
      </c>
      <c r="K188" s="1">
        <v>5.9021945205479458</v>
      </c>
      <c r="L188" s="1">
        <v>6.3079616438356165</v>
      </c>
      <c r="M188" s="1">
        <v>6.5653643835616444</v>
      </c>
      <c r="N188" s="1">
        <v>7.872738992871974</v>
      </c>
      <c r="O188" s="1">
        <v>8.8373923294260504</v>
      </c>
      <c r="P188" s="1">
        <v>9.2269109969799779</v>
      </c>
      <c r="Q188" s="1">
        <v>9.559091149986898</v>
      </c>
      <c r="R188" s="1">
        <v>9.8646177808615025</v>
      </c>
      <c r="S188" s="1">
        <v>9.9521288390077807</v>
      </c>
      <c r="T188" s="1">
        <v>10.045660206363726</v>
      </c>
      <c r="U188" s="1">
        <v>10.421667433235832</v>
      </c>
      <c r="V188" s="1">
        <v>11.009571469475233</v>
      </c>
      <c r="W188" s="1">
        <v>11.515509246523671</v>
      </c>
      <c r="X188" s="1">
        <v>11.910652865308483</v>
      </c>
      <c r="Y188" s="1">
        <v>12.279425161221244</v>
      </c>
      <c r="Z188" s="1">
        <v>12.603230928547667</v>
      </c>
      <c r="AA188" s="1">
        <v>12.883838464103995</v>
      </c>
      <c r="AB188" s="1">
        <v>13.106438807845755</v>
      </c>
      <c r="AC188" s="1">
        <v>13.283747115405459</v>
      </c>
      <c r="AD188" s="1">
        <v>13.425914763148853</v>
      </c>
      <c r="AE188" s="1">
        <v>13.53362747355796</v>
      </c>
      <c r="AF188" s="1">
        <v>13.603270161433208</v>
      </c>
      <c r="AG188" s="1">
        <v>13.628234081392765</v>
      </c>
      <c r="AH188" s="1">
        <v>13.639481152380259</v>
      </c>
      <c r="AI188" s="1">
        <v>13.600960082820734</v>
      </c>
      <c r="AJ188" s="1">
        <v>13.542346162493349</v>
      </c>
      <c r="AK188" s="1">
        <v>13.46682852264939</v>
      </c>
      <c r="AL188" s="1">
        <v>13.382750016909974</v>
      </c>
      <c r="AM188" s="1">
        <v>13.280317027542377</v>
      </c>
      <c r="AN188" s="1">
        <v>13.159841991174501</v>
      </c>
    </row>
    <row r="189" spans="1:40" x14ac:dyDescent="0.25">
      <c r="A189" t="s">
        <v>27</v>
      </c>
      <c r="B189" t="s">
        <v>22</v>
      </c>
      <c r="C189" t="s">
        <v>9</v>
      </c>
      <c r="D189" t="s">
        <v>1</v>
      </c>
      <c r="E189" s="1">
        <v>5.3115068493150686</v>
      </c>
      <c r="F189" s="1">
        <v>4.5769863013698631</v>
      </c>
      <c r="G189" s="1">
        <v>4.18958904109589</v>
      </c>
      <c r="H189" s="1">
        <v>3.6761643835616438</v>
      </c>
      <c r="I189" s="1">
        <v>3.4863013698630136</v>
      </c>
      <c r="J189" s="1">
        <v>3.35</v>
      </c>
      <c r="K189" s="1">
        <v>3.24</v>
      </c>
      <c r="L189" s="1">
        <v>3.38</v>
      </c>
      <c r="M189" s="1">
        <v>3.1434000000000002</v>
      </c>
      <c r="N189" s="1">
        <v>3.4303115956117001</v>
      </c>
      <c r="O189" s="1">
        <v>3.9100481893265924</v>
      </c>
      <c r="P189" s="1">
        <v>4.0720599698671043</v>
      </c>
      <c r="Q189" s="1">
        <v>4.1679358647374158</v>
      </c>
      <c r="R189" s="1">
        <v>4.2548095417928451</v>
      </c>
      <c r="S189" s="1">
        <v>4.1567058847825589</v>
      </c>
      <c r="T189" s="1">
        <v>4.0178837584635128</v>
      </c>
      <c r="U189" s="1">
        <v>4.0414097215415872</v>
      </c>
      <c r="V189" s="1">
        <v>4.2227376561864185</v>
      </c>
      <c r="W189" s="1">
        <v>4.3871858417311547</v>
      </c>
      <c r="X189" s="1">
        <v>4.5237468137061567</v>
      </c>
      <c r="Y189" s="1">
        <v>4.6907269108367675</v>
      </c>
      <c r="Z189" s="1">
        <v>4.8486512810938631</v>
      </c>
      <c r="AA189" s="1">
        <v>5.0047810003659787</v>
      </c>
      <c r="AB189" s="1">
        <v>5.1499693696668567</v>
      </c>
      <c r="AC189" s="1">
        <v>5.267449468688322</v>
      </c>
      <c r="AD189" s="1">
        <v>5.3581215337259138</v>
      </c>
      <c r="AE189" s="1">
        <v>5.423242639345105</v>
      </c>
      <c r="AF189" s="1">
        <v>5.4621921425765798</v>
      </c>
      <c r="AG189" s="1">
        <v>5.4742198742499664</v>
      </c>
      <c r="AH189" s="1">
        <v>5.4752071555097368</v>
      </c>
      <c r="AI189" s="1">
        <v>5.4464034463658697</v>
      </c>
      <c r="AJ189" s="1">
        <v>5.411766669492061</v>
      </c>
      <c r="AK189" s="1">
        <v>5.3717461157075146</v>
      </c>
      <c r="AL189" s="1">
        <v>5.3299965864104255</v>
      </c>
      <c r="AM189" s="1">
        <v>5.2790299954871633</v>
      </c>
      <c r="AN189" s="1">
        <v>5.2189007541856753</v>
      </c>
    </row>
    <row r="190" spans="1:40" x14ac:dyDescent="0.25">
      <c r="A190" t="s">
        <v>27</v>
      </c>
      <c r="B190" t="s">
        <v>22</v>
      </c>
      <c r="C190" t="s">
        <v>9</v>
      </c>
      <c r="D190" t="s">
        <v>3</v>
      </c>
      <c r="E190" s="1">
        <v>1.4256134246575345</v>
      </c>
      <c r="F190" s="1">
        <v>1.4450832876712327</v>
      </c>
      <c r="G190" s="1">
        <v>1.2885339726027401</v>
      </c>
      <c r="H190" s="1">
        <v>1.1673954246575342</v>
      </c>
      <c r="I190" s="1">
        <v>1.2573030136986305</v>
      </c>
      <c r="J190" s="1">
        <v>1.4170704109589043</v>
      </c>
      <c r="K190" s="1">
        <v>1.7829972602739728</v>
      </c>
      <c r="L190" s="1">
        <v>2.0267041095890415</v>
      </c>
      <c r="M190" s="1">
        <v>2.4636027397260269</v>
      </c>
      <c r="N190" s="1">
        <v>3.0124273972602742</v>
      </c>
      <c r="O190" s="1">
        <v>2.9723200454361627</v>
      </c>
      <c r="P190" s="1">
        <v>3.1188210421793205</v>
      </c>
      <c r="Q190" s="1">
        <v>3.3071873528807751</v>
      </c>
      <c r="R190" s="1">
        <v>3.4824034681722353</v>
      </c>
      <c r="S190" s="1">
        <v>3.7170700118339437</v>
      </c>
      <c r="T190" s="1">
        <v>4.0188345686684572</v>
      </c>
      <c r="U190" s="1">
        <v>4.3595528509234516</v>
      </c>
      <c r="V190" s="1">
        <v>4.6754649851956049</v>
      </c>
      <c r="W190" s="1">
        <v>4.9347304839269386</v>
      </c>
      <c r="X190" s="1">
        <v>5.1250326447492478</v>
      </c>
      <c r="Y190" s="1">
        <v>5.2433347949660938</v>
      </c>
      <c r="Z190" s="1">
        <v>5.3302540069068733</v>
      </c>
      <c r="AA190" s="1">
        <v>5.3766669635550279</v>
      </c>
      <c r="AB190" s="1">
        <v>5.3814847533454708</v>
      </c>
      <c r="AC190" s="1">
        <v>5.3825729123729751</v>
      </c>
      <c r="AD190" s="1">
        <v>5.3887324625599815</v>
      </c>
      <c r="AE190" s="1">
        <v>5.3987635145403017</v>
      </c>
      <c r="AF190" s="1">
        <v>5.4099819475683386</v>
      </c>
      <c r="AG190" s="1">
        <v>5.416904270017814</v>
      </c>
      <c r="AH190" s="1">
        <v>5.4266704191156556</v>
      </c>
      <c r="AI190" s="1">
        <v>5.4313549132719281</v>
      </c>
      <c r="AJ190" s="1">
        <v>5.4246961582552586</v>
      </c>
      <c r="AK190" s="1">
        <v>5.409209349088119</v>
      </c>
      <c r="AL190" s="1">
        <v>5.3877551372943353</v>
      </c>
      <c r="AM190" s="1">
        <v>5.3617720343116329</v>
      </c>
      <c r="AN190" s="1">
        <v>5.3314908598959878</v>
      </c>
    </row>
    <row r="191" spans="1:40" x14ac:dyDescent="0.25">
      <c r="A191" t="s">
        <v>27</v>
      </c>
      <c r="B191" t="s">
        <v>22</v>
      </c>
      <c r="C191" t="s">
        <v>9</v>
      </c>
      <c r="D191" t="s">
        <v>10</v>
      </c>
      <c r="E191" s="1">
        <v>0.54986027397260273</v>
      </c>
      <c r="F191" s="1">
        <v>0.60012602739726029</v>
      </c>
      <c r="G191" s="1">
        <v>0.65587123287671234</v>
      </c>
      <c r="H191" s="1">
        <v>0.71680273972602748</v>
      </c>
      <c r="I191" s="1">
        <v>0.71619999999999984</v>
      </c>
      <c r="J191" s="1">
        <v>0.78671232876712338</v>
      </c>
      <c r="K191" s="1">
        <v>0.8791972602739726</v>
      </c>
      <c r="L191" s="1">
        <v>0.90125753424657529</v>
      </c>
      <c r="M191" s="1">
        <v>0.95836164383561662</v>
      </c>
      <c r="N191" s="1">
        <v>1.43</v>
      </c>
      <c r="O191" s="1">
        <v>1.9550240946632962</v>
      </c>
      <c r="P191" s="1">
        <v>2.0360299849335521</v>
      </c>
      <c r="Q191" s="1">
        <v>2.0839679323687079</v>
      </c>
      <c r="R191" s="1">
        <v>2.1274047708964225</v>
      </c>
      <c r="S191" s="1">
        <v>2.0783529423912794</v>
      </c>
      <c r="T191" s="1">
        <v>2.0089418792317564</v>
      </c>
      <c r="U191" s="1">
        <v>2.0207048607707936</v>
      </c>
      <c r="V191" s="1">
        <v>2.1113688280932092</v>
      </c>
      <c r="W191" s="1">
        <v>2.1935929208655773</v>
      </c>
      <c r="X191" s="1">
        <v>2.2618734068530784</v>
      </c>
      <c r="Y191" s="1">
        <v>2.3453634554183838</v>
      </c>
      <c r="Z191" s="1">
        <v>2.4243256405469316</v>
      </c>
      <c r="AA191" s="1">
        <v>2.5023905001829894</v>
      </c>
      <c r="AB191" s="1">
        <v>2.5749846848334284</v>
      </c>
      <c r="AC191" s="1">
        <v>2.633724734344161</v>
      </c>
      <c r="AD191" s="1">
        <v>2.6790607668629569</v>
      </c>
      <c r="AE191" s="1">
        <v>2.7116213196725525</v>
      </c>
      <c r="AF191" s="1">
        <v>2.7310960712882899</v>
      </c>
      <c r="AG191" s="1">
        <v>2.7371099371249832</v>
      </c>
      <c r="AH191" s="1">
        <v>2.7376035777548684</v>
      </c>
      <c r="AI191" s="1">
        <v>2.7232017231829349</v>
      </c>
      <c r="AJ191" s="1">
        <v>2.7058833347460305</v>
      </c>
      <c r="AK191" s="1">
        <v>2.6858730578537573</v>
      </c>
      <c r="AL191" s="1">
        <v>2.6649982932052128</v>
      </c>
      <c r="AM191" s="1">
        <v>2.6395149977435817</v>
      </c>
      <c r="AN191" s="1">
        <v>2.6094503770928377</v>
      </c>
    </row>
    <row r="192" spans="1:40" x14ac:dyDescent="0.25">
      <c r="A192" t="s">
        <v>27</v>
      </c>
      <c r="B192" t="s">
        <v>22</v>
      </c>
      <c r="C192" t="s">
        <v>11</v>
      </c>
      <c r="D192" t="s">
        <v>23</v>
      </c>
      <c r="E192" s="1">
        <v>2.2085945205479454</v>
      </c>
      <c r="F192" s="1">
        <v>3.015890410958904</v>
      </c>
      <c r="G192" s="1">
        <v>3.5317808219178084</v>
      </c>
      <c r="H192" s="1">
        <v>3.7389041095890412</v>
      </c>
      <c r="I192" s="1">
        <v>4.0769863013698631</v>
      </c>
      <c r="J192" s="1">
        <v>4.42</v>
      </c>
      <c r="K192" s="1">
        <v>6.46</v>
      </c>
      <c r="L192" s="1">
        <v>8.1199999999999992</v>
      </c>
      <c r="M192" s="1">
        <v>8.82</v>
      </c>
      <c r="N192" s="1">
        <v>7.3047777861937035</v>
      </c>
      <c r="O192" s="1">
        <v>6.0567660332372943</v>
      </c>
      <c r="P192" s="1">
        <v>5.357643659993478</v>
      </c>
      <c r="Q192" s="1">
        <v>4.8599226734665137</v>
      </c>
      <c r="R192" s="1">
        <v>4.4562376729514295</v>
      </c>
      <c r="S192" s="1">
        <v>4.1447410813674486</v>
      </c>
      <c r="T192" s="1">
        <v>3.8896616841012519</v>
      </c>
      <c r="U192" s="1">
        <v>3.670605472962134</v>
      </c>
      <c r="V192" s="1">
        <v>3.4918447491712454</v>
      </c>
      <c r="W192" s="1">
        <v>3.3469350472843598</v>
      </c>
      <c r="X192" s="1">
        <v>3.2311161595513265</v>
      </c>
      <c r="Y192" s="1">
        <v>3.1444350914356241</v>
      </c>
      <c r="Z192" s="1">
        <v>3.0792477343915987</v>
      </c>
      <c r="AA192" s="1">
        <v>3.0285850411557211</v>
      </c>
      <c r="AB192" s="1">
        <v>2.9821991319754537</v>
      </c>
      <c r="AC192" s="1">
        <v>2.9320619626033224</v>
      </c>
      <c r="AD192" s="1">
        <v>2.8767084819290809</v>
      </c>
      <c r="AE192" s="1">
        <v>2.8169261487422221</v>
      </c>
      <c r="AF192" s="1">
        <v>2.7607404988074986</v>
      </c>
      <c r="AG192" s="1">
        <v>2.700349145184421</v>
      </c>
      <c r="AH192" s="1">
        <v>2.6213634849376195</v>
      </c>
      <c r="AI192" s="1">
        <v>2.5377360545608045</v>
      </c>
      <c r="AJ192" s="1">
        <v>2.459541657784845</v>
      </c>
      <c r="AK192" s="1">
        <v>2.3776369177702614</v>
      </c>
      <c r="AL192" s="1">
        <v>2.3268532759895608</v>
      </c>
      <c r="AM192" s="1">
        <v>2.2806515063926152</v>
      </c>
      <c r="AN192" s="1">
        <v>2.2376280111336575</v>
      </c>
    </row>
    <row r="193" spans="1:40" x14ac:dyDescent="0.25">
      <c r="A193" t="s">
        <v>27</v>
      </c>
      <c r="B193" t="s">
        <v>22</v>
      </c>
      <c r="C193" t="s">
        <v>11</v>
      </c>
      <c r="D193" t="s">
        <v>1</v>
      </c>
      <c r="E193" s="1">
        <v>2.2085945205479454</v>
      </c>
      <c r="F193" s="1">
        <v>3.015890410958904</v>
      </c>
      <c r="G193" s="1">
        <v>3.5317808219178084</v>
      </c>
      <c r="H193" s="1">
        <v>3.7389041095890412</v>
      </c>
      <c r="I193" s="1">
        <v>4.0769863013698631</v>
      </c>
      <c r="J193" s="1">
        <v>4.42</v>
      </c>
      <c r="K193" s="1">
        <v>6.46</v>
      </c>
      <c r="L193" s="1">
        <v>8.1199999999999992</v>
      </c>
      <c r="M193" s="1">
        <v>8.82</v>
      </c>
      <c r="N193" s="1">
        <v>7.3047777861937035</v>
      </c>
      <c r="O193" s="1">
        <v>6.0567660332372943</v>
      </c>
      <c r="P193" s="1">
        <v>5.357643659993478</v>
      </c>
      <c r="Q193" s="1">
        <v>4.8599226734665137</v>
      </c>
      <c r="R193" s="1">
        <v>4.4562376729514295</v>
      </c>
      <c r="S193" s="1">
        <v>4.1447410813674486</v>
      </c>
      <c r="T193" s="1">
        <v>3.8896616841012519</v>
      </c>
      <c r="U193" s="1">
        <v>3.670605472962134</v>
      </c>
      <c r="V193" s="1">
        <v>3.4918447491712454</v>
      </c>
      <c r="W193" s="1">
        <v>3.3469350472843598</v>
      </c>
      <c r="X193" s="1">
        <v>3.2311161595513265</v>
      </c>
      <c r="Y193" s="1">
        <v>3.1444350914356241</v>
      </c>
      <c r="Z193" s="1">
        <v>3.0792477343915987</v>
      </c>
      <c r="AA193" s="1">
        <v>3.0285850411557211</v>
      </c>
      <c r="AB193" s="1">
        <v>2.9821991319754537</v>
      </c>
      <c r="AC193" s="1">
        <v>2.9320619626033224</v>
      </c>
      <c r="AD193" s="1">
        <v>2.8767084819290809</v>
      </c>
      <c r="AE193" s="1">
        <v>2.8169261487422221</v>
      </c>
      <c r="AF193" s="1">
        <v>2.7607404988074986</v>
      </c>
      <c r="AG193" s="1">
        <v>2.700349145184421</v>
      </c>
      <c r="AH193" s="1">
        <v>2.6213634849376195</v>
      </c>
      <c r="AI193" s="1">
        <v>2.5377360545608045</v>
      </c>
      <c r="AJ193" s="1">
        <v>2.459541657784845</v>
      </c>
      <c r="AK193" s="1">
        <v>2.3776369177702614</v>
      </c>
      <c r="AL193" s="1">
        <v>2.3268532759895608</v>
      </c>
      <c r="AM193" s="1">
        <v>2.2806515063926152</v>
      </c>
      <c r="AN193" s="1">
        <v>2.2376280111336575</v>
      </c>
    </row>
    <row r="194" spans="1:40" x14ac:dyDescent="0.25">
      <c r="A194" t="s">
        <v>27</v>
      </c>
      <c r="B194" t="s">
        <v>22</v>
      </c>
      <c r="C194" t="s">
        <v>12</v>
      </c>
      <c r="D194" t="s">
        <v>23</v>
      </c>
      <c r="E194" s="1">
        <v>48.466882191780826</v>
      </c>
      <c r="F194" s="1">
        <v>48.277846575342465</v>
      </c>
      <c r="G194" s="1">
        <v>58.576986301369864</v>
      </c>
      <c r="H194" s="1">
        <v>54.554520547945202</v>
      </c>
      <c r="I194" s="1">
        <v>42.550684931506844</v>
      </c>
      <c r="J194" s="1">
        <v>43.853011524244394</v>
      </c>
      <c r="K194" s="1">
        <v>42.14</v>
      </c>
      <c r="L194" s="1">
        <v>31.429560381305837</v>
      </c>
      <c r="M194" s="1">
        <v>36.872529243563093</v>
      </c>
      <c r="N194" s="1">
        <v>34.344578260774881</v>
      </c>
      <c r="O194" s="1">
        <v>33.948034815394557</v>
      </c>
      <c r="P194" s="1">
        <v>40.893251028192886</v>
      </c>
      <c r="Q194" s="1">
        <v>39.550516165890812</v>
      </c>
      <c r="R194" s="1">
        <v>50.201305689240215</v>
      </c>
      <c r="S194" s="1">
        <v>51.746947988775737</v>
      </c>
      <c r="T194" s="1">
        <v>45.347395485195598</v>
      </c>
      <c r="U194" s="1">
        <v>44.14465659217997</v>
      </c>
      <c r="V194" s="1">
        <v>45.052542005644248</v>
      </c>
      <c r="W194" s="1">
        <v>39.507136670521767</v>
      </c>
      <c r="X194" s="1">
        <v>39.086716925165348</v>
      </c>
      <c r="Y194" s="1">
        <v>52.336565786879646</v>
      </c>
      <c r="Z194" s="1">
        <v>45.940789275095824</v>
      </c>
      <c r="AA194" s="1">
        <v>39.984437415285669</v>
      </c>
      <c r="AB194" s="1">
        <v>35.904751576340786</v>
      </c>
      <c r="AC194" s="1">
        <v>33.177772537536946</v>
      </c>
      <c r="AD194" s="1">
        <v>31.060379430871162</v>
      </c>
      <c r="AE194" s="1">
        <v>27.732695391816115</v>
      </c>
      <c r="AF194" s="1">
        <v>24.043970119384397</v>
      </c>
      <c r="AG194" s="1">
        <v>21.59199376066654</v>
      </c>
      <c r="AH194" s="1">
        <v>21.084469602269998</v>
      </c>
      <c r="AI194" s="1">
        <v>19.067860589901247</v>
      </c>
      <c r="AJ194" s="1">
        <v>17.844162364854853</v>
      </c>
      <c r="AK194" s="1">
        <v>16.685595691783142</v>
      </c>
      <c r="AL194" s="1">
        <v>15.125900406656791</v>
      </c>
      <c r="AM194" s="1">
        <v>13.761476087214938</v>
      </c>
      <c r="AN194" s="1">
        <v>13.405115505733184</v>
      </c>
    </row>
    <row r="195" spans="1:40" x14ac:dyDescent="0.25">
      <c r="A195" t="s">
        <v>27</v>
      </c>
      <c r="B195" t="s">
        <v>22</v>
      </c>
      <c r="C195" t="s">
        <v>12</v>
      </c>
      <c r="D195" t="s">
        <v>1</v>
      </c>
      <c r="E195" s="1">
        <v>48.466882191780826</v>
      </c>
      <c r="F195" s="1">
        <v>48.277846575342465</v>
      </c>
      <c r="G195" s="1">
        <v>58.576986301369864</v>
      </c>
      <c r="H195" s="1">
        <v>54.554520547945202</v>
      </c>
      <c r="I195" s="1">
        <v>42.550684931506844</v>
      </c>
      <c r="J195" s="1">
        <v>43.853011524244394</v>
      </c>
      <c r="K195" s="1">
        <v>42.14</v>
      </c>
      <c r="L195" s="1">
        <v>31.429560381305837</v>
      </c>
      <c r="M195" s="1">
        <v>36.872529243563093</v>
      </c>
      <c r="N195" s="1">
        <v>34.344578260774881</v>
      </c>
      <c r="O195" s="1">
        <v>33.948034815394557</v>
      </c>
      <c r="P195" s="1">
        <v>40.893251028192886</v>
      </c>
      <c r="Q195" s="1">
        <v>39.550516165890812</v>
      </c>
      <c r="R195" s="1">
        <v>50.201305689240215</v>
      </c>
      <c r="S195" s="1">
        <v>51.746947988775737</v>
      </c>
      <c r="T195" s="1">
        <v>45.347395485195598</v>
      </c>
      <c r="U195" s="1">
        <v>44.14465659217997</v>
      </c>
      <c r="V195" s="1">
        <v>45.052542005644248</v>
      </c>
      <c r="W195" s="1">
        <v>39.507136670521767</v>
      </c>
      <c r="X195" s="1">
        <v>39.086716925165348</v>
      </c>
      <c r="Y195" s="1">
        <v>52.336565786879646</v>
      </c>
      <c r="Z195" s="1">
        <v>45.940789275095824</v>
      </c>
      <c r="AA195" s="1">
        <v>39.984437415285669</v>
      </c>
      <c r="AB195" s="1">
        <v>35.904751576340786</v>
      </c>
      <c r="AC195" s="1">
        <v>33.177772537536946</v>
      </c>
      <c r="AD195" s="1">
        <v>31.060379430871162</v>
      </c>
      <c r="AE195" s="1">
        <v>27.732695391816115</v>
      </c>
      <c r="AF195" s="1">
        <v>24.043970119384397</v>
      </c>
      <c r="AG195" s="1">
        <v>21.59199376066654</v>
      </c>
      <c r="AH195" s="1">
        <v>21.084469602269998</v>
      </c>
      <c r="AI195" s="1">
        <v>19.067860589901247</v>
      </c>
      <c r="AJ195" s="1">
        <v>17.844162364854853</v>
      </c>
      <c r="AK195" s="1">
        <v>16.685595691783142</v>
      </c>
      <c r="AL195" s="1">
        <v>15.125900406656791</v>
      </c>
      <c r="AM195" s="1">
        <v>13.761476087214938</v>
      </c>
      <c r="AN195" s="1">
        <v>13.405115505733184</v>
      </c>
    </row>
    <row r="196" spans="1:40" x14ac:dyDescent="0.25">
      <c r="A196" t="s">
        <v>27</v>
      </c>
      <c r="B196" t="s">
        <v>22</v>
      </c>
      <c r="C196" t="s">
        <v>13</v>
      </c>
      <c r="D196" t="s">
        <v>23</v>
      </c>
      <c r="E196" s="1">
        <v>2.9858876712328768</v>
      </c>
      <c r="F196" s="1">
        <v>2.9663753424657533</v>
      </c>
      <c r="G196" s="1">
        <v>2.7860273972602738</v>
      </c>
      <c r="H196" s="1">
        <v>2.5797260273972604</v>
      </c>
      <c r="I196" s="1">
        <v>2.4693150684931506</v>
      </c>
      <c r="J196" s="1">
        <v>2.39</v>
      </c>
      <c r="K196" s="1">
        <v>1.67</v>
      </c>
      <c r="L196" s="1">
        <v>2.0670000000000002</v>
      </c>
      <c r="M196" s="1">
        <v>1.9636499999999999</v>
      </c>
      <c r="N196" s="1">
        <v>1.69</v>
      </c>
      <c r="O196" s="1">
        <v>1.61</v>
      </c>
      <c r="P196" s="1">
        <v>1.5295000000000001</v>
      </c>
      <c r="Q196" s="1">
        <v>1.453025</v>
      </c>
      <c r="R196" s="1">
        <v>1.38037375</v>
      </c>
      <c r="S196" s="1">
        <v>1.3113550624999999</v>
      </c>
      <c r="T196" s="1">
        <v>1.2457873093749998</v>
      </c>
      <c r="U196" s="1">
        <v>1.1834979439062498</v>
      </c>
      <c r="V196" s="1">
        <v>1.1243230467109373</v>
      </c>
      <c r="W196" s="1">
        <v>1.0681068943753904</v>
      </c>
      <c r="X196" s="1">
        <v>1.0147015496566207</v>
      </c>
      <c r="Y196" s="1">
        <v>0.96396647217378961</v>
      </c>
      <c r="Z196" s="1">
        <v>0.91576814856510014</v>
      </c>
      <c r="AA196" s="1">
        <v>0.86997974113684506</v>
      </c>
      <c r="AB196" s="1">
        <v>0.82648075408000277</v>
      </c>
      <c r="AC196" s="1">
        <v>0.78515671637600259</v>
      </c>
      <c r="AD196" s="1">
        <v>0.74589888055720244</v>
      </c>
      <c r="AE196" s="1">
        <v>0.70860393652934228</v>
      </c>
      <c r="AF196" s="1">
        <v>0.67317373970287508</v>
      </c>
      <c r="AG196" s="1">
        <v>0.63951505271773135</v>
      </c>
      <c r="AH196" s="1">
        <v>0.60753930008184476</v>
      </c>
      <c r="AI196" s="1">
        <v>0.5771623350777525</v>
      </c>
      <c r="AJ196" s="1">
        <v>0.54830421832386489</v>
      </c>
      <c r="AK196" s="1">
        <v>0.52088900740767163</v>
      </c>
      <c r="AL196" s="1">
        <v>0.49484455703728802</v>
      </c>
      <c r="AM196" s="1">
        <v>0.47010232918542361</v>
      </c>
      <c r="AN196" s="1">
        <v>0.44659721272615238</v>
      </c>
    </row>
    <row r="197" spans="1:40" x14ac:dyDescent="0.25">
      <c r="A197" t="s">
        <v>27</v>
      </c>
      <c r="B197" t="s">
        <v>22</v>
      </c>
      <c r="C197" t="s">
        <v>13</v>
      </c>
      <c r="D197" t="s">
        <v>1</v>
      </c>
      <c r="E197" s="1">
        <v>2.9858876712328768</v>
      </c>
      <c r="F197" s="1">
        <v>2.9663753424657533</v>
      </c>
      <c r="G197" s="1">
        <v>2.7860273972602738</v>
      </c>
      <c r="H197" s="1">
        <v>2.5797260273972604</v>
      </c>
      <c r="I197" s="1">
        <v>2.4693150684931506</v>
      </c>
      <c r="J197" s="1">
        <v>2.39</v>
      </c>
      <c r="K197" s="1">
        <v>1.67</v>
      </c>
      <c r="L197" s="1">
        <v>2.0670000000000002</v>
      </c>
      <c r="M197" s="1">
        <v>1.9636499999999999</v>
      </c>
      <c r="N197" s="1">
        <v>1.69</v>
      </c>
      <c r="O197" s="1">
        <v>1.61</v>
      </c>
      <c r="P197" s="1">
        <v>1.5295000000000001</v>
      </c>
      <c r="Q197" s="1">
        <v>1.453025</v>
      </c>
      <c r="R197" s="1">
        <v>1.38037375</v>
      </c>
      <c r="S197" s="1">
        <v>1.3113550624999999</v>
      </c>
      <c r="T197" s="1">
        <v>1.2457873093749998</v>
      </c>
      <c r="U197" s="1">
        <v>1.1834979439062498</v>
      </c>
      <c r="V197" s="1">
        <v>1.1243230467109373</v>
      </c>
      <c r="W197" s="1">
        <v>1.0681068943753904</v>
      </c>
      <c r="X197" s="1">
        <v>1.0147015496566207</v>
      </c>
      <c r="Y197" s="1">
        <v>0.96396647217378961</v>
      </c>
      <c r="Z197" s="1">
        <v>0.91576814856510014</v>
      </c>
      <c r="AA197" s="1">
        <v>0.86997974113684506</v>
      </c>
      <c r="AB197" s="1">
        <v>0.82648075408000277</v>
      </c>
      <c r="AC197" s="1">
        <v>0.78515671637600259</v>
      </c>
      <c r="AD197" s="1">
        <v>0.74589888055720244</v>
      </c>
      <c r="AE197" s="1">
        <v>0.70860393652934228</v>
      </c>
      <c r="AF197" s="1">
        <v>0.67317373970287508</v>
      </c>
      <c r="AG197" s="1">
        <v>0.63951505271773135</v>
      </c>
      <c r="AH197" s="1">
        <v>0.60753930008184476</v>
      </c>
      <c r="AI197" s="1">
        <v>0.5771623350777525</v>
      </c>
      <c r="AJ197" s="1">
        <v>0.54830421832386489</v>
      </c>
      <c r="AK197" s="1">
        <v>0.52088900740767163</v>
      </c>
      <c r="AL197" s="1">
        <v>0.49484455703728802</v>
      </c>
      <c r="AM197" s="1">
        <v>0.47010232918542361</v>
      </c>
      <c r="AN197" s="1">
        <v>0.44659721272615238</v>
      </c>
    </row>
    <row r="198" spans="1:40" x14ac:dyDescent="0.25">
      <c r="A198" t="s">
        <v>27</v>
      </c>
      <c r="B198" t="s">
        <v>22</v>
      </c>
      <c r="C198" t="s">
        <v>14</v>
      </c>
      <c r="D198" t="s">
        <v>23</v>
      </c>
      <c r="E198" s="1">
        <v>2.0546041095890408</v>
      </c>
      <c r="F198" s="1">
        <v>1.9127178082191778</v>
      </c>
      <c r="G198" s="1">
        <v>1.8855501369863013</v>
      </c>
      <c r="H198" s="1">
        <v>1.7537218579234968</v>
      </c>
      <c r="I198" s="1">
        <v>1.1252249315068492</v>
      </c>
      <c r="J198" s="1">
        <v>1.0665109589041095</v>
      </c>
      <c r="K198" s="1">
        <v>0.8600093150684931</v>
      </c>
      <c r="L198" s="1">
        <v>0.58448934426229504</v>
      </c>
      <c r="M198" s="1">
        <v>0.3277084931506849</v>
      </c>
      <c r="N198" s="1">
        <v>0.46</v>
      </c>
      <c r="O198" s="1">
        <v>0.43273658301369861</v>
      </c>
      <c r="P198" s="1">
        <v>0.40738720503606557</v>
      </c>
      <c r="Q198" s="1">
        <v>0.38562714764049533</v>
      </c>
      <c r="R198" s="1">
        <v>0.36403202737262752</v>
      </c>
      <c r="S198" s="1">
        <v>0.3436462338397604</v>
      </c>
      <c r="T198" s="1">
        <v>0.32351570036018534</v>
      </c>
      <c r="U198" s="1">
        <v>0.30623553023902866</v>
      </c>
      <c r="V198" s="1">
        <v>0.28908634054564303</v>
      </c>
      <c r="W198" s="1">
        <v>0.27289750547508701</v>
      </c>
      <c r="X198" s="1">
        <v>0.25691137837840433</v>
      </c>
      <c r="Y198" s="1">
        <v>0.24318879143904712</v>
      </c>
      <c r="Z198" s="1">
        <v>0.22957021911846046</v>
      </c>
      <c r="AA198" s="1">
        <v>0.21671428684782665</v>
      </c>
      <c r="AB198" s="1">
        <v>0.20401932971663156</v>
      </c>
      <c r="AC198" s="1">
        <v>0.19312190272442484</v>
      </c>
      <c r="AD198" s="1">
        <v>0.18230707617185704</v>
      </c>
      <c r="AE198" s="1">
        <v>0.17209787990623304</v>
      </c>
      <c r="AF198" s="1">
        <v>0.16201651776090617</v>
      </c>
      <c r="AG198" s="1">
        <v>0.15336261630812087</v>
      </c>
      <c r="AH198" s="1">
        <v>0.14477430979486611</v>
      </c>
      <c r="AI198" s="1">
        <v>0.1366669484463536</v>
      </c>
      <c r="AJ198" s="1">
        <v>0.12866110316031584</v>
      </c>
      <c r="AK198" s="1">
        <v>0.12178883777068976</v>
      </c>
      <c r="AL198" s="1">
        <v>0.11496866285553113</v>
      </c>
      <c r="AM198" s="1">
        <v>0.10853041773562137</v>
      </c>
      <c r="AN198" s="1">
        <v>0.10217278889340355</v>
      </c>
    </row>
    <row r="199" spans="1:40" x14ac:dyDescent="0.25">
      <c r="A199" t="s">
        <v>27</v>
      </c>
      <c r="B199" t="s">
        <v>22</v>
      </c>
      <c r="C199" t="s">
        <v>14</v>
      </c>
      <c r="D199" t="s">
        <v>3</v>
      </c>
      <c r="E199" s="1">
        <v>2.0546041095890408</v>
      </c>
      <c r="F199" s="1">
        <v>1.9127178082191778</v>
      </c>
      <c r="G199" s="1">
        <v>1.8855501369863013</v>
      </c>
      <c r="H199" s="1">
        <v>1.7537218579234968</v>
      </c>
      <c r="I199" s="1">
        <v>1.1252249315068492</v>
      </c>
      <c r="J199" s="1">
        <v>1.0665109589041095</v>
      </c>
      <c r="K199" s="1">
        <v>0.8600093150684931</v>
      </c>
      <c r="L199" s="1">
        <v>0.58448934426229504</v>
      </c>
      <c r="M199" s="1">
        <v>0.3277084931506849</v>
      </c>
      <c r="N199" s="1">
        <v>0.45840739726027402</v>
      </c>
      <c r="O199" s="1">
        <v>0.43273658301369861</v>
      </c>
      <c r="P199" s="1">
        <v>0.40738720503606557</v>
      </c>
      <c r="Q199" s="1">
        <v>0.38562714764049533</v>
      </c>
      <c r="R199" s="1">
        <v>0.36403202737262752</v>
      </c>
      <c r="S199" s="1">
        <v>0.3436462338397604</v>
      </c>
      <c r="T199" s="1">
        <v>0.32351570036018534</v>
      </c>
      <c r="U199" s="1">
        <v>0.30623553023902866</v>
      </c>
      <c r="V199" s="1">
        <v>0.28908634054564303</v>
      </c>
      <c r="W199" s="1">
        <v>0.27289750547508701</v>
      </c>
      <c r="X199" s="1">
        <v>0.25691137837840433</v>
      </c>
      <c r="Y199" s="1">
        <v>0.24318879143904712</v>
      </c>
      <c r="Z199" s="1">
        <v>0.22957021911846046</v>
      </c>
      <c r="AA199" s="1">
        <v>0.21671428684782665</v>
      </c>
      <c r="AB199" s="1">
        <v>0.20401932971663156</v>
      </c>
      <c r="AC199" s="1">
        <v>0.19312190272442484</v>
      </c>
      <c r="AD199" s="1">
        <v>0.18230707617185704</v>
      </c>
      <c r="AE199" s="1">
        <v>0.17209787990623304</v>
      </c>
      <c r="AF199" s="1">
        <v>0.16201651776090617</v>
      </c>
      <c r="AG199" s="1">
        <v>0.15336261630812087</v>
      </c>
      <c r="AH199" s="1">
        <v>0.14477430979486611</v>
      </c>
      <c r="AI199" s="1">
        <v>0.1366669484463536</v>
      </c>
      <c r="AJ199" s="1">
        <v>0.12866110316031584</v>
      </c>
      <c r="AK199" s="1">
        <v>0.12178883777068976</v>
      </c>
      <c r="AL199" s="1">
        <v>0.11496866285553113</v>
      </c>
      <c r="AM199" s="1">
        <v>0.10853041773562137</v>
      </c>
      <c r="AN199" s="1">
        <v>0.10217278889340355</v>
      </c>
    </row>
    <row r="200" spans="1:40" x14ac:dyDescent="0.25">
      <c r="A200" t="s">
        <v>27</v>
      </c>
      <c r="B200" t="s">
        <v>22</v>
      </c>
      <c r="C200" t="s">
        <v>15</v>
      </c>
      <c r="D200" t="s">
        <v>23</v>
      </c>
      <c r="E200" s="1">
        <v>0.38451041602662572</v>
      </c>
      <c r="F200" s="1">
        <v>0.35441595195212494</v>
      </c>
      <c r="G200" s="1">
        <v>0.33669515435451869</v>
      </c>
      <c r="H200" s="1">
        <v>0.26958904109589044</v>
      </c>
      <c r="I200" s="1">
        <v>0.24958904109589042</v>
      </c>
      <c r="J200" s="1">
        <v>0.24</v>
      </c>
      <c r="K200" s="1">
        <v>0.22320000000000001</v>
      </c>
      <c r="L200" s="1">
        <v>0.22</v>
      </c>
      <c r="M200" s="1">
        <v>0.2046</v>
      </c>
      <c r="N200" s="1">
        <v>0.190278</v>
      </c>
      <c r="O200" s="1">
        <v>0.17695854000000003</v>
      </c>
      <c r="P200" s="1">
        <v>0.16457144220000003</v>
      </c>
      <c r="Q200" s="1">
        <v>0.15305144124600004</v>
      </c>
      <c r="R200" s="1">
        <v>0.14233784035878005</v>
      </c>
      <c r="S200" s="1">
        <v>0.13237419153366545</v>
      </c>
      <c r="T200" s="1">
        <v>0.12310799812630888</v>
      </c>
      <c r="U200" s="1">
        <v>0.11449043825746726</v>
      </c>
      <c r="V200" s="1">
        <v>0.10647610757944455</v>
      </c>
      <c r="W200" s="1">
        <v>9.873655395323977E-2</v>
      </c>
      <c r="X200" s="1">
        <v>9.1263992029051402E-2</v>
      </c>
      <c r="Y200" s="1">
        <v>8.4050837960249286E-2</v>
      </c>
      <c r="Z200" s="1">
        <v>7.7089704457387623E-2</v>
      </c>
      <c r="AA200" s="1">
        <v>7.0373395959456311E-2</v>
      </c>
      <c r="AB200" s="1">
        <v>6.3894903919659324E-2</v>
      </c>
      <c r="AC200" s="1">
        <v>5.7647402203070422E-2</v>
      </c>
      <c r="AD200" s="1">
        <v>5.1624242593577216E-2</v>
      </c>
      <c r="AE200" s="1">
        <v>4.5818950407582507E-2</v>
      </c>
      <c r="AF200" s="1">
        <v>4.0225220211990154E-2</v>
      </c>
      <c r="AG200" s="1">
        <v>3.4836911644058464E-2</v>
      </c>
      <c r="AH200" s="1">
        <v>2.9648045330759248E-2</v>
      </c>
      <c r="AI200" s="1">
        <v>2.4652798905334377E-2</v>
      </c>
      <c r="AJ200" s="1">
        <v>1.9845503118794194E-2</v>
      </c>
      <c r="AK200" s="1">
        <v>1.5220638044153486E-2</v>
      </c>
      <c r="AL200" s="1">
        <v>1.0772829371250891E-2</v>
      </c>
      <c r="AM200" s="1">
        <v>6.4968447900467371E-3</v>
      </c>
      <c r="AN200" s="1">
        <v>2.3875904603422489E-3</v>
      </c>
    </row>
    <row r="201" spans="1:40" x14ac:dyDescent="0.25">
      <c r="A201" t="s">
        <v>27</v>
      </c>
      <c r="B201" t="s">
        <v>22</v>
      </c>
      <c r="C201" t="s">
        <v>15</v>
      </c>
      <c r="D201" t="s">
        <v>1</v>
      </c>
      <c r="E201" s="1">
        <v>0.37693698630136985</v>
      </c>
      <c r="F201" s="1">
        <v>0.34152602739726029</v>
      </c>
      <c r="G201" s="1">
        <v>0.29972602739726029</v>
      </c>
      <c r="H201" s="1">
        <v>0.26958904109589044</v>
      </c>
      <c r="I201" s="1">
        <v>0.24958904109589042</v>
      </c>
      <c r="J201" s="1">
        <v>0.24</v>
      </c>
      <c r="K201" s="1">
        <v>0.22320000000000001</v>
      </c>
      <c r="L201" s="1">
        <v>0.22</v>
      </c>
      <c r="M201" s="1">
        <v>0.2046</v>
      </c>
      <c r="N201" s="1">
        <v>0.190278</v>
      </c>
      <c r="O201" s="1">
        <v>0.17695854000000003</v>
      </c>
      <c r="P201" s="1">
        <v>0.16457144220000003</v>
      </c>
      <c r="Q201" s="1">
        <v>0.15305144124600004</v>
      </c>
      <c r="R201" s="1">
        <v>0.14233784035878005</v>
      </c>
      <c r="S201" s="1">
        <v>0.13237419153366545</v>
      </c>
      <c r="T201" s="1">
        <v>0.12310799812630888</v>
      </c>
      <c r="U201" s="1">
        <v>0.11449043825746726</v>
      </c>
      <c r="V201" s="1">
        <v>0.10647610757944455</v>
      </c>
      <c r="W201" s="1">
        <v>9.873655395323977E-2</v>
      </c>
      <c r="X201" s="1">
        <v>9.1263992029051402E-2</v>
      </c>
      <c r="Y201" s="1">
        <v>8.4050837960249286E-2</v>
      </c>
      <c r="Z201" s="1">
        <v>7.7089704457387623E-2</v>
      </c>
      <c r="AA201" s="1">
        <v>7.0373395959456311E-2</v>
      </c>
      <c r="AB201" s="1">
        <v>6.3894903919659324E-2</v>
      </c>
      <c r="AC201" s="1">
        <v>5.7647402203070422E-2</v>
      </c>
      <c r="AD201" s="1">
        <v>5.1624242593577216E-2</v>
      </c>
      <c r="AE201" s="1">
        <v>4.5818950407582507E-2</v>
      </c>
      <c r="AF201" s="1">
        <v>4.0225220211990154E-2</v>
      </c>
      <c r="AG201" s="1">
        <v>3.4836911644058464E-2</v>
      </c>
      <c r="AH201" s="1">
        <v>2.9648045330759248E-2</v>
      </c>
      <c r="AI201" s="1">
        <v>2.4652798905334377E-2</v>
      </c>
      <c r="AJ201" s="1">
        <v>1.9845503118794194E-2</v>
      </c>
      <c r="AK201" s="1">
        <v>1.5220638044153486E-2</v>
      </c>
      <c r="AL201" s="1">
        <v>1.0772829371250891E-2</v>
      </c>
      <c r="AM201" s="1">
        <v>6.4968447900467371E-3</v>
      </c>
      <c r="AN201" s="1">
        <v>2.3875904603422489E-3</v>
      </c>
    </row>
    <row r="202" spans="1:40" x14ac:dyDescent="0.25">
      <c r="A202" t="s">
        <v>27</v>
      </c>
      <c r="B202" t="s">
        <v>22</v>
      </c>
      <c r="C202" t="s">
        <v>16</v>
      </c>
      <c r="D202" t="s">
        <v>23</v>
      </c>
      <c r="E202" s="1">
        <v>66.733054039199047</v>
      </c>
      <c r="F202" s="1">
        <v>68.174030419970649</v>
      </c>
      <c r="G202" s="1">
        <v>68.098496018848238</v>
      </c>
      <c r="H202" s="1">
        <v>69.988042860537959</v>
      </c>
      <c r="I202" s="1">
        <v>67.633923182151463</v>
      </c>
      <c r="J202" s="1">
        <v>67.359048901700334</v>
      </c>
      <c r="K202" s="1">
        <v>68.163835411747996</v>
      </c>
      <c r="L202" s="1">
        <v>74.858985940320864</v>
      </c>
      <c r="M202" s="1">
        <v>77.207730375237986</v>
      </c>
      <c r="N202" s="1">
        <v>80.928466523533231</v>
      </c>
      <c r="O202" s="1">
        <v>80.780582081184477</v>
      </c>
      <c r="P202" s="1">
        <v>80.640103144270611</v>
      </c>
      <c r="Q202" s="1">
        <v>80.213098058473264</v>
      </c>
      <c r="R202" s="1">
        <v>79.792246637360748</v>
      </c>
      <c r="S202" s="1">
        <v>79.257698262618419</v>
      </c>
      <c r="T202" s="1">
        <v>78.860006503538173</v>
      </c>
      <c r="U202" s="1">
        <v>78.552993493873558</v>
      </c>
      <c r="V202" s="1">
        <v>78.472871958772657</v>
      </c>
      <c r="W202" s="1">
        <v>78.527454260557406</v>
      </c>
      <c r="X202" s="1">
        <v>78.724433668756788</v>
      </c>
      <c r="Y202" s="1">
        <v>79.056931337129853</v>
      </c>
      <c r="Z202" s="1">
        <v>79.418691471796549</v>
      </c>
      <c r="AA202" s="1">
        <v>79.748243961538293</v>
      </c>
      <c r="AB202" s="1">
        <v>79.900119151662082</v>
      </c>
      <c r="AC202" s="1">
        <v>79.768315320478095</v>
      </c>
      <c r="AD202" s="1">
        <v>79.42940272899088</v>
      </c>
      <c r="AE202" s="1">
        <v>78.924573499034992</v>
      </c>
      <c r="AF202" s="1">
        <v>78.221985394216858</v>
      </c>
      <c r="AG202" s="1">
        <v>77.364763996344649</v>
      </c>
      <c r="AH202" s="1">
        <v>76.310058899813868</v>
      </c>
      <c r="AI202" s="1">
        <v>74.927267474745875</v>
      </c>
      <c r="AJ202" s="1">
        <v>73.728736184774576</v>
      </c>
      <c r="AK202" s="1">
        <v>72.370614754096309</v>
      </c>
      <c r="AL202" s="1">
        <v>71.06241267788954</v>
      </c>
      <c r="AM202" s="1">
        <v>69.650479831274595</v>
      </c>
      <c r="AN202" s="1">
        <v>68.221648801786515</v>
      </c>
    </row>
    <row r="203" spans="1:40" x14ac:dyDescent="0.25">
      <c r="A203" t="s">
        <v>27</v>
      </c>
      <c r="B203" t="s">
        <v>22</v>
      </c>
      <c r="C203" t="s">
        <v>16</v>
      </c>
      <c r="D203" t="s">
        <v>1</v>
      </c>
      <c r="E203" s="1">
        <v>9.5385034690820714</v>
      </c>
      <c r="F203" s="1">
        <v>9.9661643215575797</v>
      </c>
      <c r="G203" s="1">
        <v>11.454637531318259</v>
      </c>
      <c r="H203" s="1">
        <v>15.704716024713884</v>
      </c>
      <c r="I203" s="1">
        <v>16.826448167450707</v>
      </c>
      <c r="J203" s="1">
        <v>17.35209181881353</v>
      </c>
      <c r="K203" s="1">
        <v>18.157997011188559</v>
      </c>
      <c r="L203" s="1">
        <v>20.910828283491242</v>
      </c>
      <c r="M203" s="1">
        <v>23.359025058656808</v>
      </c>
      <c r="N203" s="1">
        <v>25.214989442040775</v>
      </c>
      <c r="O203" s="1">
        <v>25.411411425224308</v>
      </c>
      <c r="P203" s="1">
        <v>25.806500958507968</v>
      </c>
      <c r="Q203" s="1">
        <v>26.364462730685286</v>
      </c>
      <c r="R203" s="1">
        <v>26.879321713732502</v>
      </c>
      <c r="S203" s="1">
        <v>27.218083538895375</v>
      </c>
      <c r="T203" s="1">
        <v>27.580928377520628</v>
      </c>
      <c r="U203" s="1">
        <v>27.955702577431136</v>
      </c>
      <c r="V203" s="1">
        <v>28.420899417772038</v>
      </c>
      <c r="W203" s="1">
        <v>28.921589086405714</v>
      </c>
      <c r="X203" s="1">
        <v>29.453946420571462</v>
      </c>
      <c r="Y203" s="1">
        <v>30.042706456944732</v>
      </c>
      <c r="Z203" s="1">
        <v>30.623346534178811</v>
      </c>
      <c r="AA203" s="1">
        <v>31.169790627932933</v>
      </c>
      <c r="AB203" s="1">
        <v>31.605430546470973</v>
      </c>
      <c r="AC203" s="1">
        <v>31.911400249672642</v>
      </c>
      <c r="AD203" s="1">
        <v>32.134375766533253</v>
      </c>
      <c r="AE203" s="1">
        <v>32.249421055872993</v>
      </c>
      <c r="AF203" s="1">
        <v>32.253663227430941</v>
      </c>
      <c r="AG203" s="1">
        <v>32.16943495151051</v>
      </c>
      <c r="AH203" s="1">
        <v>31.916596106380851</v>
      </c>
      <c r="AI203" s="1">
        <v>31.338229178405491</v>
      </c>
      <c r="AJ203" s="1">
        <v>30.917121568624037</v>
      </c>
      <c r="AK203" s="1">
        <v>30.458198839186224</v>
      </c>
      <c r="AL203" s="1">
        <v>30.003970524087528</v>
      </c>
      <c r="AM203" s="1">
        <v>29.453872998262057</v>
      </c>
      <c r="AN203" s="1">
        <v>28.900813665579111</v>
      </c>
    </row>
    <row r="204" spans="1:40" x14ac:dyDescent="0.25">
      <c r="A204" t="s">
        <v>27</v>
      </c>
      <c r="B204" t="s">
        <v>22</v>
      </c>
      <c r="C204" t="s">
        <v>16</v>
      </c>
      <c r="D204" t="s">
        <v>2</v>
      </c>
      <c r="E204" s="1">
        <v>57.10195563189766</v>
      </c>
      <c r="F204" s="1">
        <v>58.109644804647566</v>
      </c>
      <c r="G204" s="1">
        <v>56.539993919009085</v>
      </c>
      <c r="H204" s="1">
        <v>54.165096607133897</v>
      </c>
      <c r="I204" s="1">
        <v>50.636177106927789</v>
      </c>
      <c r="J204" s="1">
        <v>49.826752671620611</v>
      </c>
      <c r="K204" s="1">
        <v>49.812838004560298</v>
      </c>
      <c r="L204" s="1">
        <v>53.755157260830487</v>
      </c>
      <c r="M204" s="1">
        <v>53.655704920582046</v>
      </c>
      <c r="N204" s="1">
        <v>55.520476685493328</v>
      </c>
      <c r="O204" s="1">
        <v>55.17617025996104</v>
      </c>
      <c r="P204" s="1">
        <v>54.308586623302865</v>
      </c>
      <c r="Q204" s="1">
        <v>53.323835257693034</v>
      </c>
      <c r="R204" s="1">
        <v>52.387331732166096</v>
      </c>
      <c r="S204" s="1">
        <v>51.50211259503557</v>
      </c>
      <c r="T204" s="1">
        <v>50.707354866423387</v>
      </c>
      <c r="U204" s="1">
        <v>50.003203705641752</v>
      </c>
      <c r="V204" s="1">
        <v>49.44149617399944</v>
      </c>
      <c r="W204" s="1">
        <v>48.983219692381574</v>
      </c>
      <c r="X204" s="1">
        <v>48.639595623553866</v>
      </c>
      <c r="Y204" s="1">
        <v>48.377682614170432</v>
      </c>
      <c r="Z204" s="1">
        <v>48.156630055276068</v>
      </c>
      <c r="AA204" s="1">
        <v>47.944261292912273</v>
      </c>
      <c r="AB204" s="1">
        <v>47.669786734244653</v>
      </c>
      <c r="AC204" s="1">
        <v>47.242941050961782</v>
      </c>
      <c r="AD204" s="1">
        <v>46.693271603884689</v>
      </c>
      <c r="AE204" s="1">
        <v>46.085325688752121</v>
      </c>
      <c r="AF204" s="1">
        <v>45.391879183666944</v>
      </c>
      <c r="AG204" s="1">
        <v>44.635063589017712</v>
      </c>
      <c r="AH204" s="1">
        <v>43.850293961180427</v>
      </c>
      <c r="AI204" s="1">
        <v>43.062421381061696</v>
      </c>
      <c r="AJ204" s="1">
        <v>42.30102318969395</v>
      </c>
      <c r="AK204" s="1">
        <v>41.4173413195861</v>
      </c>
      <c r="AL204" s="1">
        <v>40.579841658438625</v>
      </c>
      <c r="AM204" s="1">
        <v>39.735109941202886</v>
      </c>
      <c r="AN204" s="1">
        <v>38.875813652537154</v>
      </c>
    </row>
    <row r="205" spans="1:40" x14ac:dyDescent="0.25">
      <c r="A205" t="s">
        <v>27</v>
      </c>
      <c r="B205" t="s">
        <v>22</v>
      </c>
      <c r="C205" t="s">
        <v>16</v>
      </c>
      <c r="D205" t="s">
        <v>3</v>
      </c>
      <c r="E205" s="1">
        <v>9.2594938219321313E-2</v>
      </c>
      <c r="F205" s="1">
        <v>9.8221293765502274E-2</v>
      </c>
      <c r="G205" s="1">
        <v>0.10386456852088388</v>
      </c>
      <c r="H205" s="1">
        <v>0.11823022869017348</v>
      </c>
      <c r="I205" s="1">
        <v>0.1712979077729733</v>
      </c>
      <c r="J205" s="1">
        <v>0.18020441126618261</v>
      </c>
      <c r="K205" s="1">
        <v>0.19300039599913024</v>
      </c>
      <c r="L205" s="1">
        <v>0.19300039599913024</v>
      </c>
      <c r="M205" s="1">
        <v>0.19300039599913024</v>
      </c>
      <c r="N205" s="1">
        <v>0.19300039599913027</v>
      </c>
      <c r="O205" s="1">
        <v>0.19300039599913027</v>
      </c>
      <c r="P205" s="1">
        <v>0.52501556245978909</v>
      </c>
      <c r="Q205" s="1">
        <v>0.52480007009493779</v>
      </c>
      <c r="R205" s="1">
        <v>0.52559319146215311</v>
      </c>
      <c r="S205" s="1">
        <v>0.53750212868747593</v>
      </c>
      <c r="T205" s="1">
        <v>0.57172325959415426</v>
      </c>
      <c r="U205" s="1">
        <v>0.59408721080067228</v>
      </c>
      <c r="V205" s="1">
        <v>0.61047636700118779</v>
      </c>
      <c r="W205" s="1">
        <v>0.62264548177012613</v>
      </c>
      <c r="X205" s="1">
        <v>0.63089162463146364</v>
      </c>
      <c r="Y205" s="1">
        <v>0.63654226601469077</v>
      </c>
      <c r="Z205" s="1">
        <v>0.63871488234167806</v>
      </c>
      <c r="AA205" s="1">
        <v>0.63419204069307866</v>
      </c>
      <c r="AB205" s="1">
        <v>0.62490187094645266</v>
      </c>
      <c r="AC205" s="1">
        <v>0.6139740198436614</v>
      </c>
      <c r="AD205" s="1">
        <v>0.60175535857293805</v>
      </c>
      <c r="AE205" s="1">
        <v>0.58982675440988308</v>
      </c>
      <c r="AF205" s="1">
        <v>0.57644298311896358</v>
      </c>
      <c r="AG205" s="1">
        <v>0.5602654558164385</v>
      </c>
      <c r="AH205" s="1">
        <v>0.54316883225258361</v>
      </c>
      <c r="AI205" s="1">
        <v>0.52661691527868959</v>
      </c>
      <c r="AJ205" s="1">
        <v>0.51059142645658129</v>
      </c>
      <c r="AK205" s="1">
        <v>0.49507459532398479</v>
      </c>
      <c r="AL205" s="1">
        <v>0.47860049536339294</v>
      </c>
      <c r="AM205" s="1">
        <v>0.4614968918096391</v>
      </c>
      <c r="AN205" s="1">
        <v>0.4450214836702413</v>
      </c>
    </row>
  </sheetData>
  <autoFilter ref="A1:D35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61"/>
  <sheetViews>
    <sheetView topLeftCell="A217" zoomScaleNormal="100" workbookViewId="0">
      <selection activeCell="D234" sqref="D234"/>
    </sheetView>
  </sheetViews>
  <sheetFormatPr defaultRowHeight="15" x14ac:dyDescent="0.25"/>
  <cols>
    <col min="1" max="1" width="12.5703125" bestFit="1" customWidth="1"/>
    <col min="2" max="2" width="11.42578125" customWidth="1"/>
    <col min="3" max="3" width="20.7109375" bestFit="1" customWidth="1"/>
  </cols>
  <sheetData>
    <row r="1" spans="1:39" x14ac:dyDescent="0.25">
      <c r="A1" t="s">
        <v>30</v>
      </c>
      <c r="B1" t="s">
        <v>19</v>
      </c>
      <c r="C1" t="s">
        <v>33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  <c r="T1" t="s">
        <v>53</v>
      </c>
      <c r="U1" t="s">
        <v>54</v>
      </c>
      <c r="V1" t="s">
        <v>55</v>
      </c>
      <c r="W1" t="s">
        <v>56</v>
      </c>
      <c r="X1" t="s">
        <v>57</v>
      </c>
      <c r="Y1" t="s">
        <v>58</v>
      </c>
      <c r="Z1" t="s">
        <v>59</v>
      </c>
      <c r="AA1" t="s">
        <v>60</v>
      </c>
      <c r="AB1" t="s">
        <v>61</v>
      </c>
      <c r="AC1" t="s">
        <v>62</v>
      </c>
      <c r="AD1" t="s">
        <v>63</v>
      </c>
      <c r="AE1" t="s">
        <v>64</v>
      </c>
      <c r="AF1" t="s">
        <v>65</v>
      </c>
      <c r="AG1" t="s">
        <v>66</v>
      </c>
      <c r="AH1" t="s">
        <v>67</v>
      </c>
      <c r="AI1" t="s">
        <v>68</v>
      </c>
      <c r="AJ1" t="s">
        <v>69</v>
      </c>
      <c r="AK1" t="s">
        <v>70</v>
      </c>
      <c r="AL1" t="s">
        <v>71</v>
      </c>
      <c r="AM1" t="s">
        <v>72</v>
      </c>
    </row>
    <row r="2" spans="1:39" x14ac:dyDescent="0.25">
      <c r="A2" t="s">
        <v>21</v>
      </c>
      <c r="B2" t="str">
        <f>[1]REF!A2</f>
        <v>Canada</v>
      </c>
      <c r="C2" t="str">
        <f>[1]REF!B2</f>
        <v>Conventional Light</v>
      </c>
      <c r="D2">
        <f>[1]REF!C2</f>
        <v>120393.94465812801</v>
      </c>
      <c r="E2">
        <f>[1]REF!D2</f>
        <v>119335.10154082894</v>
      </c>
      <c r="F2">
        <f>[1]REF!E2</f>
        <v>128495.40715258461</v>
      </c>
      <c r="G2">
        <f>[1]REF!F2</f>
        <v>126621.04200308448</v>
      </c>
      <c r="H2">
        <f>[1]REF!G2</f>
        <v>113421.70271813478</v>
      </c>
      <c r="I2">
        <f>[1]REF!H2</f>
        <v>115275.72885841444</v>
      </c>
      <c r="J2">
        <f>[1]REF!I2</f>
        <v>119783.42174049366</v>
      </c>
      <c r="K2">
        <f>[1]REF!J2</f>
        <v>121609.88327665607</v>
      </c>
      <c r="L2">
        <f>[1]REF!K2</f>
        <v>130779.05255603722</v>
      </c>
      <c r="M2">
        <f>[1]REF!L2</f>
        <v>130908.71006835497</v>
      </c>
      <c r="N2">
        <f>[1]REF!M2</f>
        <v>114675.48064994118</v>
      </c>
      <c r="O2">
        <f>[1]REF!N2</f>
        <v>107569.05421700577</v>
      </c>
      <c r="P2">
        <f>[1]REF!O2</f>
        <v>106408.59598512293</v>
      </c>
      <c r="Q2">
        <f>[1]REF!P2</f>
        <v>101814.92553308001</v>
      </c>
      <c r="R2">
        <f>[1]REF!Q2</f>
        <v>102625.25281617776</v>
      </c>
      <c r="S2">
        <f>[1]REF!R2</f>
        <v>95198.432704534265</v>
      </c>
      <c r="T2">
        <f>[1]REF!S2</f>
        <v>95025.264153319178</v>
      </c>
      <c r="U2">
        <f>[1]REF!T2</f>
        <v>94360.734100698464</v>
      </c>
      <c r="V2">
        <f>[1]REF!U2</f>
        <v>98349.671773215159</v>
      </c>
      <c r="W2">
        <f>[1]REF!V2</f>
        <v>99110.200118606022</v>
      </c>
      <c r="X2">
        <f>[1]REF!W2</f>
        <v>100345.64193310867</v>
      </c>
      <c r="Y2">
        <f>[1]REF!X2</f>
        <v>100533.34281251438</v>
      </c>
      <c r="Z2">
        <f>[1]REF!Y2</f>
        <v>101132.15775873269</v>
      </c>
      <c r="AA2">
        <f>[1]REF!Z2</f>
        <v>103849.11839192938</v>
      </c>
      <c r="AB2">
        <f>[1]REF!AA2</f>
        <v>107752.88103156401</v>
      </c>
      <c r="AC2">
        <f>[1]REF!AB2</f>
        <v>110714.24334392061</v>
      </c>
      <c r="AD2">
        <f>[1]REF!AC2</f>
        <v>111903.70864121815</v>
      </c>
      <c r="AE2">
        <f>[1]REF!AD2</f>
        <v>111930.15736818955</v>
      </c>
      <c r="AF2">
        <f>[1]REF!AE2</f>
        <v>113890.67790831999</v>
      </c>
      <c r="AG2">
        <f>[1]REF!AF2</f>
        <v>116704.67924882157</v>
      </c>
      <c r="AH2">
        <f>[1]REF!AG2</f>
        <v>119671.18681605303</v>
      </c>
      <c r="AI2">
        <f>[1]REF!AH2</f>
        <v>121472.86027533459</v>
      </c>
      <c r="AJ2">
        <f>[1]REF!AI2</f>
        <v>122127.3916092432</v>
      </c>
      <c r="AK2">
        <f>[1]REF!AJ2</f>
        <v>122450.61094816882</v>
      </c>
      <c r="AL2">
        <f>[1]REF!AK2</f>
        <v>122825.83483176694</v>
      </c>
      <c r="AM2">
        <f>[1]REF!AL2</f>
        <v>123078.75082601867</v>
      </c>
    </row>
    <row r="3" spans="1:39" x14ac:dyDescent="0.25">
      <c r="A3" t="s">
        <v>21</v>
      </c>
      <c r="B3" t="str">
        <f>[1]REF!A3</f>
        <v>Canada</v>
      </c>
      <c r="C3" t="str">
        <f>[1]REF!B3</f>
        <v>Conventional Heavy</v>
      </c>
      <c r="D3">
        <f>[1]REF!C3</f>
        <v>95714.371685317979</v>
      </c>
      <c r="E3">
        <f>[1]REF!D3</f>
        <v>94533.324805817247</v>
      </c>
      <c r="F3">
        <f>[1]REF!E3</f>
        <v>92093.948245520878</v>
      </c>
      <c r="G3">
        <f>[1]REF!F3</f>
        <v>87985.541330248874</v>
      </c>
      <c r="H3">
        <f>[1]REF!G3</f>
        <v>80184.157122495002</v>
      </c>
      <c r="I3">
        <f>[1]REF!H3</f>
        <v>79544.775663474953</v>
      </c>
      <c r="J3">
        <f>[1]REF!I3</f>
        <v>79770.543291508366</v>
      </c>
      <c r="K3">
        <f>[1]REF!J3</f>
        <v>86935.674939329067</v>
      </c>
      <c r="L3">
        <f>[1]REF!K3</f>
        <v>89225.079665544938</v>
      </c>
      <c r="M3">
        <f>[1]REF!L3</f>
        <v>98750.054845239487</v>
      </c>
      <c r="N3">
        <f>[1]REF!M3</f>
        <v>86709.106279142259</v>
      </c>
      <c r="O3">
        <f>[1]REF!N3</f>
        <v>81282.378465617643</v>
      </c>
      <c r="P3">
        <f>[1]REF!O3</f>
        <v>85919.878422883514</v>
      </c>
      <c r="Q3">
        <f>[1]REF!P3</f>
        <v>96292.769060109713</v>
      </c>
      <c r="R3">
        <f>[1]REF!Q3</f>
        <v>103535.83483124446</v>
      </c>
      <c r="S3">
        <f>[1]REF!R3</f>
        <v>111170.11924019946</v>
      </c>
      <c r="T3">
        <f>[1]REF!S3</f>
        <v>114993.09045386681</v>
      </c>
      <c r="U3">
        <f>[1]REF!T3</f>
        <v>117399.3431287967</v>
      </c>
      <c r="V3">
        <f>[1]REF!U3</f>
        <v>117755.58660516517</v>
      </c>
      <c r="W3">
        <f>[1]REF!V3</f>
        <v>119330.88204868921</v>
      </c>
      <c r="X3">
        <f>[1]REF!W3</f>
        <v>119849.85681658323</v>
      </c>
      <c r="Y3">
        <f>[1]REF!X3</f>
        <v>119582.1589204574</v>
      </c>
      <c r="Z3">
        <f>[1]REF!Y3</f>
        <v>119617.1562753562</v>
      </c>
      <c r="AA3">
        <f>[1]REF!Z3</f>
        <v>118694.02899378882</v>
      </c>
      <c r="AB3">
        <f>[1]REF!AA3</f>
        <v>117788.90926731867</v>
      </c>
      <c r="AC3">
        <f>[1]REF!AB3</f>
        <v>117263.28094736612</v>
      </c>
      <c r="AD3">
        <f>[1]REF!AC3</f>
        <v>117231.92941456786</v>
      </c>
      <c r="AE3">
        <f>[1]REF!AD3</f>
        <v>117624.95566959106</v>
      </c>
      <c r="AF3">
        <f>[1]REF!AE3</f>
        <v>117708.02192079424</v>
      </c>
      <c r="AG3">
        <f>[1]REF!AF3</f>
        <v>118063.65724434052</v>
      </c>
      <c r="AH3">
        <f>[1]REF!AG3</f>
        <v>119000.95539342372</v>
      </c>
      <c r="AI3">
        <f>[1]REF!AH3</f>
        <v>120002.29772157645</v>
      </c>
      <c r="AJ3">
        <f>[1]REF!AI3</f>
        <v>121653.61190999438</v>
      </c>
      <c r="AK3">
        <f>[1]REF!AJ3</f>
        <v>122893.41746681249</v>
      </c>
      <c r="AL3">
        <f>[1]REF!AK3</f>
        <v>124082.38315178272</v>
      </c>
      <c r="AM3">
        <f>[1]REF!AL3</f>
        <v>125315.27497111468</v>
      </c>
    </row>
    <row r="4" spans="1:39" x14ac:dyDescent="0.25">
      <c r="A4" t="s">
        <v>21</v>
      </c>
      <c r="B4" t="str">
        <f>[1]REF!A4</f>
        <v>Canada</v>
      </c>
      <c r="C4" t="str">
        <f>[1]REF!B4</f>
        <v>C5+</v>
      </c>
      <c r="D4">
        <f>[1]REF!C4</f>
        <v>24140</v>
      </c>
      <c r="E4">
        <f>[1]REF!D4</f>
        <v>24810</v>
      </c>
      <c r="F4">
        <f>[1]REF!E4</f>
        <v>24540</v>
      </c>
      <c r="G4">
        <f>[1]REF!F4</f>
        <v>23110</v>
      </c>
      <c r="H4">
        <f>[1]REF!G4</f>
        <v>21400</v>
      </c>
      <c r="I4">
        <f>[1]REF!H4</f>
        <v>20920</v>
      </c>
      <c r="J4">
        <f>[1]REF!I4</f>
        <v>20460</v>
      </c>
      <c r="K4">
        <f>[1]REF!J4</f>
        <v>20000</v>
      </c>
      <c r="L4">
        <f>[1]REF!K4</f>
        <v>21050</v>
      </c>
      <c r="M4">
        <f>[1]REF!L4</f>
        <v>24800</v>
      </c>
      <c r="N4">
        <f>[1]REF!M4</f>
        <v>30699.223013698629</v>
      </c>
      <c r="O4">
        <f>[1]REF!N4</f>
        <v>32409.198894809721</v>
      </c>
      <c r="P4">
        <f>[1]REF!O4</f>
        <v>39484.485890410957</v>
      </c>
      <c r="Q4">
        <f>[1]REF!P4</f>
        <v>40373.288315277328</v>
      </c>
      <c r="R4">
        <f>[1]REF!Q4</f>
        <v>39856.663530952865</v>
      </c>
      <c r="S4">
        <f>[1]REF!R4</f>
        <v>39299.818537965097</v>
      </c>
      <c r="T4">
        <f>[1]REF!S4</f>
        <v>38900.710835645725</v>
      </c>
      <c r="U4">
        <f>[1]REF!T4</f>
        <v>38460.917880330693</v>
      </c>
      <c r="V4">
        <f>[1]REF!U4</f>
        <v>38312.010572638646</v>
      </c>
      <c r="W4">
        <f>[1]REF!V4</f>
        <v>38294.111413036248</v>
      </c>
      <c r="X4">
        <f>[1]REF!W4</f>
        <v>38464.228501858321</v>
      </c>
      <c r="Y4">
        <f>[1]REF!X4</f>
        <v>38887.843231763749</v>
      </c>
      <c r="Z4">
        <f>[1]REF!Y4</f>
        <v>39339.587661092999</v>
      </c>
      <c r="AA4">
        <f>[1]REF!Z4</f>
        <v>39840.600289787413</v>
      </c>
      <c r="AB4">
        <f>[1]REF!AA4</f>
        <v>40477.913846688069</v>
      </c>
      <c r="AC4">
        <f>[1]REF!AB4</f>
        <v>41227.657249766693</v>
      </c>
      <c r="AD4">
        <f>[1]REF!AC4</f>
        <v>42106.693375666466</v>
      </c>
      <c r="AE4">
        <f>[1]REF!AD4</f>
        <v>43120.187400124763</v>
      </c>
      <c r="AF4">
        <f>[1]REF!AE4</f>
        <v>44181.414832444039</v>
      </c>
      <c r="AG4">
        <f>[1]REF!AF4</f>
        <v>45221.581935845439</v>
      </c>
      <c r="AH4">
        <f>[1]REF!AG4</f>
        <v>46323.922866358393</v>
      </c>
      <c r="AI4">
        <f>[1]REF!AH4</f>
        <v>47463.53387729892</v>
      </c>
      <c r="AJ4">
        <f>[1]REF!AI4</f>
        <v>48628.879715662071</v>
      </c>
      <c r="AK4">
        <f>[1]REF!AJ4</f>
        <v>49868.50812858875</v>
      </c>
      <c r="AL4">
        <f>[1]REF!AK4</f>
        <v>51209.325826998014</v>
      </c>
      <c r="AM4">
        <f>[1]REF!AL4</f>
        <v>52642.226398657149</v>
      </c>
    </row>
    <row r="5" spans="1:39" x14ac:dyDescent="0.25">
      <c r="A5" t="s">
        <v>21</v>
      </c>
      <c r="B5" t="str">
        <f>[1]REF!A5</f>
        <v>Canada</v>
      </c>
      <c r="C5" t="str">
        <f>[1]REF!B5</f>
        <v>Field Condensate</v>
      </c>
      <c r="D5">
        <f>[1]REF!C5</f>
        <v>2090</v>
      </c>
      <c r="E5">
        <f>[1]REF!D5</f>
        <v>2350</v>
      </c>
      <c r="F5">
        <f>[1]REF!E5</f>
        <v>2750</v>
      </c>
      <c r="G5">
        <f>[1]REF!F5</f>
        <v>3130</v>
      </c>
      <c r="H5">
        <f>[1]REF!G5</f>
        <v>2900</v>
      </c>
      <c r="I5">
        <f>[1]REF!H5</f>
        <v>2710</v>
      </c>
      <c r="J5">
        <f>[1]REF!I5</f>
        <v>2820</v>
      </c>
      <c r="K5">
        <f>[1]REF!J5</f>
        <v>2900</v>
      </c>
      <c r="L5">
        <f>[1]REF!K5</f>
        <v>3550</v>
      </c>
      <c r="M5">
        <f>[1]REF!L5</f>
        <v>5210</v>
      </c>
      <c r="N5">
        <f>[1]REF!M5</f>
        <v>5570</v>
      </c>
      <c r="O5">
        <f>[1]REF!N5</f>
        <v>10168.111506849318</v>
      </c>
      <c r="P5">
        <f>[1]REF!O5</f>
        <v>12126.514109589039</v>
      </c>
      <c r="Q5">
        <f>[1]REF!P5</f>
        <v>12584.115386571788</v>
      </c>
      <c r="R5">
        <f>[1]REF!Q5</f>
        <v>12565.327295097501</v>
      </c>
      <c r="S5">
        <f>[1]REF!R5</f>
        <v>12550.937399539849</v>
      </c>
      <c r="T5">
        <f>[1]REF!S5</f>
        <v>12576.231113767848</v>
      </c>
      <c r="U5">
        <f>[1]REF!T5</f>
        <v>12646.228409206036</v>
      </c>
      <c r="V5">
        <f>[1]REF!U5</f>
        <v>12744.775449409368</v>
      </c>
      <c r="W5">
        <f>[1]REF!V5</f>
        <v>12885.555128639748</v>
      </c>
      <c r="X5">
        <f>[1]REF!W5</f>
        <v>13088.455808954142</v>
      </c>
      <c r="Y5">
        <f>[1]REF!X5</f>
        <v>13378.642772678904</v>
      </c>
      <c r="Z5">
        <f>[1]REF!Y5</f>
        <v>13681.791161452875</v>
      </c>
      <c r="AA5">
        <f>[1]REF!Z5</f>
        <v>14006.816816625358</v>
      </c>
      <c r="AB5">
        <f>[1]REF!AA5</f>
        <v>14385.865760821791</v>
      </c>
      <c r="AC5">
        <f>[1]REF!AB5</f>
        <v>14812.309050425041</v>
      </c>
      <c r="AD5">
        <f>[1]REF!AC5</f>
        <v>15292.24412321122</v>
      </c>
      <c r="AE5">
        <f>[1]REF!AD5</f>
        <v>15829.264691627643</v>
      </c>
      <c r="AF5">
        <f>[1]REF!AE5</f>
        <v>16393.418854913376</v>
      </c>
      <c r="AG5">
        <f>[1]REF!AF5</f>
        <v>16958.552828327985</v>
      </c>
      <c r="AH5">
        <f>[1]REF!AG5</f>
        <v>17556.254504430715</v>
      </c>
      <c r="AI5">
        <f>[1]REF!AH5</f>
        <v>18178.821734912835</v>
      </c>
      <c r="AJ5">
        <f>[1]REF!AI5</f>
        <v>18820.267903266926</v>
      </c>
      <c r="AK5">
        <f>[1]REF!AJ5</f>
        <v>19501.623219777797</v>
      </c>
      <c r="AL5">
        <f>[1]REF!AK5</f>
        <v>20233.840668361361</v>
      </c>
      <c r="AM5">
        <f>[1]REF!AL5</f>
        <v>21015.079160773239</v>
      </c>
    </row>
    <row r="6" spans="1:39" x14ac:dyDescent="0.25">
      <c r="A6" t="s">
        <v>21</v>
      </c>
      <c r="B6" t="str">
        <f>[1]REF!A6</f>
        <v>Canada</v>
      </c>
      <c r="C6" t="str">
        <f>[1]REF!B6</f>
        <v xml:space="preserve">Mined Bitumen </v>
      </c>
      <c r="D6">
        <f>[1]REF!C6</f>
        <v>99600</v>
      </c>
      <c r="E6">
        <f>[1]REF!D6</f>
        <v>120900</v>
      </c>
      <c r="F6">
        <f>[1]REF!E6</f>
        <v>124700</v>
      </c>
      <c r="G6">
        <f>[1]REF!F6</f>
        <v>114700</v>
      </c>
      <c r="H6">
        <f>[1]REF!G6</f>
        <v>131200</v>
      </c>
      <c r="I6">
        <f>[1]REF!H6</f>
        <v>136242.99205479454</v>
      </c>
      <c r="J6">
        <f>[1]REF!I6</f>
        <v>141899.05890410958</v>
      </c>
      <c r="K6">
        <f>[1]REF!J6</f>
        <v>148216.19643835619</v>
      </c>
      <c r="L6">
        <f>[1]REF!K6</f>
        <v>155178.08602739728</v>
      </c>
      <c r="M6">
        <f>[1]REF!L6</f>
        <v>152653.42301369866</v>
      </c>
      <c r="N6">
        <f>[1]REF!M6</f>
        <v>184650.64986301371</v>
      </c>
      <c r="O6">
        <f>[1]REF!N6</f>
        <v>182833.43972602743</v>
      </c>
      <c r="P6">
        <f>[1]REF!O6</f>
        <v>202815.78219178083</v>
      </c>
      <c r="Q6">
        <f>[1]REF!P6</f>
        <v>234799.82978469165</v>
      </c>
      <c r="R6">
        <f>[1]REF!Q6</f>
        <v>254156.63379981264</v>
      </c>
      <c r="S6">
        <f>[1]REF!R6</f>
        <v>259617.83437279184</v>
      </c>
      <c r="T6">
        <f>[1]REF!S6</f>
        <v>261022.58625520545</v>
      </c>
      <c r="U6">
        <f>[1]REF!T6</f>
        <v>261826.63235775448</v>
      </c>
      <c r="V6">
        <f>[1]REF!U6</f>
        <v>261826.61697683489</v>
      </c>
      <c r="W6">
        <f>[1]REF!V6</f>
        <v>261826.62684564892</v>
      </c>
      <c r="X6">
        <f>[1]REF!W6</f>
        <v>261826.62716015082</v>
      </c>
      <c r="Y6">
        <f>[1]REF!X6</f>
        <v>261826.62703786089</v>
      </c>
      <c r="Z6">
        <f>[1]REF!Y6</f>
        <v>261826.627032105</v>
      </c>
      <c r="AA6">
        <f>[1]REF!Z6</f>
        <v>261826.62703364203</v>
      </c>
      <c r="AB6">
        <f>[1]REF!AA6</f>
        <v>261826.62703373685</v>
      </c>
      <c r="AC6">
        <f>[1]REF!AB6</f>
        <v>261826.6270337177</v>
      </c>
      <c r="AD6">
        <f>[1]REF!AC6</f>
        <v>261826.62703371618</v>
      </c>
      <c r="AE6">
        <f>[1]REF!AD6</f>
        <v>261826.62703371639</v>
      </c>
      <c r="AF6">
        <f>[1]REF!AE6</f>
        <v>261826.62703371639</v>
      </c>
      <c r="AG6">
        <f>[1]REF!AF6</f>
        <v>261826.62703371639</v>
      </c>
      <c r="AH6">
        <f>[1]REF!AG6</f>
        <v>261826.62703371639</v>
      </c>
      <c r="AI6">
        <f>[1]REF!AH6</f>
        <v>261826.62703371639</v>
      </c>
      <c r="AJ6">
        <f>[1]REF!AI6</f>
        <v>261826.62703371639</v>
      </c>
      <c r="AK6">
        <f>[1]REF!AJ6</f>
        <v>261826.62703371639</v>
      </c>
      <c r="AL6">
        <f>[1]REF!AK6</f>
        <v>261826.62703371639</v>
      </c>
      <c r="AM6">
        <f>[1]REF!AL6</f>
        <v>261826.62703371639</v>
      </c>
    </row>
    <row r="7" spans="1:39" x14ac:dyDescent="0.25">
      <c r="A7" t="s">
        <v>21</v>
      </c>
      <c r="B7" t="str">
        <f>[1]REF!A7</f>
        <v>Canada</v>
      </c>
      <c r="C7" t="str">
        <f>[1]REF!B7</f>
        <v xml:space="preserve">In Situ Bitumen </v>
      </c>
      <c r="D7">
        <f>[1]REF!C7</f>
        <v>69700</v>
      </c>
      <c r="E7">
        <f>[1]REF!D7</f>
        <v>78500</v>
      </c>
      <c r="F7">
        <f>[1]REF!E7</f>
        <v>85200</v>
      </c>
      <c r="G7">
        <f>[1]REF!F7</f>
        <v>92700</v>
      </c>
      <c r="H7">
        <f>[1]REF!G7</f>
        <v>105500</v>
      </c>
      <c r="I7">
        <f>[1]REF!H7</f>
        <v>119629.14712328766</v>
      </c>
      <c r="J7">
        <f>[1]REF!I7</f>
        <v>134719.58268493149</v>
      </c>
      <c r="K7">
        <f>[1]REF!J7</f>
        <v>157385.20219178079</v>
      </c>
      <c r="L7">
        <f>[1]REF!K7</f>
        <v>175859.07172602741</v>
      </c>
      <c r="M7">
        <f>[1]REF!L7</f>
        <v>200748.64076712329</v>
      </c>
      <c r="N7">
        <f>[1]REF!M7</f>
        <v>216516.94391559192</v>
      </c>
      <c r="O7">
        <f>[1]REF!N7</f>
        <v>222306.83333061248</v>
      </c>
      <c r="P7">
        <f>[1]REF!O7</f>
        <v>245914.92329379948</v>
      </c>
      <c r="Q7">
        <f>[1]REF!P7</f>
        <v>261640.34547641588</v>
      </c>
      <c r="R7">
        <f>[1]REF!Q7</f>
        <v>273757.26348823449</v>
      </c>
      <c r="S7">
        <f>[1]REF!R7</f>
        <v>283681.48916161514</v>
      </c>
      <c r="T7">
        <f>[1]REF!S7</f>
        <v>288325.86230611883</v>
      </c>
      <c r="U7">
        <f>[1]REF!T7</f>
        <v>292682.61261761619</v>
      </c>
      <c r="V7">
        <f>[1]REF!U7</f>
        <v>305074.30851720634</v>
      </c>
      <c r="W7">
        <f>[1]REF!V7</f>
        <v>321274.03996566811</v>
      </c>
      <c r="X7">
        <f>[1]REF!W7</f>
        <v>335609.62472703506</v>
      </c>
      <c r="Y7">
        <f>[1]REF!X7</f>
        <v>347611.63784378621</v>
      </c>
      <c r="Z7">
        <f>[1]REF!Y7</f>
        <v>357438.79739750124</v>
      </c>
      <c r="AA7">
        <f>[1]REF!Z7</f>
        <v>363322.19141001039</v>
      </c>
      <c r="AB7">
        <f>[1]REF!AA7</f>
        <v>374347.36929064599</v>
      </c>
      <c r="AC7">
        <f>[1]REF!AB7</f>
        <v>389463.41547696618</v>
      </c>
      <c r="AD7">
        <f>[1]REF!AC7</f>
        <v>404762.48132987262</v>
      </c>
      <c r="AE7">
        <f>[1]REF!AD7</f>
        <v>415366.21752313961</v>
      </c>
      <c r="AF7">
        <f>[1]REF!AE7</f>
        <v>423553.11931871559</v>
      </c>
      <c r="AG7">
        <f>[1]REF!AF7</f>
        <v>427446.44898418512</v>
      </c>
      <c r="AH7">
        <f>[1]REF!AG7</f>
        <v>431999.06093894248</v>
      </c>
      <c r="AI7">
        <f>[1]REF!AH7</f>
        <v>435121.59766249108</v>
      </c>
      <c r="AJ7">
        <f>[1]REF!AI7</f>
        <v>438919.68093110045</v>
      </c>
      <c r="AK7">
        <f>[1]REF!AJ7</f>
        <v>442581.9779715378</v>
      </c>
      <c r="AL7">
        <f>[1]REF!AK7</f>
        <v>445484.32281426439</v>
      </c>
      <c r="AM7">
        <f>[1]REF!AL7</f>
        <v>448409.4473377855</v>
      </c>
    </row>
    <row r="8" spans="1:39" x14ac:dyDescent="0.25">
      <c r="A8" t="s">
        <v>21</v>
      </c>
      <c r="B8" t="str">
        <f>[1]REF!A9</f>
        <v>Canada</v>
      </c>
      <c r="C8" t="s">
        <v>23</v>
      </c>
      <c r="D8">
        <f>SUM(D2:D7)</f>
        <v>411638.31634344597</v>
      </c>
      <c r="E8">
        <f t="shared" ref="E8:AM8" si="0">SUM(E2:E7)</f>
        <v>440428.42634664616</v>
      </c>
      <c r="F8">
        <f t="shared" si="0"/>
        <v>457779.35539810546</v>
      </c>
      <c r="G8">
        <f t="shared" si="0"/>
        <v>448246.58333333337</v>
      </c>
      <c r="H8">
        <f t="shared" si="0"/>
        <v>454605.8598406298</v>
      </c>
      <c r="I8">
        <f t="shared" si="0"/>
        <v>474322.64369997161</v>
      </c>
      <c r="J8">
        <f t="shared" si="0"/>
        <v>499452.60662104306</v>
      </c>
      <c r="K8">
        <f t="shared" si="0"/>
        <v>537046.95684612216</v>
      </c>
      <c r="L8">
        <f t="shared" si="0"/>
        <v>575641.28997500683</v>
      </c>
      <c r="M8">
        <f t="shared" si="0"/>
        <v>613070.82869441644</v>
      </c>
      <c r="N8">
        <f t="shared" si="0"/>
        <v>638821.40372138773</v>
      </c>
      <c r="O8">
        <f t="shared" si="0"/>
        <v>636569.01614092244</v>
      </c>
      <c r="P8">
        <f t="shared" si="0"/>
        <v>692670.17989358678</v>
      </c>
      <c r="Q8">
        <f t="shared" si="0"/>
        <v>747505.27355614631</v>
      </c>
      <c r="R8">
        <f t="shared" si="0"/>
        <v>786496.97576151974</v>
      </c>
      <c r="S8">
        <f t="shared" si="0"/>
        <v>801518.6314166456</v>
      </c>
      <c r="T8">
        <f t="shared" si="0"/>
        <v>810843.74511792383</v>
      </c>
      <c r="U8">
        <f t="shared" si="0"/>
        <v>817376.46849440259</v>
      </c>
      <c r="V8">
        <f t="shared" si="0"/>
        <v>834062.9698944696</v>
      </c>
      <c r="W8">
        <f t="shared" si="0"/>
        <v>852721.41552028817</v>
      </c>
      <c r="X8">
        <f t="shared" si="0"/>
        <v>869184.43494769023</v>
      </c>
      <c r="Y8">
        <f t="shared" si="0"/>
        <v>881820.25261906162</v>
      </c>
      <c r="Z8">
        <f t="shared" si="0"/>
        <v>893036.11728624115</v>
      </c>
      <c r="AA8">
        <f t="shared" si="0"/>
        <v>901539.38293578336</v>
      </c>
      <c r="AB8">
        <f t="shared" si="0"/>
        <v>916579.56623077532</v>
      </c>
      <c r="AC8">
        <f t="shared" si="0"/>
        <v>935307.5331021623</v>
      </c>
      <c r="AD8">
        <f t="shared" si="0"/>
        <v>953123.68391825247</v>
      </c>
      <c r="AE8">
        <f t="shared" si="0"/>
        <v>965697.40968638891</v>
      </c>
      <c r="AF8">
        <f t="shared" si="0"/>
        <v>977553.27986890357</v>
      </c>
      <c r="AG8">
        <f t="shared" si="0"/>
        <v>986221.54727523704</v>
      </c>
      <c r="AH8">
        <f t="shared" si="0"/>
        <v>996378.00755292468</v>
      </c>
      <c r="AI8">
        <f t="shared" si="0"/>
        <v>1004065.7383053303</v>
      </c>
      <c r="AJ8">
        <f t="shared" si="0"/>
        <v>1011976.4591029834</v>
      </c>
      <c r="AK8">
        <f t="shared" si="0"/>
        <v>1019122.7647686021</v>
      </c>
      <c r="AL8">
        <f t="shared" si="0"/>
        <v>1025662.3343268898</v>
      </c>
      <c r="AM8">
        <f t="shared" si="0"/>
        <v>1032287.4057280656</v>
      </c>
    </row>
    <row r="9" spans="1:39" x14ac:dyDescent="0.25">
      <c r="A9" t="s">
        <v>21</v>
      </c>
      <c r="B9" t="str">
        <f>[1]REF!A10</f>
        <v>BC</v>
      </c>
      <c r="C9" t="str">
        <f>[1]REF!B10</f>
        <v>Conventional Light</v>
      </c>
      <c r="D9">
        <f>[1]REF!C10</f>
        <v>4645.0814215309774</v>
      </c>
      <c r="E9">
        <f>[1]REF!D10</f>
        <v>4506.6333115719408</v>
      </c>
      <c r="F9">
        <f>[1]REF!E10</f>
        <v>4045.0273214285717</v>
      </c>
      <c r="G9">
        <f>[1]REF!F10</f>
        <v>3676.5833333333326</v>
      </c>
      <c r="H9">
        <f>[1]REF!G10</f>
        <v>3498.2216820276499</v>
      </c>
      <c r="I9">
        <f>[1]REF!H10</f>
        <v>3464.9128584229393</v>
      </c>
      <c r="J9">
        <f>[1]REF!I10</f>
        <v>3237.5430209933434</v>
      </c>
      <c r="K9">
        <f>[1]REF!J10</f>
        <v>3325.7563966135208</v>
      </c>
      <c r="L9">
        <f>[1]REF!K10</f>
        <v>3123.6676024065546</v>
      </c>
      <c r="M9">
        <f>[1]REF!L10</f>
        <v>3412.9239823348694</v>
      </c>
      <c r="N9">
        <f>[1]REF!M10</f>
        <v>3376.5470302099329</v>
      </c>
      <c r="O9">
        <f>[1]REF!N10</f>
        <v>3694.2616858237539</v>
      </c>
      <c r="P9">
        <f>[1]REF!O10</f>
        <v>3350.1810418182517</v>
      </c>
      <c r="Q9">
        <f>[1]REF!P10</f>
        <v>3193.9120688736821</v>
      </c>
      <c r="R9">
        <f>[1]REF!Q10</f>
        <v>3031.5244929963951</v>
      </c>
      <c r="S9">
        <f>[1]REF!R10</f>
        <v>2844.4458833119847</v>
      </c>
      <c r="T9">
        <f>[1]REF!S10</f>
        <v>2715.8786603007889</v>
      </c>
      <c r="U9">
        <f>[1]REF!T10</f>
        <v>2636.1284514003723</v>
      </c>
      <c r="V9">
        <f>[1]REF!U10</f>
        <v>2566.8420625183112</v>
      </c>
      <c r="W9">
        <f>[1]REF!V10</f>
        <v>2512.8314971532914</v>
      </c>
      <c r="X9">
        <f>[1]REF!W10</f>
        <v>2495.9046053920633</v>
      </c>
      <c r="Y9">
        <f>[1]REF!X10</f>
        <v>2486.1824787426904</v>
      </c>
      <c r="Z9">
        <f>[1]REF!Y10</f>
        <v>2490.5083126447157</v>
      </c>
      <c r="AA9">
        <f>[1]REF!Z10</f>
        <v>2507.0351702012654</v>
      </c>
      <c r="AB9">
        <f>[1]REF!AA10</f>
        <v>2530.2048362136698</v>
      </c>
      <c r="AC9">
        <f>[1]REF!AB10</f>
        <v>2557.1329063469057</v>
      </c>
      <c r="AD9">
        <f>[1]REF!AC10</f>
        <v>2587.7690533707728</v>
      </c>
      <c r="AE9">
        <f>[1]REF!AD10</f>
        <v>2624.007422483181</v>
      </c>
      <c r="AF9">
        <f>[1]REF!AE10</f>
        <v>2665.6794373192702</v>
      </c>
      <c r="AG9">
        <f>[1]REF!AF10</f>
        <v>2712.625301073595</v>
      </c>
      <c r="AH9">
        <f>[1]REF!AG10</f>
        <v>2759.8365273536006</v>
      </c>
      <c r="AI9">
        <f>[1]REF!AH10</f>
        <v>2807.5495575596183</v>
      </c>
      <c r="AJ9">
        <f>[1]REF!AI10</f>
        <v>2863.3714671264838</v>
      </c>
      <c r="AK9">
        <f>[1]REF!AJ10</f>
        <v>2923.5055539402219</v>
      </c>
      <c r="AL9">
        <f>[1]REF!AK10</f>
        <v>2987.2788545642306</v>
      </c>
      <c r="AM9">
        <f>[1]REF!AL10</f>
        <v>3055.6838440489678</v>
      </c>
    </row>
    <row r="10" spans="1:39" x14ac:dyDescent="0.25">
      <c r="A10" t="s">
        <v>21</v>
      </c>
      <c r="B10" t="str">
        <f>[1]REF!A11</f>
        <v>BC</v>
      </c>
      <c r="C10" t="str">
        <f>[1]REF!B11</f>
        <v>Conventional Heavy</v>
      </c>
      <c r="D10">
        <f>[1]REF!C11</f>
        <v>0</v>
      </c>
      <c r="E10">
        <f>[1]REF!D11</f>
        <v>0</v>
      </c>
      <c r="F10">
        <f>[1]REF!E11</f>
        <v>0</v>
      </c>
      <c r="G10">
        <f>[1]REF!F11</f>
        <v>0</v>
      </c>
      <c r="H10">
        <f>[1]REF!G11</f>
        <v>0</v>
      </c>
      <c r="I10">
        <f>[1]REF!H11</f>
        <v>0</v>
      </c>
      <c r="J10">
        <f>[1]REF!I11</f>
        <v>0</v>
      </c>
      <c r="K10">
        <f>[1]REF!J11</f>
        <v>0</v>
      </c>
      <c r="L10">
        <f>[1]REF!K11</f>
        <v>0</v>
      </c>
      <c r="M10">
        <f>[1]REF!L11</f>
        <v>0</v>
      </c>
      <c r="N10">
        <f>[1]REF!M11</f>
        <v>0</v>
      </c>
      <c r="O10">
        <f>[1]REF!N11</f>
        <v>0</v>
      </c>
      <c r="P10">
        <f>[1]REF!O11</f>
        <v>0</v>
      </c>
      <c r="Q10">
        <f>[1]REF!P11</f>
        <v>0</v>
      </c>
      <c r="R10">
        <f>[1]REF!Q11</f>
        <v>0</v>
      </c>
      <c r="S10">
        <f>[1]REF!R11</f>
        <v>0</v>
      </c>
      <c r="T10">
        <f>[1]REF!S11</f>
        <v>0</v>
      </c>
      <c r="U10">
        <f>[1]REF!T11</f>
        <v>0</v>
      </c>
      <c r="V10">
        <f>[1]REF!U11</f>
        <v>0</v>
      </c>
      <c r="W10">
        <f>[1]REF!V11</f>
        <v>0</v>
      </c>
      <c r="X10">
        <f>[1]REF!W11</f>
        <v>0</v>
      </c>
      <c r="Y10">
        <f>[1]REF!X11</f>
        <v>0</v>
      </c>
      <c r="Z10">
        <f>[1]REF!Y11</f>
        <v>0</v>
      </c>
      <c r="AA10">
        <f>[1]REF!Z11</f>
        <v>0</v>
      </c>
      <c r="AB10">
        <f>[1]REF!AA11</f>
        <v>0</v>
      </c>
      <c r="AC10">
        <f>[1]REF!AB11</f>
        <v>0</v>
      </c>
      <c r="AD10">
        <f>[1]REF!AC11</f>
        <v>0</v>
      </c>
      <c r="AE10">
        <f>[1]REF!AD11</f>
        <v>0</v>
      </c>
      <c r="AF10">
        <f>[1]REF!AE11</f>
        <v>0</v>
      </c>
      <c r="AG10">
        <f>[1]REF!AF11</f>
        <v>0</v>
      </c>
      <c r="AH10">
        <f>[1]REF!AG11</f>
        <v>0</v>
      </c>
      <c r="AI10">
        <f>[1]REF!AH11</f>
        <v>0</v>
      </c>
      <c r="AJ10">
        <f>[1]REF!AI11</f>
        <v>0</v>
      </c>
      <c r="AK10">
        <f>[1]REF!AJ11</f>
        <v>0</v>
      </c>
      <c r="AL10">
        <f>[1]REF!AK11</f>
        <v>0</v>
      </c>
      <c r="AM10">
        <f>[1]REF!AL11</f>
        <v>0</v>
      </c>
    </row>
    <row r="11" spans="1:39" x14ac:dyDescent="0.25">
      <c r="A11" t="s">
        <v>21</v>
      </c>
      <c r="B11" t="str">
        <f>[1]REF!A12</f>
        <v>BC</v>
      </c>
      <c r="C11" t="str">
        <f>[1]REF!B12</f>
        <v>C5+</v>
      </c>
      <c r="D11">
        <f>[1]REF!C12</f>
        <v>1430</v>
      </c>
      <c r="E11">
        <f>[1]REF!D12</f>
        <v>1450</v>
      </c>
      <c r="F11">
        <f>[1]REF!E12</f>
        <v>1290</v>
      </c>
      <c r="G11">
        <f>[1]REF!F12</f>
        <v>1170</v>
      </c>
      <c r="H11">
        <f>[1]REF!G12</f>
        <v>1260</v>
      </c>
      <c r="I11">
        <f>[1]REF!H12</f>
        <v>1420</v>
      </c>
      <c r="J11">
        <f>[1]REF!I12</f>
        <v>1780</v>
      </c>
      <c r="K11">
        <f>[1]REF!J12</f>
        <v>2029.9999999999998</v>
      </c>
      <c r="L11">
        <f>[1]REF!K12</f>
        <v>2460</v>
      </c>
      <c r="M11">
        <f>[1]REF!L12</f>
        <v>3010</v>
      </c>
      <c r="N11">
        <f>[1]REF!M12</f>
        <v>3470</v>
      </c>
      <c r="O11">
        <f>[1]REF!N12</f>
        <v>4181.2090410958917</v>
      </c>
      <c r="P11">
        <f>[1]REF!O12</f>
        <v>5720.4719178082196</v>
      </c>
      <c r="Q11">
        <f>[1]REF!P12</f>
        <v>6171.8127176489343</v>
      </c>
      <c r="R11">
        <f>[1]REF!Q12</f>
        <v>6185.7098534800916</v>
      </c>
      <c r="S11">
        <f>[1]REF!R12</f>
        <v>6218.8485080231803</v>
      </c>
      <c r="T11">
        <f>[1]REF!S12</f>
        <v>6290.2660566952936</v>
      </c>
      <c r="U11">
        <f>[1]REF!T12</f>
        <v>6383.7960240107332</v>
      </c>
      <c r="V11">
        <f>[1]REF!U12</f>
        <v>6483.9473170782858</v>
      </c>
      <c r="W11">
        <f>[1]REF!V12</f>
        <v>6592.255194581775</v>
      </c>
      <c r="X11">
        <f>[1]REF!W12</f>
        <v>6714.4285785093834</v>
      </c>
      <c r="Y11">
        <f>[1]REF!X12</f>
        <v>6866.1000291334549</v>
      </c>
      <c r="Z11">
        <f>[1]REF!Y12</f>
        <v>7015.9348214947486</v>
      </c>
      <c r="AA11">
        <f>[1]REF!Z12</f>
        <v>7173.7338741824651</v>
      </c>
      <c r="AB11">
        <f>[1]REF!AA12</f>
        <v>7358.2578584062649</v>
      </c>
      <c r="AC11">
        <f>[1]REF!AB12</f>
        <v>7567.3842866366404</v>
      </c>
      <c r="AD11">
        <f>[1]REF!AC12</f>
        <v>7797.4339225150725</v>
      </c>
      <c r="AE11">
        <f>[1]REF!AD12</f>
        <v>8050.4500217602235</v>
      </c>
      <c r="AF11">
        <f>[1]REF!AE12</f>
        <v>8313.689293803749</v>
      </c>
      <c r="AG11">
        <f>[1]REF!AF12</f>
        <v>8569.3842659904094</v>
      </c>
      <c r="AH11">
        <f>[1]REF!AG12</f>
        <v>8833.908298953369</v>
      </c>
      <c r="AI11">
        <f>[1]REF!AH12</f>
        <v>9107.4578697135476</v>
      </c>
      <c r="AJ11">
        <f>[1]REF!AI12</f>
        <v>9377.8651818586895</v>
      </c>
      <c r="AK11">
        <f>[1]REF!AJ12</f>
        <v>9662.1384838105823</v>
      </c>
      <c r="AL11">
        <f>[1]REF!AK12</f>
        <v>9962.1987864017046</v>
      </c>
      <c r="AM11">
        <f>[1]REF!AL12</f>
        <v>10278.443795525836</v>
      </c>
    </row>
    <row r="12" spans="1:39" x14ac:dyDescent="0.25">
      <c r="A12" t="s">
        <v>21</v>
      </c>
      <c r="B12" t="str">
        <f>[1]REF!A13</f>
        <v>BC</v>
      </c>
      <c r="C12" t="str">
        <f>[1]REF!B13</f>
        <v>Field Condensate</v>
      </c>
      <c r="D12">
        <f>[1]REF!C13</f>
        <v>550</v>
      </c>
      <c r="E12">
        <f>[1]REF!D13</f>
        <v>600</v>
      </c>
      <c r="F12">
        <f>[1]REF!E13</f>
        <v>660</v>
      </c>
      <c r="G12">
        <f>[1]REF!F13</f>
        <v>720</v>
      </c>
      <c r="H12">
        <f>[1]REF!G13</f>
        <v>720</v>
      </c>
      <c r="I12">
        <f>[1]REF!H13</f>
        <v>790</v>
      </c>
      <c r="J12">
        <f>[1]REF!I13</f>
        <v>880</v>
      </c>
      <c r="K12">
        <f>[1]REF!J13</f>
        <v>900</v>
      </c>
      <c r="L12">
        <f>[1]REF!K13</f>
        <v>960</v>
      </c>
      <c r="M12">
        <f>[1]REF!L13</f>
        <v>1430</v>
      </c>
      <c r="N12">
        <f>[1]REF!M13</f>
        <v>1840</v>
      </c>
      <c r="O12">
        <f>[1]REF!N13</f>
        <v>2536.7909589041078</v>
      </c>
      <c r="P12">
        <f>[1]REF!O13</f>
        <v>2619.52808219178</v>
      </c>
      <c r="Q12">
        <f>[1]REF!P13</f>
        <v>2854.1890629499831</v>
      </c>
      <c r="R12">
        <f>[1]REF!Q13</f>
        <v>2888.938799996723</v>
      </c>
      <c r="S12">
        <f>[1]REF!R13</f>
        <v>2933.1722799933295</v>
      </c>
      <c r="T12">
        <f>[1]REF!S13</f>
        <v>2996.2317898415486</v>
      </c>
      <c r="U12">
        <f>[1]REF!T13</f>
        <v>3070.8895209621442</v>
      </c>
      <c r="V12">
        <f>[1]REF!U13</f>
        <v>3149.9485916081908</v>
      </c>
      <c r="W12">
        <f>[1]REF!V13</f>
        <v>3234.2739110923139</v>
      </c>
      <c r="X12">
        <f>[1]REF!W13</f>
        <v>3326.830259901813</v>
      </c>
      <c r="Y12">
        <f>[1]REF!X13</f>
        <v>3435.662610659941</v>
      </c>
      <c r="Z12">
        <f>[1]REF!Y13</f>
        <v>3545.3958023376499</v>
      </c>
      <c r="AA12">
        <f>[1]REF!Z13</f>
        <v>3661.0295972074287</v>
      </c>
      <c r="AB12">
        <f>[1]REF!AA13</f>
        <v>3792.379403918666</v>
      </c>
      <c r="AC12">
        <f>[1]REF!AB13</f>
        <v>3938.7767275903111</v>
      </c>
      <c r="AD12">
        <f>[1]REF!AC13</f>
        <v>4098.6994686564212</v>
      </c>
      <c r="AE12">
        <f>[1]REF!AD13</f>
        <v>4273.5946648852678</v>
      </c>
      <c r="AF12">
        <f>[1]REF!AE13</f>
        <v>4457.0320591251439</v>
      </c>
      <c r="AG12">
        <f>[1]REF!AF13</f>
        <v>4639.5983365720094</v>
      </c>
      <c r="AH12">
        <f>[1]REF!AG13</f>
        <v>4830.1703866145708</v>
      </c>
      <c r="AI12">
        <f>[1]REF!AH13</f>
        <v>5029.0451323321031</v>
      </c>
      <c r="AJ12">
        <f>[1]REF!AI13</f>
        <v>5229.6321896102636</v>
      </c>
      <c r="AK12">
        <f>[1]REF!AJ13</f>
        <v>5441.5072979054539</v>
      </c>
      <c r="AL12">
        <f>[1]REF!AK13</f>
        <v>5666.0442199234203</v>
      </c>
      <c r="AM12">
        <f>[1]REF!AL13</f>
        <v>5903.7902514150937</v>
      </c>
    </row>
    <row r="13" spans="1:39" x14ac:dyDescent="0.25">
      <c r="A13" t="s">
        <v>21</v>
      </c>
      <c r="B13" t="s">
        <v>73</v>
      </c>
      <c r="C13" t="s">
        <v>23</v>
      </c>
      <c r="D13">
        <f>SUM(D9:D12)</f>
        <v>6625.0814215309774</v>
      </c>
      <c r="E13">
        <f t="shared" ref="E13:AM13" si="1">SUM(E9:E12)</f>
        <v>6556.6333115719408</v>
      </c>
      <c r="F13">
        <f t="shared" si="1"/>
        <v>5995.0273214285717</v>
      </c>
      <c r="G13">
        <f t="shared" si="1"/>
        <v>5566.5833333333321</v>
      </c>
      <c r="H13">
        <f t="shared" si="1"/>
        <v>5478.2216820276499</v>
      </c>
      <c r="I13">
        <f t="shared" si="1"/>
        <v>5674.9128584229393</v>
      </c>
      <c r="J13">
        <f t="shared" si="1"/>
        <v>5897.5430209933438</v>
      </c>
      <c r="K13">
        <f t="shared" si="1"/>
        <v>6255.7563966135203</v>
      </c>
      <c r="L13">
        <f t="shared" si="1"/>
        <v>6543.6676024065546</v>
      </c>
      <c r="M13">
        <f t="shared" si="1"/>
        <v>7852.9239823348689</v>
      </c>
      <c r="N13">
        <f t="shared" si="1"/>
        <v>8686.5470302099329</v>
      </c>
      <c r="O13">
        <f t="shared" si="1"/>
        <v>10412.261685823754</v>
      </c>
      <c r="P13">
        <f t="shared" si="1"/>
        <v>11690.181041818252</v>
      </c>
      <c r="Q13">
        <f t="shared" si="1"/>
        <v>12219.913849472599</v>
      </c>
      <c r="R13">
        <f t="shared" si="1"/>
        <v>12106.173146473211</v>
      </c>
      <c r="S13">
        <f t="shared" si="1"/>
        <v>11996.466671328493</v>
      </c>
      <c r="T13">
        <f t="shared" si="1"/>
        <v>12002.376506837631</v>
      </c>
      <c r="U13">
        <f t="shared" si="1"/>
        <v>12090.81399637325</v>
      </c>
      <c r="V13">
        <f t="shared" si="1"/>
        <v>12200.737971204788</v>
      </c>
      <c r="W13">
        <f t="shared" si="1"/>
        <v>12339.360602827381</v>
      </c>
      <c r="X13">
        <f t="shared" si="1"/>
        <v>12537.16344380326</v>
      </c>
      <c r="Y13">
        <f t="shared" si="1"/>
        <v>12787.945118536087</v>
      </c>
      <c r="Z13">
        <f t="shared" si="1"/>
        <v>13051.838936477114</v>
      </c>
      <c r="AA13">
        <f t="shared" si="1"/>
        <v>13341.79864159116</v>
      </c>
      <c r="AB13">
        <f t="shared" si="1"/>
        <v>13680.8420985386</v>
      </c>
      <c r="AC13">
        <f t="shared" si="1"/>
        <v>14063.293920573857</v>
      </c>
      <c r="AD13">
        <f t="shared" si="1"/>
        <v>14483.902444542266</v>
      </c>
      <c r="AE13">
        <f t="shared" si="1"/>
        <v>14948.052109128672</v>
      </c>
      <c r="AF13">
        <f t="shared" si="1"/>
        <v>15436.400790248163</v>
      </c>
      <c r="AG13">
        <f t="shared" si="1"/>
        <v>15921.607903636013</v>
      </c>
      <c r="AH13">
        <f t="shared" si="1"/>
        <v>16423.91521292154</v>
      </c>
      <c r="AI13">
        <f t="shared" si="1"/>
        <v>16944.052559605268</v>
      </c>
      <c r="AJ13">
        <f t="shared" si="1"/>
        <v>17470.868838595437</v>
      </c>
      <c r="AK13">
        <f t="shared" si="1"/>
        <v>18027.151335656257</v>
      </c>
      <c r="AL13">
        <f t="shared" si="1"/>
        <v>18615.521860889356</v>
      </c>
      <c r="AM13">
        <f t="shared" si="1"/>
        <v>19237.917890989898</v>
      </c>
    </row>
    <row r="14" spans="1:39" x14ac:dyDescent="0.25">
      <c r="A14" t="s">
        <v>21</v>
      </c>
      <c r="B14" t="str">
        <f>[1]REF!A14</f>
        <v>AB</v>
      </c>
      <c r="C14" t="str">
        <f>[1]REF!B14</f>
        <v>Conventional Light</v>
      </c>
      <c r="D14">
        <f>[1]REF!C14</f>
        <v>61608.885781863297</v>
      </c>
      <c r="E14">
        <f>[1]REF!D14</f>
        <v>59160.558397498877</v>
      </c>
      <c r="F14">
        <f>[1]REF!E14</f>
        <v>57156.982398125292</v>
      </c>
      <c r="G14">
        <f>[1]REF!F14</f>
        <v>55079.4261325193</v>
      </c>
      <c r="H14">
        <f>[1]REF!G14</f>
        <v>50836.217720381457</v>
      </c>
      <c r="I14">
        <f>[1]REF!H14</f>
        <v>51338.873677928677</v>
      </c>
      <c r="J14">
        <f>[1]REF!I14</f>
        <v>56341.617267120324</v>
      </c>
      <c r="K14">
        <f>[1]REF!J14</f>
        <v>65504.216617338796</v>
      </c>
      <c r="L14">
        <f>[1]REF!K14</f>
        <v>69200.576338328712</v>
      </c>
      <c r="M14">
        <f>[1]REF!L14</f>
        <v>71051.166299791337</v>
      </c>
      <c r="N14">
        <f>[1]REF!M14</f>
        <v>64074.35544146796</v>
      </c>
      <c r="O14">
        <f>[1]REF!N14</f>
        <v>53323.447957963377</v>
      </c>
      <c r="P14">
        <f>[1]REF!O14</f>
        <v>53315.231226348718</v>
      </c>
      <c r="Q14">
        <f>[1]REF!P14</f>
        <v>54344.354991857785</v>
      </c>
      <c r="R14">
        <f>[1]REF!Q14</f>
        <v>54996.004427920117</v>
      </c>
      <c r="S14">
        <f>[1]REF!R14</f>
        <v>55037.075774348006</v>
      </c>
      <c r="T14">
        <f>[1]REF!S14</f>
        <v>55132.943089922934</v>
      </c>
      <c r="U14">
        <f>[1]REF!T14</f>
        <v>55490.307298059655</v>
      </c>
      <c r="V14">
        <f>[1]REF!U14</f>
        <v>56376.75319678121</v>
      </c>
      <c r="W14">
        <f>[1]REF!V14</f>
        <v>57816.49339958014</v>
      </c>
      <c r="X14">
        <f>[1]REF!W14</f>
        <v>59672.191047091066</v>
      </c>
      <c r="Y14">
        <f>[1]REF!X14</f>
        <v>61726.585083931328</v>
      </c>
      <c r="Z14">
        <f>[1]REF!Y14</f>
        <v>63797.189353814792</v>
      </c>
      <c r="AA14">
        <f>[1]REF!Z14</f>
        <v>65816.01567189768</v>
      </c>
      <c r="AB14">
        <f>[1]REF!AA14</f>
        <v>67746.256863680916</v>
      </c>
      <c r="AC14">
        <f>[1]REF!AB14</f>
        <v>69572.882765297574</v>
      </c>
      <c r="AD14">
        <f>[1]REF!AC14</f>
        <v>71332.312159089008</v>
      </c>
      <c r="AE14">
        <f>[1]REF!AD14</f>
        <v>73057.938720754828</v>
      </c>
      <c r="AF14">
        <f>[1]REF!AE14</f>
        <v>74825.861940750692</v>
      </c>
      <c r="AG14">
        <f>[1]REF!AF14</f>
        <v>76668.589598701001</v>
      </c>
      <c r="AH14">
        <f>[1]REF!AG14</f>
        <v>78572.110370284645</v>
      </c>
      <c r="AI14">
        <f>[1]REF!AH14</f>
        <v>80517.547191045334</v>
      </c>
      <c r="AJ14">
        <f>[1]REF!AI14</f>
        <v>82487.036700780416</v>
      </c>
      <c r="AK14">
        <f>[1]REF!AJ14</f>
        <v>84449.862442022946</v>
      </c>
      <c r="AL14">
        <f>[1]REF!AK14</f>
        <v>86374.69061356262</v>
      </c>
      <c r="AM14">
        <f>[1]REF!AL14</f>
        <v>88286.211139932464</v>
      </c>
    </row>
    <row r="15" spans="1:39" x14ac:dyDescent="0.25">
      <c r="A15" t="s">
        <v>21</v>
      </c>
      <c r="B15" t="str">
        <f>[1]REF!A15</f>
        <v>AB</v>
      </c>
      <c r="C15" t="str">
        <f>[1]REF!B15</f>
        <v>Conventional Heavy</v>
      </c>
      <c r="D15">
        <f>[1]REF!C15</f>
        <v>29193.593812990777</v>
      </c>
      <c r="E15">
        <f>[1]REF!D15</f>
        <v>27160.952141415612</v>
      </c>
      <c r="F15">
        <f>[1]REF!E15</f>
        <v>26214.863449288954</v>
      </c>
      <c r="G15">
        <f>[1]REF!F15</f>
        <v>24858.490534147371</v>
      </c>
      <c r="H15">
        <f>[1]REF!G15</f>
        <v>22446.045407498725</v>
      </c>
      <c r="I15">
        <f>[1]REF!H15</f>
        <v>21617.565081031888</v>
      </c>
      <c r="J15">
        <f>[1]REF!I15</f>
        <v>21535.350062628768</v>
      </c>
      <c r="K15">
        <f>[1]REF!J15</f>
        <v>22936.758509477593</v>
      </c>
      <c r="L15">
        <f>[1]REF!K15</f>
        <v>23326.349274190499</v>
      </c>
      <c r="M15">
        <f>[1]REF!L15</f>
        <v>22640.786462625441</v>
      </c>
      <c r="N15">
        <f>[1]REF!M15</f>
        <v>20228.204740943693</v>
      </c>
      <c r="O15">
        <f>[1]REF!N15</f>
        <v>17488.412924688299</v>
      </c>
      <c r="P15">
        <f>[1]REF!O15</f>
        <v>17204.000523056242</v>
      </c>
      <c r="Q15">
        <f>[1]REF!P15</f>
        <v>16181.945772342844</v>
      </c>
      <c r="R15">
        <f>[1]REF!Q15</f>
        <v>15212.096218158937</v>
      </c>
      <c r="S15">
        <f>[1]REF!R15</f>
        <v>14340.590948850591</v>
      </c>
      <c r="T15">
        <f>[1]REF!S15</f>
        <v>13691.771077238567</v>
      </c>
      <c r="U15">
        <f>[1]REF!T15</f>
        <v>13302.117249484483</v>
      </c>
      <c r="V15">
        <f>[1]REF!U15</f>
        <v>13197.111921537204</v>
      </c>
      <c r="W15">
        <f>[1]REF!V15</f>
        <v>13358.18077957497</v>
      </c>
      <c r="X15">
        <f>[1]REF!W15</f>
        <v>13722.562325986923</v>
      </c>
      <c r="Y15">
        <f>[1]REF!X15</f>
        <v>14212.957832739014</v>
      </c>
      <c r="Z15">
        <f>[1]REF!Y15</f>
        <v>14763.245685002381</v>
      </c>
      <c r="AA15">
        <f>[1]REF!Z15</f>
        <v>15327.957792648214</v>
      </c>
      <c r="AB15">
        <f>[1]REF!AA15</f>
        <v>15880.827548802732</v>
      </c>
      <c r="AC15">
        <f>[1]REF!AB15</f>
        <v>16416.177359269805</v>
      </c>
      <c r="AD15">
        <f>[1]REF!AC15</f>
        <v>16941.963776648918</v>
      </c>
      <c r="AE15">
        <f>[1]REF!AD15</f>
        <v>17467.608482318043</v>
      </c>
      <c r="AF15">
        <f>[1]REF!AE15</f>
        <v>18004.289167385537</v>
      </c>
      <c r="AG15">
        <f>[1]REF!AF15</f>
        <v>18558.31452608803</v>
      </c>
      <c r="AH15">
        <f>[1]REF!AG15</f>
        <v>19128.550324210122</v>
      </c>
      <c r="AI15">
        <f>[1]REF!AH15</f>
        <v>19709.274896045477</v>
      </c>
      <c r="AJ15">
        <f>[1]REF!AI15</f>
        <v>20295.781992774628</v>
      </c>
      <c r="AK15">
        <f>[1]REF!AJ15</f>
        <v>20877.528094266749</v>
      </c>
      <c r="AL15">
        <f>[1]REF!AK15</f>
        <v>21444.215638610043</v>
      </c>
      <c r="AM15">
        <f>[1]REF!AL15</f>
        <v>22002.198876531616</v>
      </c>
    </row>
    <row r="16" spans="1:39" x14ac:dyDescent="0.25">
      <c r="A16" t="s">
        <v>21</v>
      </c>
      <c r="B16" t="str">
        <f>[1]REF!A16</f>
        <v>AB</v>
      </c>
      <c r="C16" t="str">
        <f>[1]REF!B16</f>
        <v>C5+</v>
      </c>
      <c r="D16">
        <f>[1]REF!C16</f>
        <v>20570</v>
      </c>
      <c r="E16">
        <f>[1]REF!D16</f>
        <v>21350</v>
      </c>
      <c r="F16">
        <f>[1]REF!E16</f>
        <v>21260</v>
      </c>
      <c r="G16">
        <f>[1]REF!F16</f>
        <v>20070</v>
      </c>
      <c r="H16">
        <f>[1]REF!G16</f>
        <v>18840</v>
      </c>
      <c r="I16">
        <f>[1]REF!H16</f>
        <v>18330</v>
      </c>
      <c r="J16">
        <f>[1]REF!I16</f>
        <v>17720</v>
      </c>
      <c r="K16">
        <f>[1]REF!J16</f>
        <v>17290</v>
      </c>
      <c r="L16">
        <f>[1]REF!K16</f>
        <v>18160</v>
      </c>
      <c r="M16">
        <f>[1]REF!L16</f>
        <v>21230</v>
      </c>
      <c r="N16">
        <f>[1]REF!M16</f>
        <v>26690</v>
      </c>
      <c r="O16">
        <f>[1]REF!N16</f>
        <v>27711.679452054788</v>
      </c>
      <c r="P16">
        <f>[1]REF!O16</f>
        <v>33352.013972602741</v>
      </c>
      <c r="Q16">
        <f>[1]REF!P16</f>
        <v>33799.475597628392</v>
      </c>
      <c r="R16">
        <f>[1]REF!Q16</f>
        <v>33283.953677472775</v>
      </c>
      <c r="S16">
        <f>[1]REF!R16</f>
        <v>32757.970029941916</v>
      </c>
      <c r="T16">
        <f>[1]REF!S16</f>
        <v>32309.444778950434</v>
      </c>
      <c r="U16">
        <f>[1]REF!T16</f>
        <v>31977.121856319958</v>
      </c>
      <c r="V16">
        <f>[1]REF!U16</f>
        <v>31728.063255560359</v>
      </c>
      <c r="W16">
        <f>[1]REF!V16</f>
        <v>31601.856218454472</v>
      </c>
      <c r="X16">
        <f>[1]REF!W16</f>
        <v>31649.799923348935</v>
      </c>
      <c r="Y16">
        <f>[1]REF!X16</f>
        <v>31921.743202630292</v>
      </c>
      <c r="Z16">
        <f>[1]REF!Y16</f>
        <v>32223.652839598253</v>
      </c>
      <c r="AA16">
        <f>[1]REF!Z16</f>
        <v>32566.866415604945</v>
      </c>
      <c r="AB16">
        <f>[1]REF!AA16</f>
        <v>33019.655988281804</v>
      </c>
      <c r="AC16">
        <f>[1]REF!AB16</f>
        <v>33560.272963130054</v>
      </c>
      <c r="AD16">
        <f>[1]REF!AC16</f>
        <v>34209.25945315139</v>
      </c>
      <c r="AE16">
        <f>[1]REF!AD16</f>
        <v>34969.737378364538</v>
      </c>
      <c r="AF16">
        <f>[1]REF!AE16</f>
        <v>35767.72553864029</v>
      </c>
      <c r="AG16">
        <f>[1]REF!AF16</f>
        <v>36552.197669855028</v>
      </c>
      <c r="AH16">
        <f>[1]REF!AG16</f>
        <v>37390.014567405022</v>
      </c>
      <c r="AI16">
        <f>[1]REF!AH16</f>
        <v>38256.076007585369</v>
      </c>
      <c r="AJ16">
        <f>[1]REF!AI16</f>
        <v>39151.014533803384</v>
      </c>
      <c r="AK16">
        <f>[1]REF!AJ16</f>
        <v>40106.369644778169</v>
      </c>
      <c r="AL16">
        <f>[1]REF!AK16</f>
        <v>41147.127040596308</v>
      </c>
      <c r="AM16">
        <f>[1]REF!AL16</f>
        <v>42263.782603131316</v>
      </c>
    </row>
    <row r="17" spans="1:39" x14ac:dyDescent="0.25">
      <c r="A17" t="s">
        <v>21</v>
      </c>
      <c r="B17" t="str">
        <f>[1]REF!A17</f>
        <v>AB</v>
      </c>
      <c r="C17" t="str">
        <f>[1]REF!B17</f>
        <v>Field Condensate</v>
      </c>
      <c r="D17">
        <f>[1]REF!C17</f>
        <v>1540</v>
      </c>
      <c r="E17">
        <f>[1]REF!D17</f>
        <v>1750</v>
      </c>
      <c r="F17">
        <f>[1]REF!E17</f>
        <v>2090</v>
      </c>
      <c r="G17">
        <f>[1]REF!F17</f>
        <v>2410</v>
      </c>
      <c r="H17">
        <f>[1]REF!G17</f>
        <v>2180</v>
      </c>
      <c r="I17">
        <f>[1]REF!H17</f>
        <v>1920</v>
      </c>
      <c r="J17">
        <f>[1]REF!I17</f>
        <v>1940</v>
      </c>
      <c r="K17">
        <f>[1]REF!J17</f>
        <v>2000</v>
      </c>
      <c r="L17">
        <f>[1]REF!K17</f>
        <v>2590</v>
      </c>
      <c r="M17">
        <f>[1]REF!L17</f>
        <v>3780</v>
      </c>
      <c r="N17">
        <f>[1]REF!M17</f>
        <v>3730</v>
      </c>
      <c r="O17">
        <f>[1]REF!N17</f>
        <v>7631.3205479452108</v>
      </c>
      <c r="P17">
        <f>[1]REF!O17</f>
        <v>9506.986027397259</v>
      </c>
      <c r="Q17">
        <f>[1]REF!P17</f>
        <v>9729.9263236218048</v>
      </c>
      <c r="R17">
        <f>[1]REF!Q17</f>
        <v>9676.3884951007785</v>
      </c>
      <c r="S17">
        <f>[1]REF!R17</f>
        <v>9617.7651195465187</v>
      </c>
      <c r="T17">
        <f>[1]REF!S17</f>
        <v>9579.9993239263003</v>
      </c>
      <c r="U17">
        <f>[1]REF!T17</f>
        <v>9575.3388882438921</v>
      </c>
      <c r="V17">
        <f>[1]REF!U17</f>
        <v>9594.8268578011775</v>
      </c>
      <c r="W17">
        <f>[1]REF!V17</f>
        <v>9651.2812175474337</v>
      </c>
      <c r="X17">
        <f>[1]REF!W17</f>
        <v>9761.625549052329</v>
      </c>
      <c r="Y17">
        <f>[1]REF!X17</f>
        <v>9942.9801620189628</v>
      </c>
      <c r="Z17">
        <f>[1]REF!Y17</f>
        <v>10136.395359115224</v>
      </c>
      <c r="AA17">
        <f>[1]REF!Z17</f>
        <v>10345.787219417929</v>
      </c>
      <c r="AB17">
        <f>[1]REF!AA17</f>
        <v>10593.486356903124</v>
      </c>
      <c r="AC17">
        <f>[1]REF!AB17</f>
        <v>10873.53232283473</v>
      </c>
      <c r="AD17">
        <f>[1]REF!AC17</f>
        <v>11193.544654554798</v>
      </c>
      <c r="AE17">
        <f>[1]REF!AD17</f>
        <v>11555.670026742375</v>
      </c>
      <c r="AF17">
        <f>[1]REF!AE17</f>
        <v>11936.386795788234</v>
      </c>
      <c r="AG17">
        <f>[1]REF!AF17</f>
        <v>12318.954491755974</v>
      </c>
      <c r="AH17">
        <f>[1]REF!AG17</f>
        <v>12726.084117816144</v>
      </c>
      <c r="AI17">
        <f>[1]REF!AH17</f>
        <v>13149.776602580732</v>
      </c>
      <c r="AJ17">
        <f>[1]REF!AI17</f>
        <v>13590.63571365666</v>
      </c>
      <c r="AK17">
        <f>[1]REF!AJ17</f>
        <v>14060.115921872344</v>
      </c>
      <c r="AL17">
        <f>[1]REF!AK17</f>
        <v>14567.796448437941</v>
      </c>
      <c r="AM17">
        <f>[1]REF!AL17</f>
        <v>15111.288909358143</v>
      </c>
    </row>
    <row r="18" spans="1:39" x14ac:dyDescent="0.25">
      <c r="A18" t="s">
        <v>21</v>
      </c>
      <c r="B18" t="str">
        <f>[1]REF!A18</f>
        <v>AB</v>
      </c>
      <c r="C18" t="str">
        <f>[1]REF!B18</f>
        <v xml:space="preserve">Mined Bitumen </v>
      </c>
      <c r="D18">
        <f>[1]REF!C18</f>
        <v>99600</v>
      </c>
      <c r="E18">
        <f>[1]REF!D18</f>
        <v>120900</v>
      </c>
      <c r="F18">
        <f>[1]REF!E18</f>
        <v>124700</v>
      </c>
      <c r="G18">
        <f>[1]REF!F18</f>
        <v>114700</v>
      </c>
      <c r="H18">
        <f>[1]REF!G18</f>
        <v>131200</v>
      </c>
      <c r="I18">
        <f>[1]REF!H18</f>
        <v>136242.99205479454</v>
      </c>
      <c r="J18">
        <f>[1]REF!I18</f>
        <v>141899.05890410958</v>
      </c>
      <c r="K18">
        <f>[1]REF!J18</f>
        <v>148216.19643835619</v>
      </c>
      <c r="L18">
        <f>[1]REF!K18</f>
        <v>155178.08602739728</v>
      </c>
      <c r="M18">
        <f>[1]REF!L18</f>
        <v>152653.42301369866</v>
      </c>
      <c r="N18">
        <f>[1]REF!M18</f>
        <v>184650.64986301371</v>
      </c>
      <c r="O18">
        <f>[1]REF!N18</f>
        <v>182833.43972602743</v>
      </c>
      <c r="P18">
        <f>[1]REF!O18</f>
        <v>202815.78219178083</v>
      </c>
      <c r="Q18">
        <f>[1]REF!P18</f>
        <v>234799.82978469165</v>
      </c>
      <c r="R18">
        <f>[1]REF!Q18</f>
        <v>254156.63379981264</v>
      </c>
      <c r="S18">
        <f>[1]REF!R18</f>
        <v>259617.83437279184</v>
      </c>
      <c r="T18">
        <f>[1]REF!S18</f>
        <v>261022.58625520545</v>
      </c>
      <c r="U18">
        <f>[1]REF!T18</f>
        <v>261826.63235775448</v>
      </c>
      <c r="V18">
        <f>[1]REF!U18</f>
        <v>261826.61697683489</v>
      </c>
      <c r="W18">
        <f>[1]REF!V18</f>
        <v>261826.62684564892</v>
      </c>
      <c r="X18">
        <f>[1]REF!W18</f>
        <v>261826.62716015082</v>
      </c>
      <c r="Y18">
        <f>[1]REF!X18</f>
        <v>261826.62703786089</v>
      </c>
      <c r="Z18">
        <f>[1]REF!Y18</f>
        <v>261826.627032105</v>
      </c>
      <c r="AA18">
        <f>[1]REF!Z18</f>
        <v>261826.62703364203</v>
      </c>
      <c r="AB18">
        <f>[1]REF!AA18</f>
        <v>261826.62703373685</v>
      </c>
      <c r="AC18">
        <f>[1]REF!AB18</f>
        <v>261826.6270337177</v>
      </c>
      <c r="AD18">
        <f>[1]REF!AC18</f>
        <v>261826.62703371618</v>
      </c>
      <c r="AE18">
        <f>[1]REF!AD18</f>
        <v>261826.62703371639</v>
      </c>
      <c r="AF18">
        <f>[1]REF!AE18</f>
        <v>261826.62703371639</v>
      </c>
      <c r="AG18">
        <f>[1]REF!AF18</f>
        <v>261826.62703371639</v>
      </c>
      <c r="AH18">
        <f>[1]REF!AG18</f>
        <v>261826.62703371639</v>
      </c>
      <c r="AI18">
        <f>[1]REF!AH18</f>
        <v>261826.62703371639</v>
      </c>
      <c r="AJ18">
        <f>[1]REF!AI18</f>
        <v>261826.62703371639</v>
      </c>
      <c r="AK18">
        <f>[1]REF!AJ18</f>
        <v>261826.62703371639</v>
      </c>
      <c r="AL18">
        <f>[1]REF!AK18</f>
        <v>261826.62703371639</v>
      </c>
      <c r="AM18">
        <f>[1]REF!AL18</f>
        <v>261826.62703371639</v>
      </c>
    </row>
    <row r="19" spans="1:39" x14ac:dyDescent="0.25">
      <c r="A19" t="s">
        <v>21</v>
      </c>
      <c r="B19" t="str">
        <f>[1]REF!A19</f>
        <v>AB</v>
      </c>
      <c r="C19" t="str">
        <f>[1]REF!B19</f>
        <v xml:space="preserve">In Situ Bitumen </v>
      </c>
      <c r="D19">
        <f>[1]REF!C19</f>
        <v>69700</v>
      </c>
      <c r="E19">
        <f>[1]REF!D19</f>
        <v>78500</v>
      </c>
      <c r="F19">
        <f>[1]REF!E19</f>
        <v>85200</v>
      </c>
      <c r="G19">
        <f>[1]REF!F19</f>
        <v>92700</v>
      </c>
      <c r="H19">
        <f>[1]REF!G19</f>
        <v>105500</v>
      </c>
      <c r="I19">
        <f>[1]REF!H19</f>
        <v>119629.14712328766</v>
      </c>
      <c r="J19">
        <f>[1]REF!I19</f>
        <v>134719.58268493149</v>
      </c>
      <c r="K19">
        <f>[1]REF!J19</f>
        <v>157385.20219178079</v>
      </c>
      <c r="L19">
        <f>[1]REF!K19</f>
        <v>175859.07172602741</v>
      </c>
      <c r="M19">
        <f>[1]REF!L19</f>
        <v>200748.64076712329</v>
      </c>
      <c r="N19">
        <f>[1]REF!M19</f>
        <v>216516.94391559192</v>
      </c>
      <c r="O19">
        <f>[1]REF!N19</f>
        <v>222306.83333061248</v>
      </c>
      <c r="P19">
        <f>[1]REF!O19</f>
        <v>245914.92329379948</v>
      </c>
      <c r="Q19">
        <f>[1]REF!P19</f>
        <v>261640.34547641588</v>
      </c>
      <c r="R19">
        <f>[1]REF!Q19</f>
        <v>273757.26348823449</v>
      </c>
      <c r="S19">
        <f>[1]REF!R19</f>
        <v>283681.48916161514</v>
      </c>
      <c r="T19">
        <f>[1]REF!S19</f>
        <v>288325.86230611883</v>
      </c>
      <c r="U19">
        <f>[1]REF!T19</f>
        <v>292682.61261761619</v>
      </c>
      <c r="V19">
        <f>[1]REF!U19</f>
        <v>305074.30851720634</v>
      </c>
      <c r="W19">
        <f>[1]REF!V19</f>
        <v>321274.03996566811</v>
      </c>
      <c r="X19">
        <f>[1]REF!W19</f>
        <v>335609.62472703506</v>
      </c>
      <c r="Y19">
        <f>[1]REF!X19</f>
        <v>347611.63784378621</v>
      </c>
      <c r="Z19">
        <f>[1]REF!Y19</f>
        <v>357438.79739750124</v>
      </c>
      <c r="AA19">
        <f>[1]REF!Z19</f>
        <v>363322.19141001039</v>
      </c>
      <c r="AB19">
        <f>[1]REF!AA19</f>
        <v>374347.36929064599</v>
      </c>
      <c r="AC19">
        <f>[1]REF!AB19</f>
        <v>389463.41547696618</v>
      </c>
      <c r="AD19">
        <f>[1]REF!AC19</f>
        <v>404762.48132987262</v>
      </c>
      <c r="AE19">
        <f>[1]REF!AD19</f>
        <v>415366.21752313961</v>
      </c>
      <c r="AF19">
        <f>[1]REF!AE19</f>
        <v>423553.11931871559</v>
      </c>
      <c r="AG19">
        <f>[1]REF!AF19</f>
        <v>427446.44898418512</v>
      </c>
      <c r="AH19">
        <f>[1]REF!AG19</f>
        <v>431999.06093894248</v>
      </c>
      <c r="AI19">
        <f>[1]REF!AH19</f>
        <v>435121.59766249108</v>
      </c>
      <c r="AJ19">
        <f>[1]REF!AI19</f>
        <v>438919.68093110045</v>
      </c>
      <c r="AK19">
        <f>[1]REF!AJ19</f>
        <v>442581.9779715378</v>
      </c>
      <c r="AL19">
        <f>[1]REF!AK19</f>
        <v>445484.32281426439</v>
      </c>
      <c r="AM19">
        <f>[1]REF!AL19</f>
        <v>448409.4473377855</v>
      </c>
    </row>
    <row r="20" spans="1:39" x14ac:dyDescent="0.25">
      <c r="A20" t="s">
        <v>21</v>
      </c>
      <c r="B20" t="s">
        <v>74</v>
      </c>
      <c r="C20" t="s">
        <v>23</v>
      </c>
      <c r="D20">
        <f t="shared" ref="D20:AM20" si="2">SUM(D14:D19)</f>
        <v>282212.47959485406</v>
      </c>
      <c r="E20">
        <f t="shared" si="2"/>
        <v>308821.51053891447</v>
      </c>
      <c r="F20">
        <f t="shared" si="2"/>
        <v>316621.84584741422</v>
      </c>
      <c r="G20">
        <f t="shared" si="2"/>
        <v>309817.91666666669</v>
      </c>
      <c r="H20">
        <f t="shared" si="2"/>
        <v>331002.26312788017</v>
      </c>
      <c r="I20">
        <f t="shared" si="2"/>
        <v>349078.57793704275</v>
      </c>
      <c r="J20">
        <f t="shared" si="2"/>
        <v>374155.60891879012</v>
      </c>
      <c r="K20">
        <f t="shared" si="2"/>
        <v>413332.3737569534</v>
      </c>
      <c r="L20">
        <f t="shared" si="2"/>
        <v>444314.08336594386</v>
      </c>
      <c r="M20">
        <f t="shared" si="2"/>
        <v>472104.01654323877</v>
      </c>
      <c r="N20">
        <f t="shared" si="2"/>
        <v>515890.15396101726</v>
      </c>
      <c r="O20">
        <f t="shared" si="2"/>
        <v>511295.13393929158</v>
      </c>
      <c r="P20">
        <f t="shared" si="2"/>
        <v>562108.93723498529</v>
      </c>
      <c r="Q20">
        <f t="shared" si="2"/>
        <v>610495.87794655841</v>
      </c>
      <c r="R20">
        <f t="shared" si="2"/>
        <v>641082.34010669973</v>
      </c>
      <c r="S20">
        <f t="shared" si="2"/>
        <v>655052.725407094</v>
      </c>
      <c r="T20">
        <f t="shared" si="2"/>
        <v>660062.60683136247</v>
      </c>
      <c r="U20">
        <f t="shared" si="2"/>
        <v>664854.13026747864</v>
      </c>
      <c r="V20">
        <f t="shared" si="2"/>
        <v>677797.68072572118</v>
      </c>
      <c r="W20">
        <f t="shared" si="2"/>
        <v>695528.47842647403</v>
      </c>
      <c r="X20">
        <f t="shared" si="2"/>
        <v>712242.43073266512</v>
      </c>
      <c r="Y20">
        <f t="shared" si="2"/>
        <v>727242.53116296674</v>
      </c>
      <c r="Z20">
        <f t="shared" si="2"/>
        <v>740185.90766713687</v>
      </c>
      <c r="AA20">
        <f t="shared" si="2"/>
        <v>749205.4455432212</v>
      </c>
      <c r="AB20">
        <f t="shared" si="2"/>
        <v>763414.22308205138</v>
      </c>
      <c r="AC20">
        <f t="shared" si="2"/>
        <v>781712.90792121598</v>
      </c>
      <c r="AD20">
        <f t="shared" si="2"/>
        <v>800266.18840703298</v>
      </c>
      <c r="AE20">
        <f t="shared" si="2"/>
        <v>814243.79916503583</v>
      </c>
      <c r="AF20">
        <f t="shared" si="2"/>
        <v>825914.00979499682</v>
      </c>
      <c r="AG20">
        <f t="shared" si="2"/>
        <v>833371.13230430149</v>
      </c>
      <c r="AH20">
        <f t="shared" si="2"/>
        <v>841642.44735237479</v>
      </c>
      <c r="AI20">
        <f t="shared" si="2"/>
        <v>848580.89939346444</v>
      </c>
      <c r="AJ20">
        <f t="shared" si="2"/>
        <v>856270.77690583188</v>
      </c>
      <c r="AK20">
        <f t="shared" si="2"/>
        <v>863902.48110819445</v>
      </c>
      <c r="AL20">
        <f t="shared" si="2"/>
        <v>870844.77958918759</v>
      </c>
      <c r="AM20">
        <f t="shared" si="2"/>
        <v>877899.55590045545</v>
      </c>
    </row>
    <row r="21" spans="1:39" x14ac:dyDescent="0.25">
      <c r="A21" t="s">
        <v>21</v>
      </c>
      <c r="B21" t="str">
        <f>[1]REF!A21</f>
        <v>SK</v>
      </c>
      <c r="C21" t="str">
        <f>[1]REF!B21</f>
        <v>Conventional Light</v>
      </c>
      <c r="D21">
        <f>[1]REF!C21</f>
        <v>96.492316484880945</v>
      </c>
      <c r="E21">
        <f>[1]REF!D21</f>
        <v>679.74809020666567</v>
      </c>
      <c r="F21">
        <f>[1]REF!E21</f>
        <v>2091.8865299329486</v>
      </c>
      <c r="G21">
        <f>[1]REF!F21</f>
        <v>6718.4492038985163</v>
      </c>
      <c r="H21">
        <f>[1]REF!G21</f>
        <v>9701.0385576611534</v>
      </c>
      <c r="I21">
        <f>[1]REF!H21</f>
        <v>9228.2576536040469</v>
      </c>
      <c r="J21">
        <f>[1]REF!I21</f>
        <v>9711.9899431634058</v>
      </c>
      <c r="K21">
        <f>[1]REF!J21</f>
        <v>10965.345709805462</v>
      </c>
      <c r="L21">
        <f>[1]REF!K21</f>
        <v>11162.071896151936</v>
      </c>
      <c r="M21">
        <f>[1]REF!L21</f>
        <v>12443.269117385948</v>
      </c>
      <c r="N21">
        <f>[1]REF!M21</f>
        <v>10860.397371171624</v>
      </c>
      <c r="O21">
        <f>[1]REF!N21</f>
        <v>9253.1959502336631</v>
      </c>
      <c r="P21">
        <f>[1]REF!O21</f>
        <v>9004.3643733022636</v>
      </c>
      <c r="Q21">
        <f>[1]REF!P21</f>
        <v>8739.5270246992168</v>
      </c>
      <c r="R21">
        <f>[1]REF!Q21</f>
        <v>8377.5008372969405</v>
      </c>
      <c r="S21">
        <f>[1]REF!R21</f>
        <v>8018.114779589715</v>
      </c>
      <c r="T21">
        <f>[1]REF!S21</f>
        <v>7766.9442812617972</v>
      </c>
      <c r="U21">
        <f>[1]REF!T21</f>
        <v>7665.9765394823844</v>
      </c>
      <c r="V21">
        <f>[1]REF!U21</f>
        <v>7748.4300575215393</v>
      </c>
      <c r="W21">
        <f>[1]REF!V21</f>
        <v>8000.7898016932613</v>
      </c>
      <c r="X21">
        <f>[1]REF!W21</f>
        <v>8368.4659433098986</v>
      </c>
      <c r="Y21">
        <f>[1]REF!X21</f>
        <v>8791.8719613311277</v>
      </c>
      <c r="Z21">
        <f>[1]REF!Y21</f>
        <v>9231.0009376267335</v>
      </c>
      <c r="AA21">
        <f>[1]REF!Z21</f>
        <v>9668.5416816687484</v>
      </c>
      <c r="AB21">
        <f>[1]REF!AA21</f>
        <v>10095.187858776337</v>
      </c>
      <c r="AC21">
        <f>[1]REF!AB21</f>
        <v>10510.915120728312</v>
      </c>
      <c r="AD21">
        <f>[1]REF!AC21</f>
        <v>10923.834870976349</v>
      </c>
      <c r="AE21">
        <f>[1]REF!AD21</f>
        <v>11340.837647825225</v>
      </c>
      <c r="AF21">
        <f>[1]REF!AE21</f>
        <v>11768.927105044848</v>
      </c>
      <c r="AG21">
        <f>[1]REF!AF21</f>
        <v>12210.966076182011</v>
      </c>
      <c r="AH21">
        <f>[1]REF!AG21</f>
        <v>12663.956092608158</v>
      </c>
      <c r="AI21">
        <f>[1]REF!AH21</f>
        <v>13122.034974895772</v>
      </c>
      <c r="AJ21">
        <f>[1]REF!AI21</f>
        <v>13584.69199098247</v>
      </c>
      <c r="AK21">
        <f>[1]REF!AJ21</f>
        <v>14044.582809797481</v>
      </c>
      <c r="AL21">
        <f>[1]REF!AK21</f>
        <v>14499.394008949937</v>
      </c>
      <c r="AM21">
        <f>[1]REF!AL21</f>
        <v>14948.629024810287</v>
      </c>
    </row>
    <row r="22" spans="1:39" x14ac:dyDescent="0.25">
      <c r="A22" t="s">
        <v>21</v>
      </c>
      <c r="B22" t="str">
        <f>[1]REF!A22</f>
        <v>SK</v>
      </c>
      <c r="C22" t="str">
        <f>[1]REF!B22</f>
        <v>Conventional Heavy</v>
      </c>
      <c r="D22">
        <f>[1]REF!C22</f>
        <v>66520.777872327206</v>
      </c>
      <c r="E22">
        <f>[1]REF!D22</f>
        <v>67372.372664401628</v>
      </c>
      <c r="F22">
        <f>[1]REF!E22</f>
        <v>65879.084796231924</v>
      </c>
      <c r="G22">
        <f>[1]REF!F22</f>
        <v>63127.050796101496</v>
      </c>
      <c r="H22">
        <f>[1]REF!G22</f>
        <v>57738.111714996281</v>
      </c>
      <c r="I22">
        <f>[1]REF!H22</f>
        <v>57927.210582443062</v>
      </c>
      <c r="J22">
        <f>[1]REF!I22</f>
        <v>58235.193228879602</v>
      </c>
      <c r="K22">
        <f>[1]REF!J22</f>
        <v>63998.916429851473</v>
      </c>
      <c r="L22">
        <f>[1]REF!K22</f>
        <v>65898.730391354446</v>
      </c>
      <c r="M22">
        <f>[1]REF!L22</f>
        <v>76109.268382614042</v>
      </c>
      <c r="N22">
        <f>[1]REF!M22</f>
        <v>66480.901538198566</v>
      </c>
      <c r="O22">
        <f>[1]REF!N22</f>
        <v>63793.965540929341</v>
      </c>
      <c r="P22">
        <f>[1]REF!O22</f>
        <v>68379.877899827276</v>
      </c>
      <c r="Q22">
        <f>[1]REF!P22</f>
        <v>72337.115301320446</v>
      </c>
      <c r="R22">
        <f>[1]REF!Q22</f>
        <v>75820.638355525662</v>
      </c>
      <c r="S22">
        <f>[1]REF!R22</f>
        <v>77742.434902051915</v>
      </c>
      <c r="T22">
        <f>[1]REF!S22</f>
        <v>79139.724413354372</v>
      </c>
      <c r="U22">
        <f>[1]REF!T22</f>
        <v>80518.733717399271</v>
      </c>
      <c r="V22">
        <f>[1]REF!U22</f>
        <v>81980.968244631498</v>
      </c>
      <c r="W22">
        <f>[1]REF!V22</f>
        <v>83490.587370421126</v>
      </c>
      <c r="X22">
        <f>[1]REF!W22</f>
        <v>84860.799530502176</v>
      </c>
      <c r="Y22">
        <f>[1]REF!X22</f>
        <v>86183.853381908979</v>
      </c>
      <c r="Z22">
        <f>[1]REF!Y22</f>
        <v>87445.725910395791</v>
      </c>
      <c r="AA22">
        <f>[1]REF!Z22</f>
        <v>88570.688200091274</v>
      </c>
      <c r="AB22">
        <f>[1]REF!AA22</f>
        <v>89489.403859124548</v>
      </c>
      <c r="AC22">
        <f>[1]REF!AB22</f>
        <v>90285.718488411119</v>
      </c>
      <c r="AD22">
        <f>[1]REF!AC22</f>
        <v>91050.721146838143</v>
      </c>
      <c r="AE22">
        <f>[1]REF!AD22</f>
        <v>91831.009306895256</v>
      </c>
      <c r="AF22">
        <f>[1]REF!AE22</f>
        <v>92605.096866735053</v>
      </c>
      <c r="AG22">
        <f>[1]REF!AF22</f>
        <v>93445.531595482287</v>
      </c>
      <c r="AH22">
        <f>[1]REF!AG22</f>
        <v>94410.705174145391</v>
      </c>
      <c r="AI22">
        <f>[1]REF!AH22</f>
        <v>95272.036466664242</v>
      </c>
      <c r="AJ22">
        <f>[1]REF!AI22</f>
        <v>96330.590773348187</v>
      </c>
      <c r="AK22">
        <f>[1]REF!AJ22</f>
        <v>97319.185380825293</v>
      </c>
      <c r="AL22">
        <f>[1]REF!AK22</f>
        <v>98397.269986975662</v>
      </c>
      <c r="AM22">
        <f>[1]REF!AL22</f>
        <v>99473.69054764758</v>
      </c>
    </row>
    <row r="23" spans="1:39" x14ac:dyDescent="0.25">
      <c r="A23" t="s">
        <v>21</v>
      </c>
      <c r="B23" t="str">
        <f>[1]REF!A23</f>
        <v>SK</v>
      </c>
      <c r="C23" t="str">
        <f>[1]REF!B23</f>
        <v>C5+</v>
      </c>
      <c r="D23">
        <f>[1]REF!C23</f>
        <v>90</v>
      </c>
      <c r="E23">
        <f>[1]REF!D23</f>
        <v>100</v>
      </c>
      <c r="F23">
        <f>[1]REF!E23</f>
        <v>100</v>
      </c>
      <c r="G23">
        <f>[1]REF!F23</f>
        <v>120</v>
      </c>
      <c r="H23">
        <f>[1]REF!G23</f>
        <v>170</v>
      </c>
      <c r="I23">
        <f>[1]REF!H23</f>
        <v>100</v>
      </c>
      <c r="J23">
        <f>[1]REF!I23</f>
        <v>100</v>
      </c>
      <c r="K23">
        <f>[1]REF!J23</f>
        <v>100</v>
      </c>
      <c r="L23">
        <f>[1]REF!K23</f>
        <v>100</v>
      </c>
      <c r="M23">
        <f>[1]REF!L23</f>
        <v>100</v>
      </c>
      <c r="N23">
        <f>[1]REF!M23</f>
        <v>100</v>
      </c>
      <c r="O23">
        <f>[1]REF!N23</f>
        <v>100</v>
      </c>
      <c r="P23">
        <f>[1]REF!O23</f>
        <v>100</v>
      </c>
      <c r="Q23">
        <f>[1]REF!P23</f>
        <v>100</v>
      </c>
      <c r="R23">
        <f>[1]REF!Q23</f>
        <v>100</v>
      </c>
      <c r="S23">
        <f>[1]REF!R23</f>
        <v>100</v>
      </c>
      <c r="T23">
        <f>[1]REF!S23</f>
        <v>100</v>
      </c>
      <c r="U23">
        <f>[1]REF!T23</f>
        <v>100</v>
      </c>
      <c r="V23">
        <f>[1]REF!U23</f>
        <v>100</v>
      </c>
      <c r="W23">
        <f>[1]REF!V23</f>
        <v>100</v>
      </c>
      <c r="X23">
        <f>[1]REF!W23</f>
        <v>100</v>
      </c>
      <c r="Y23">
        <f>[1]REF!X23</f>
        <v>100</v>
      </c>
      <c r="Z23">
        <f>[1]REF!Y23</f>
        <v>100</v>
      </c>
      <c r="AA23">
        <f>[1]REF!Z23</f>
        <v>100</v>
      </c>
      <c r="AB23">
        <f>[1]REF!AA23</f>
        <v>100</v>
      </c>
      <c r="AC23">
        <f>[1]REF!AB23</f>
        <v>100</v>
      </c>
      <c r="AD23">
        <f>[1]REF!AC23</f>
        <v>100</v>
      </c>
      <c r="AE23">
        <f>[1]REF!AD23</f>
        <v>100</v>
      </c>
      <c r="AF23">
        <f>[1]REF!AE23</f>
        <v>100</v>
      </c>
      <c r="AG23">
        <f>[1]REF!AF23</f>
        <v>100</v>
      </c>
      <c r="AH23">
        <f>[1]REF!AG23</f>
        <v>100</v>
      </c>
      <c r="AI23">
        <f>[1]REF!AH23</f>
        <v>100</v>
      </c>
      <c r="AJ23">
        <f>[1]REF!AI23</f>
        <v>100</v>
      </c>
      <c r="AK23">
        <f>[1]REF!AJ23</f>
        <v>100</v>
      </c>
      <c r="AL23">
        <f>[1]REF!AK23</f>
        <v>100</v>
      </c>
      <c r="AM23">
        <f>[1]REF!AL23</f>
        <v>100</v>
      </c>
    </row>
    <row r="24" spans="1:39" x14ac:dyDescent="0.25">
      <c r="A24" t="s">
        <v>21</v>
      </c>
      <c r="B24" t="s">
        <v>75</v>
      </c>
      <c r="C24" t="s">
        <v>23</v>
      </c>
      <c r="D24">
        <f>SUM(D21:D23)</f>
        <v>66707.270188812094</v>
      </c>
      <c r="E24">
        <f t="shared" ref="E24:AM24" si="3">SUM(E21:E23)</f>
        <v>68152.120754608288</v>
      </c>
      <c r="F24">
        <f t="shared" si="3"/>
        <v>68070.971326164872</v>
      </c>
      <c r="G24">
        <f t="shared" si="3"/>
        <v>69965.500000000015</v>
      </c>
      <c r="H24">
        <f t="shared" si="3"/>
        <v>67609.15027265744</v>
      </c>
      <c r="I24">
        <f t="shared" si="3"/>
        <v>67255.468236047105</v>
      </c>
      <c r="J24">
        <f t="shared" si="3"/>
        <v>68047.183172043005</v>
      </c>
      <c r="K24">
        <f t="shared" si="3"/>
        <v>75064.26213965693</v>
      </c>
      <c r="L24">
        <f t="shared" si="3"/>
        <v>77160.802287506376</v>
      </c>
      <c r="M24">
        <f t="shared" si="3"/>
        <v>88652.537499999991</v>
      </c>
      <c r="N24">
        <f t="shared" si="3"/>
        <v>77441.298909370191</v>
      </c>
      <c r="O24">
        <f t="shared" si="3"/>
        <v>73147.161491163002</v>
      </c>
      <c r="P24">
        <f t="shared" si="3"/>
        <v>77484.242273129537</v>
      </c>
      <c r="Q24">
        <f t="shared" si="3"/>
        <v>81176.642326019661</v>
      </c>
      <c r="R24">
        <f t="shared" si="3"/>
        <v>84298.139192822608</v>
      </c>
      <c r="S24">
        <f t="shared" si="3"/>
        <v>85860.549681641627</v>
      </c>
      <c r="T24">
        <f t="shared" si="3"/>
        <v>87006.668694616164</v>
      </c>
      <c r="U24">
        <f t="shared" si="3"/>
        <v>88284.710256881663</v>
      </c>
      <c r="V24">
        <f t="shared" si="3"/>
        <v>89829.398302153044</v>
      </c>
      <c r="W24">
        <f t="shared" si="3"/>
        <v>91591.377172114386</v>
      </c>
      <c r="X24">
        <f t="shared" si="3"/>
        <v>93329.265473812076</v>
      </c>
      <c r="Y24">
        <f t="shared" si="3"/>
        <v>95075.725343240105</v>
      </c>
      <c r="Z24">
        <f t="shared" si="3"/>
        <v>96776.726848022518</v>
      </c>
      <c r="AA24">
        <f t="shared" si="3"/>
        <v>98339.229881760024</v>
      </c>
      <c r="AB24">
        <f t="shared" si="3"/>
        <v>99684.591717900883</v>
      </c>
      <c r="AC24">
        <f t="shared" si="3"/>
        <v>100896.63360913943</v>
      </c>
      <c r="AD24">
        <f t="shared" si="3"/>
        <v>102074.5560178145</v>
      </c>
      <c r="AE24">
        <f t="shared" si="3"/>
        <v>103271.84695472047</v>
      </c>
      <c r="AF24">
        <f t="shared" si="3"/>
        <v>104474.0239717799</v>
      </c>
      <c r="AG24">
        <f t="shared" si="3"/>
        <v>105756.4976716643</v>
      </c>
      <c r="AH24">
        <f t="shared" si="3"/>
        <v>107174.66126675355</v>
      </c>
      <c r="AI24">
        <f t="shared" si="3"/>
        <v>108494.07144156001</v>
      </c>
      <c r="AJ24">
        <f t="shared" si="3"/>
        <v>110015.28276433065</v>
      </c>
      <c r="AK24">
        <f t="shared" si="3"/>
        <v>111463.76819062277</v>
      </c>
      <c r="AL24">
        <f t="shared" si="3"/>
        <v>112996.6639959256</v>
      </c>
      <c r="AM24">
        <f t="shared" si="3"/>
        <v>114522.31957245787</v>
      </c>
    </row>
    <row r="25" spans="1:39" x14ac:dyDescent="0.25">
      <c r="A25" t="s">
        <v>21</v>
      </c>
      <c r="B25" t="str">
        <f>[1]REF!A24</f>
        <v>MB</v>
      </c>
      <c r="C25" t="str">
        <f>[1]REF!B24</f>
        <v>Conventional Light</v>
      </c>
      <c r="D25">
        <f>[1]REF!C24</f>
        <v>2203.4851382488482</v>
      </c>
      <c r="E25">
        <f>[1]REF!D24</f>
        <v>3398.1617415514593</v>
      </c>
      <c r="F25">
        <f>[1]REF!E24</f>
        <v>3531.5109030977987</v>
      </c>
      <c r="G25">
        <f>[1]REF!F24</f>
        <v>3746.5833333333339</v>
      </c>
      <c r="H25">
        <f>[1]REF!G24</f>
        <v>4116.2247580645162</v>
      </c>
      <c r="I25">
        <f>[1]REF!H24</f>
        <v>4763.6846684587817</v>
      </c>
      <c r="J25">
        <f>[1]REF!I24</f>
        <v>6462.2715092165899</v>
      </c>
      <c r="K25">
        <f>[1]REF!J24</f>
        <v>8094.5645528982814</v>
      </c>
      <c r="L25">
        <f>[1]REF!K24</f>
        <v>8262.7367191500271</v>
      </c>
      <c r="M25">
        <f>[1]REF!L24</f>
        <v>7781.3506688428042</v>
      </c>
      <c r="N25">
        <f>[1]REF!M24</f>
        <v>7282.7969105222728</v>
      </c>
      <c r="O25">
        <f>[1]REF!N24</f>
        <v>6380.9985653812873</v>
      </c>
      <c r="P25">
        <f>[1]REF!O24</f>
        <v>5830.8193436537013</v>
      </c>
      <c r="Q25">
        <f>[1]REF!P24</f>
        <v>5370.0572684063036</v>
      </c>
      <c r="R25">
        <f>[1]REF!Q24</f>
        <v>4909.8505699488514</v>
      </c>
      <c r="S25">
        <f>[1]REF!R24</f>
        <v>4484.1674747578072</v>
      </c>
      <c r="T25">
        <f>[1]REF!S24</f>
        <v>4121.1452642990935</v>
      </c>
      <c r="U25">
        <f>[1]REF!T24</f>
        <v>3826.9191742644898</v>
      </c>
      <c r="V25">
        <f>[1]REF!U24</f>
        <v>3600.441837935316</v>
      </c>
      <c r="W25">
        <f>[1]REF!V24</f>
        <v>3421.5791860090576</v>
      </c>
      <c r="X25">
        <f>[1]REF!W24</f>
        <v>3274.4085959379704</v>
      </c>
      <c r="Y25">
        <f>[1]REF!X24</f>
        <v>3165.0330486350226</v>
      </c>
      <c r="Z25">
        <f>[1]REF!Y24</f>
        <v>3082.8214148488419</v>
      </c>
      <c r="AA25">
        <f>[1]REF!Z24</f>
        <v>3018.6353249249978</v>
      </c>
      <c r="AB25">
        <f>[1]REF!AA24</f>
        <v>2967.1504418326062</v>
      </c>
      <c r="AC25">
        <f>[1]REF!AB24</f>
        <v>2925.086876904521</v>
      </c>
      <c r="AD25">
        <f>[1]REF!AC24</f>
        <v>2891.5776481003336</v>
      </c>
      <c r="AE25">
        <f>[1]REF!AD24</f>
        <v>2866.7694282492457</v>
      </c>
      <c r="AF25">
        <f>[1]REF!AE24</f>
        <v>2851.6550502196901</v>
      </c>
      <c r="AG25">
        <f>[1]REF!AF24</f>
        <v>2846.6252916602762</v>
      </c>
      <c r="AH25">
        <f>[1]REF!AG24</f>
        <v>2851.0058895152529</v>
      </c>
      <c r="AI25">
        <f>[1]REF!AH24</f>
        <v>2860.3662810300943</v>
      </c>
      <c r="AJ25">
        <f>[1]REF!AI24</f>
        <v>2860.8240830031282</v>
      </c>
      <c r="AK25">
        <f>[1]REF!AJ24</f>
        <v>2863.5630399055535</v>
      </c>
      <c r="AL25">
        <f>[1]REF!AK24</f>
        <v>2872.569884495726</v>
      </c>
      <c r="AM25">
        <f>[1]REF!AL24</f>
        <v>2885.8934506431474</v>
      </c>
    </row>
    <row r="26" spans="1:39" x14ac:dyDescent="0.25">
      <c r="A26" t="s">
        <v>21</v>
      </c>
      <c r="B26" t="s">
        <v>76</v>
      </c>
      <c r="C26" t="s">
        <v>23</v>
      </c>
      <c r="D26">
        <f>D25</f>
        <v>2203.4851382488482</v>
      </c>
      <c r="E26">
        <f t="shared" ref="E26:AM26" si="4">E25</f>
        <v>3398.1617415514593</v>
      </c>
      <c r="F26">
        <f t="shared" si="4"/>
        <v>3531.5109030977987</v>
      </c>
      <c r="G26">
        <f t="shared" si="4"/>
        <v>3746.5833333333339</v>
      </c>
      <c r="H26">
        <f t="shared" si="4"/>
        <v>4116.2247580645162</v>
      </c>
      <c r="I26">
        <f t="shared" si="4"/>
        <v>4763.6846684587817</v>
      </c>
      <c r="J26">
        <f t="shared" si="4"/>
        <v>6462.2715092165899</v>
      </c>
      <c r="K26">
        <f t="shared" si="4"/>
        <v>8094.5645528982814</v>
      </c>
      <c r="L26">
        <f t="shared" si="4"/>
        <v>8262.7367191500271</v>
      </c>
      <c r="M26">
        <f t="shared" si="4"/>
        <v>7781.3506688428042</v>
      </c>
      <c r="N26">
        <f t="shared" si="4"/>
        <v>7282.7969105222728</v>
      </c>
      <c r="O26">
        <f t="shared" si="4"/>
        <v>6380.9985653812873</v>
      </c>
      <c r="P26">
        <f t="shared" si="4"/>
        <v>5830.8193436537013</v>
      </c>
      <c r="Q26">
        <f t="shared" si="4"/>
        <v>5370.0572684063036</v>
      </c>
      <c r="R26">
        <f t="shared" si="4"/>
        <v>4909.8505699488514</v>
      </c>
      <c r="S26">
        <f t="shared" si="4"/>
        <v>4484.1674747578072</v>
      </c>
      <c r="T26">
        <f t="shared" si="4"/>
        <v>4121.1452642990935</v>
      </c>
      <c r="U26">
        <f t="shared" si="4"/>
        <v>3826.9191742644898</v>
      </c>
      <c r="V26">
        <f t="shared" si="4"/>
        <v>3600.441837935316</v>
      </c>
      <c r="W26">
        <f t="shared" si="4"/>
        <v>3421.5791860090576</v>
      </c>
      <c r="X26">
        <f t="shared" si="4"/>
        <v>3274.4085959379704</v>
      </c>
      <c r="Y26">
        <f t="shared" si="4"/>
        <v>3165.0330486350226</v>
      </c>
      <c r="Z26">
        <f t="shared" si="4"/>
        <v>3082.8214148488419</v>
      </c>
      <c r="AA26">
        <f t="shared" si="4"/>
        <v>3018.6353249249978</v>
      </c>
      <c r="AB26">
        <f t="shared" si="4"/>
        <v>2967.1504418326062</v>
      </c>
      <c r="AC26">
        <f t="shared" si="4"/>
        <v>2925.086876904521</v>
      </c>
      <c r="AD26">
        <f t="shared" si="4"/>
        <v>2891.5776481003336</v>
      </c>
      <c r="AE26">
        <f t="shared" si="4"/>
        <v>2866.7694282492457</v>
      </c>
      <c r="AF26">
        <f t="shared" si="4"/>
        <v>2851.6550502196901</v>
      </c>
      <c r="AG26">
        <f t="shared" si="4"/>
        <v>2846.6252916602762</v>
      </c>
      <c r="AH26">
        <f t="shared" si="4"/>
        <v>2851.0058895152529</v>
      </c>
      <c r="AI26">
        <f t="shared" si="4"/>
        <v>2860.3662810300943</v>
      </c>
      <c r="AJ26">
        <f t="shared" si="4"/>
        <v>2860.8240830031282</v>
      </c>
      <c r="AK26">
        <f t="shared" si="4"/>
        <v>2863.5630399055535</v>
      </c>
      <c r="AL26">
        <f t="shared" si="4"/>
        <v>2872.569884495726</v>
      </c>
      <c r="AM26">
        <f t="shared" si="4"/>
        <v>2885.8934506431474</v>
      </c>
    </row>
    <row r="27" spans="1:39" x14ac:dyDescent="0.25">
      <c r="A27" t="s">
        <v>21</v>
      </c>
      <c r="B27" t="str">
        <f>[1]REF!A25</f>
        <v>ON</v>
      </c>
      <c r="C27" t="str">
        <f>[1]REF!B25</f>
        <v>Conventional Light</v>
      </c>
      <c r="D27">
        <f>[1]REF!C25</f>
        <v>380</v>
      </c>
      <c r="E27">
        <f>[1]REF!D25</f>
        <v>340</v>
      </c>
      <c r="F27">
        <f>[1]REF!E25</f>
        <v>300</v>
      </c>
      <c r="G27">
        <f>[1]REF!F25</f>
        <v>270</v>
      </c>
      <c r="H27">
        <f>[1]REF!G25</f>
        <v>250</v>
      </c>
      <c r="I27">
        <f>[1]REF!H25</f>
        <v>240</v>
      </c>
      <c r="J27">
        <f>[1]REF!I25</f>
        <v>220</v>
      </c>
      <c r="K27">
        <f>[1]REF!J25</f>
        <v>220</v>
      </c>
      <c r="L27">
        <f>[1]REF!K25</f>
        <v>200</v>
      </c>
      <c r="M27">
        <f>[1]REF!L25</f>
        <v>190</v>
      </c>
      <c r="N27">
        <f>[1]REF!M25</f>
        <v>157.3838965693806</v>
      </c>
      <c r="O27">
        <f>[1]REF!N25</f>
        <v>155.15005760368666</v>
      </c>
      <c r="P27">
        <f>[1]REF!O25</f>
        <v>94</v>
      </c>
      <c r="Q27">
        <f>[1]REF!P25</f>
        <v>124</v>
      </c>
      <c r="R27">
        <f>[1]REF!Q25</f>
        <v>129</v>
      </c>
      <c r="S27">
        <f>[1]REF!R25</f>
        <v>135</v>
      </c>
      <c r="T27">
        <f>[1]REF!S25</f>
        <v>147.54616102251788</v>
      </c>
      <c r="U27">
        <f>[1]REF!T25</f>
        <v>146.0706994122927</v>
      </c>
      <c r="V27">
        <f>[1]REF!U25</f>
        <v>144.60999241816978</v>
      </c>
      <c r="W27">
        <f>[1]REF!V25</f>
        <v>143.16389249398807</v>
      </c>
      <c r="X27">
        <f>[1]REF!W25</f>
        <v>141.7322535690482</v>
      </c>
      <c r="Y27">
        <f>[1]REF!X25</f>
        <v>138.91178172302412</v>
      </c>
      <c r="Z27">
        <f>[1]REF!Y25</f>
        <v>136.13354608856363</v>
      </c>
      <c r="AA27">
        <f>[1]REF!Z25</f>
        <v>132.02175734956211</v>
      </c>
      <c r="AB27">
        <f>[1]REF!AA25</f>
        <v>129.34006540339914</v>
      </c>
      <c r="AC27">
        <f>[1]REF!AB25</f>
        <v>126.69880512042445</v>
      </c>
      <c r="AD27">
        <f>[1]REF!AC25</f>
        <v>124.09743603656895</v>
      </c>
      <c r="AE27">
        <f>[1]REF!AD25</f>
        <v>121.53542445387848</v>
      </c>
      <c r="AF27">
        <f>[1]REF!AE25</f>
        <v>120.32007020933968</v>
      </c>
      <c r="AG27">
        <f>[1]REF!AF25</f>
        <v>117.82212092564578</v>
      </c>
      <c r="AH27">
        <f>[1]REF!AG25</f>
        <v>115.36209862060481</v>
      </c>
      <c r="AI27">
        <f>[1]REF!AH25</f>
        <v>114.20847763439876</v>
      </c>
      <c r="AJ27">
        <f>[1]REF!AI25</f>
        <v>111.81009960407638</v>
      </c>
      <c r="AK27">
        <f>[1]REF!AJ25</f>
        <v>109.44826828659701</v>
      </c>
      <c r="AL27">
        <f>[1]REF!AK25</f>
        <v>108.35378560373104</v>
      </c>
      <c r="AM27">
        <f>[1]REF!AL25</f>
        <v>106.05126765965176</v>
      </c>
    </row>
    <row r="28" spans="1:39" x14ac:dyDescent="0.25">
      <c r="A28" t="s">
        <v>21</v>
      </c>
      <c r="B28" t="s">
        <v>77</v>
      </c>
      <c r="C28" t="s">
        <v>23</v>
      </c>
      <c r="D28">
        <f>D27</f>
        <v>380</v>
      </c>
      <c r="E28">
        <f t="shared" ref="E28:AM28" si="5">E27</f>
        <v>340</v>
      </c>
      <c r="F28">
        <f t="shared" si="5"/>
        <v>300</v>
      </c>
      <c r="G28">
        <f t="shared" si="5"/>
        <v>270</v>
      </c>
      <c r="H28">
        <f t="shared" si="5"/>
        <v>250</v>
      </c>
      <c r="I28">
        <f t="shared" si="5"/>
        <v>240</v>
      </c>
      <c r="J28">
        <f t="shared" si="5"/>
        <v>220</v>
      </c>
      <c r="K28">
        <f t="shared" si="5"/>
        <v>220</v>
      </c>
      <c r="L28">
        <f t="shared" si="5"/>
        <v>200</v>
      </c>
      <c r="M28">
        <f t="shared" si="5"/>
        <v>190</v>
      </c>
      <c r="N28">
        <f t="shared" si="5"/>
        <v>157.3838965693806</v>
      </c>
      <c r="O28">
        <f t="shared" si="5"/>
        <v>155.15005760368666</v>
      </c>
      <c r="P28">
        <f t="shared" si="5"/>
        <v>94</v>
      </c>
      <c r="Q28">
        <f t="shared" si="5"/>
        <v>124</v>
      </c>
      <c r="R28">
        <f t="shared" si="5"/>
        <v>129</v>
      </c>
      <c r="S28">
        <f t="shared" si="5"/>
        <v>135</v>
      </c>
      <c r="T28">
        <f t="shared" si="5"/>
        <v>147.54616102251788</v>
      </c>
      <c r="U28">
        <f t="shared" si="5"/>
        <v>146.0706994122927</v>
      </c>
      <c r="V28">
        <f t="shared" si="5"/>
        <v>144.60999241816978</v>
      </c>
      <c r="W28">
        <f t="shared" si="5"/>
        <v>143.16389249398807</v>
      </c>
      <c r="X28">
        <f t="shared" si="5"/>
        <v>141.7322535690482</v>
      </c>
      <c r="Y28">
        <f t="shared" si="5"/>
        <v>138.91178172302412</v>
      </c>
      <c r="Z28">
        <f t="shared" si="5"/>
        <v>136.13354608856363</v>
      </c>
      <c r="AA28">
        <f t="shared" si="5"/>
        <v>132.02175734956211</v>
      </c>
      <c r="AB28">
        <f t="shared" si="5"/>
        <v>129.34006540339914</v>
      </c>
      <c r="AC28">
        <f t="shared" si="5"/>
        <v>126.69880512042445</v>
      </c>
      <c r="AD28">
        <f t="shared" si="5"/>
        <v>124.09743603656895</v>
      </c>
      <c r="AE28">
        <f t="shared" si="5"/>
        <v>121.53542445387848</v>
      </c>
      <c r="AF28">
        <f t="shared" si="5"/>
        <v>120.32007020933968</v>
      </c>
      <c r="AG28">
        <f t="shared" si="5"/>
        <v>117.82212092564578</v>
      </c>
      <c r="AH28">
        <f t="shared" si="5"/>
        <v>115.36209862060481</v>
      </c>
      <c r="AI28">
        <f t="shared" si="5"/>
        <v>114.20847763439876</v>
      </c>
      <c r="AJ28">
        <f t="shared" si="5"/>
        <v>111.81009960407638</v>
      </c>
      <c r="AK28">
        <f t="shared" si="5"/>
        <v>109.44826828659701</v>
      </c>
      <c r="AL28">
        <f t="shared" si="5"/>
        <v>108.35378560373104</v>
      </c>
      <c r="AM28">
        <f t="shared" si="5"/>
        <v>106.05126765965176</v>
      </c>
    </row>
    <row r="29" spans="1:39" x14ac:dyDescent="0.25">
      <c r="A29" t="s">
        <v>21</v>
      </c>
      <c r="B29" t="str">
        <f>[1]REF!A26</f>
        <v>NB</v>
      </c>
      <c r="C29" t="str">
        <f>[1]REF!B26</f>
        <v>Conventional Light</v>
      </c>
      <c r="D29">
        <f>[1]REF!C26</f>
        <v>0</v>
      </c>
      <c r="E29">
        <f>[1]REF!D26</f>
        <v>0</v>
      </c>
      <c r="F29">
        <f>[1]REF!E26</f>
        <v>0</v>
      </c>
      <c r="G29">
        <f>[1]REF!F26</f>
        <v>0</v>
      </c>
      <c r="H29">
        <f>[1]REF!G26</f>
        <v>0</v>
      </c>
      <c r="I29">
        <f>[1]REF!H26</f>
        <v>0</v>
      </c>
      <c r="J29">
        <f>[1]REF!I26</f>
        <v>0</v>
      </c>
      <c r="K29">
        <f>[1]REF!J26</f>
        <v>0</v>
      </c>
      <c r="L29">
        <f>[1]REF!K26</f>
        <v>0</v>
      </c>
      <c r="M29">
        <f>[1]REF!L26</f>
        <v>0</v>
      </c>
      <c r="N29">
        <f>[1]REF!M26</f>
        <v>0</v>
      </c>
      <c r="O29">
        <f>[1]REF!N26</f>
        <v>0</v>
      </c>
      <c r="P29">
        <f>[1]REF!O26</f>
        <v>0</v>
      </c>
      <c r="Q29">
        <f>[1]REF!P26</f>
        <v>0</v>
      </c>
      <c r="R29">
        <f>[1]REF!Q26</f>
        <v>0</v>
      </c>
      <c r="S29">
        <f>[1]REF!R26</f>
        <v>0</v>
      </c>
      <c r="T29">
        <f>[1]REF!S26</f>
        <v>0</v>
      </c>
      <c r="U29">
        <f>[1]REF!T26</f>
        <v>0</v>
      </c>
      <c r="V29">
        <f>[1]REF!U26</f>
        <v>0</v>
      </c>
      <c r="W29">
        <f>[1]REF!V26</f>
        <v>0</v>
      </c>
      <c r="X29">
        <f>[1]REF!W26</f>
        <v>0</v>
      </c>
      <c r="Y29">
        <f>[1]REF!X26</f>
        <v>0</v>
      </c>
      <c r="Z29">
        <f>[1]REF!Y26</f>
        <v>0</v>
      </c>
      <c r="AA29">
        <f>[1]REF!Z26</f>
        <v>0</v>
      </c>
      <c r="AB29">
        <f>[1]REF!AA26</f>
        <v>0</v>
      </c>
      <c r="AC29">
        <f>[1]REF!AB26</f>
        <v>0</v>
      </c>
      <c r="AD29">
        <f>[1]REF!AC26</f>
        <v>0</v>
      </c>
      <c r="AE29">
        <f>[1]REF!AD26</f>
        <v>0</v>
      </c>
      <c r="AF29">
        <f>[1]REF!AE26</f>
        <v>0</v>
      </c>
      <c r="AG29">
        <f>[1]REF!AF26</f>
        <v>0</v>
      </c>
      <c r="AH29">
        <f>[1]REF!AG26</f>
        <v>0</v>
      </c>
      <c r="AI29">
        <f>[1]REF!AH26</f>
        <v>0</v>
      </c>
      <c r="AJ29">
        <f>[1]REF!AI26</f>
        <v>0</v>
      </c>
      <c r="AK29">
        <f>[1]REF!AJ26</f>
        <v>0</v>
      </c>
      <c r="AL29">
        <f>[1]REF!AK26</f>
        <v>0</v>
      </c>
      <c r="AM29">
        <f>[1]REF!AL26</f>
        <v>0</v>
      </c>
    </row>
    <row r="30" spans="1:39" x14ac:dyDescent="0.25">
      <c r="A30" t="s">
        <v>21</v>
      </c>
      <c r="B30" t="s">
        <v>78</v>
      </c>
      <c r="C30" t="s">
        <v>23</v>
      </c>
      <c r="D30">
        <f>D29</f>
        <v>0</v>
      </c>
      <c r="E30">
        <f t="shared" ref="E30:AM30" si="6">E29</f>
        <v>0</v>
      </c>
      <c r="F30">
        <f t="shared" si="6"/>
        <v>0</v>
      </c>
      <c r="G30">
        <f t="shared" si="6"/>
        <v>0</v>
      </c>
      <c r="H30">
        <f t="shared" si="6"/>
        <v>0</v>
      </c>
      <c r="I30">
        <f t="shared" si="6"/>
        <v>0</v>
      </c>
      <c r="J30">
        <f t="shared" si="6"/>
        <v>0</v>
      </c>
      <c r="K30">
        <f t="shared" si="6"/>
        <v>0</v>
      </c>
      <c r="L30">
        <f t="shared" si="6"/>
        <v>0</v>
      </c>
      <c r="M30">
        <f t="shared" si="6"/>
        <v>0</v>
      </c>
      <c r="N30">
        <f t="shared" si="6"/>
        <v>0</v>
      </c>
      <c r="O30">
        <f t="shared" si="6"/>
        <v>0</v>
      </c>
      <c r="P30">
        <f t="shared" si="6"/>
        <v>0</v>
      </c>
      <c r="Q30">
        <f t="shared" si="6"/>
        <v>0</v>
      </c>
      <c r="R30">
        <f t="shared" si="6"/>
        <v>0</v>
      </c>
      <c r="S30">
        <f t="shared" si="6"/>
        <v>0</v>
      </c>
      <c r="T30">
        <f t="shared" si="6"/>
        <v>0</v>
      </c>
      <c r="U30">
        <f t="shared" si="6"/>
        <v>0</v>
      </c>
      <c r="V30">
        <f t="shared" si="6"/>
        <v>0</v>
      </c>
      <c r="W30">
        <f t="shared" si="6"/>
        <v>0</v>
      </c>
      <c r="X30">
        <f t="shared" si="6"/>
        <v>0</v>
      </c>
      <c r="Y30">
        <f t="shared" si="6"/>
        <v>0</v>
      </c>
      <c r="Z30">
        <f t="shared" si="6"/>
        <v>0</v>
      </c>
      <c r="AA30">
        <f t="shared" si="6"/>
        <v>0</v>
      </c>
      <c r="AB30">
        <f t="shared" si="6"/>
        <v>0</v>
      </c>
      <c r="AC30">
        <f t="shared" si="6"/>
        <v>0</v>
      </c>
      <c r="AD30">
        <f t="shared" si="6"/>
        <v>0</v>
      </c>
      <c r="AE30">
        <f t="shared" si="6"/>
        <v>0</v>
      </c>
      <c r="AF30">
        <f t="shared" si="6"/>
        <v>0</v>
      </c>
      <c r="AG30">
        <f t="shared" si="6"/>
        <v>0</v>
      </c>
      <c r="AH30">
        <f t="shared" si="6"/>
        <v>0</v>
      </c>
      <c r="AI30">
        <f t="shared" si="6"/>
        <v>0</v>
      </c>
      <c r="AJ30">
        <f t="shared" si="6"/>
        <v>0</v>
      </c>
      <c r="AK30">
        <f t="shared" si="6"/>
        <v>0</v>
      </c>
      <c r="AL30">
        <f t="shared" si="6"/>
        <v>0</v>
      </c>
      <c r="AM30">
        <f t="shared" si="6"/>
        <v>0</v>
      </c>
    </row>
    <row r="31" spans="1:39" x14ac:dyDescent="0.25">
      <c r="A31" t="s">
        <v>21</v>
      </c>
      <c r="B31" t="str">
        <f>[1]REF!A27</f>
        <v>NS</v>
      </c>
      <c r="C31" t="str">
        <f>[1]REF!B27</f>
        <v>Conventional Light</v>
      </c>
      <c r="D31">
        <f>[1]REF!C27</f>
        <v>0</v>
      </c>
      <c r="E31">
        <f>[1]REF!D27</f>
        <v>0</v>
      </c>
      <c r="F31">
        <f>[1]REF!E27</f>
        <v>0</v>
      </c>
      <c r="G31">
        <f>[1]REF!F27</f>
        <v>0</v>
      </c>
      <c r="H31">
        <f>[1]REF!G27</f>
        <v>0</v>
      </c>
      <c r="I31">
        <f>[1]REF!H27</f>
        <v>0</v>
      </c>
      <c r="J31">
        <f>[1]REF!I27</f>
        <v>0</v>
      </c>
      <c r="K31">
        <f>[1]REF!J27</f>
        <v>0</v>
      </c>
      <c r="L31">
        <f>[1]REF!K27</f>
        <v>0</v>
      </c>
      <c r="M31">
        <f>[1]REF!L27</f>
        <v>0</v>
      </c>
      <c r="N31">
        <f>[1]REF!M27</f>
        <v>0</v>
      </c>
      <c r="O31">
        <f>[1]REF!N27</f>
        <v>0</v>
      </c>
      <c r="P31">
        <f>[1]REF!O27</f>
        <v>0</v>
      </c>
      <c r="Q31">
        <f>[1]REF!P27</f>
        <v>0</v>
      </c>
      <c r="R31">
        <f>[1]REF!Q27</f>
        <v>0</v>
      </c>
      <c r="S31">
        <f>[1]REF!R27</f>
        <v>0</v>
      </c>
      <c r="T31">
        <f>[1]REF!S27</f>
        <v>0</v>
      </c>
      <c r="U31">
        <f>[1]REF!T27</f>
        <v>0</v>
      </c>
      <c r="V31">
        <f>[1]REF!U27</f>
        <v>0</v>
      </c>
      <c r="W31">
        <f>[1]REF!V27</f>
        <v>0</v>
      </c>
      <c r="X31">
        <f>[1]REF!W27</f>
        <v>0</v>
      </c>
      <c r="Y31">
        <f>[1]REF!X27</f>
        <v>0</v>
      </c>
      <c r="Z31">
        <f>[1]REF!Y27</f>
        <v>0</v>
      </c>
      <c r="AA31">
        <f>[1]REF!Z27</f>
        <v>0</v>
      </c>
      <c r="AB31">
        <f>[1]REF!AA27</f>
        <v>0</v>
      </c>
      <c r="AC31">
        <f>[1]REF!AB27</f>
        <v>0</v>
      </c>
      <c r="AD31">
        <f>[1]REF!AC27</f>
        <v>0</v>
      </c>
      <c r="AE31">
        <f>[1]REF!AD27</f>
        <v>0</v>
      </c>
      <c r="AF31">
        <f>[1]REF!AE27</f>
        <v>0</v>
      </c>
      <c r="AG31">
        <f>[1]REF!AF27</f>
        <v>0</v>
      </c>
      <c r="AH31">
        <f>[1]REF!AG27</f>
        <v>0</v>
      </c>
      <c r="AI31">
        <f>[1]REF!AH27</f>
        <v>0</v>
      </c>
      <c r="AJ31">
        <f>[1]REF!AI27</f>
        <v>0</v>
      </c>
      <c r="AK31">
        <f>[1]REF!AJ27</f>
        <v>0</v>
      </c>
      <c r="AL31">
        <f>[1]REF!AK27</f>
        <v>0</v>
      </c>
      <c r="AM31">
        <f>[1]REF!AL27</f>
        <v>0</v>
      </c>
    </row>
    <row r="32" spans="1:39" x14ac:dyDescent="0.25">
      <c r="A32" t="s">
        <v>21</v>
      </c>
      <c r="B32" t="str">
        <f>[1]REF!A28</f>
        <v>NS</v>
      </c>
      <c r="C32" t="str">
        <f>[1]REF!B28</f>
        <v>C5+</v>
      </c>
      <c r="D32">
        <f>[1]REF!C28</f>
        <v>2050</v>
      </c>
      <c r="E32">
        <f>[1]REF!D28</f>
        <v>1910</v>
      </c>
      <c r="F32">
        <f>[1]REF!E28</f>
        <v>1890</v>
      </c>
      <c r="G32">
        <f>[1]REF!F28</f>
        <v>1750</v>
      </c>
      <c r="H32">
        <f>[1]REF!G28</f>
        <v>1130</v>
      </c>
      <c r="I32">
        <f>[1]REF!H28</f>
        <v>1070</v>
      </c>
      <c r="J32">
        <f>[1]REF!I28</f>
        <v>860</v>
      </c>
      <c r="K32">
        <f>[1]REF!J28</f>
        <v>580</v>
      </c>
      <c r="L32">
        <f>[1]REF!K28</f>
        <v>330</v>
      </c>
      <c r="M32">
        <f>[1]REF!L28</f>
        <v>460</v>
      </c>
      <c r="N32">
        <f>[1]REF!M28</f>
        <v>439.2230136986301</v>
      </c>
      <c r="O32">
        <f>[1]REF!N28</f>
        <v>416.31040165903886</v>
      </c>
      <c r="P32">
        <f>[1]REF!O28</f>
        <v>312</v>
      </c>
      <c r="Q32">
        <f>[1]REF!P28</f>
        <v>302</v>
      </c>
      <c r="R32">
        <f>[1]REF!Q28</f>
        <v>287</v>
      </c>
      <c r="S32">
        <f>[1]REF!R28</f>
        <v>223</v>
      </c>
      <c r="T32">
        <f>[1]REF!S28</f>
        <v>201</v>
      </c>
      <c r="U32">
        <f>[1]REF!T28</f>
        <v>0</v>
      </c>
      <c r="V32">
        <f>[1]REF!U28</f>
        <v>0</v>
      </c>
      <c r="W32">
        <f>[1]REF!V28</f>
        <v>0</v>
      </c>
      <c r="X32">
        <f>[1]REF!W28</f>
        <v>0</v>
      </c>
      <c r="Y32">
        <f>[1]REF!X28</f>
        <v>0</v>
      </c>
      <c r="Z32">
        <f>[1]REF!Y28</f>
        <v>0</v>
      </c>
      <c r="AA32">
        <f>[1]REF!Z28</f>
        <v>0</v>
      </c>
      <c r="AB32">
        <f>[1]REF!AA28</f>
        <v>0</v>
      </c>
      <c r="AC32">
        <f>[1]REF!AB28</f>
        <v>0</v>
      </c>
      <c r="AD32">
        <f>[1]REF!AC28</f>
        <v>0</v>
      </c>
      <c r="AE32">
        <f>[1]REF!AD28</f>
        <v>0</v>
      </c>
      <c r="AF32">
        <f>[1]REF!AE28</f>
        <v>0</v>
      </c>
      <c r="AG32">
        <f>[1]REF!AF28</f>
        <v>0</v>
      </c>
      <c r="AH32">
        <f>[1]REF!AG28</f>
        <v>0</v>
      </c>
      <c r="AI32">
        <f>[1]REF!AH28</f>
        <v>0</v>
      </c>
      <c r="AJ32">
        <f>[1]REF!AI28</f>
        <v>0</v>
      </c>
      <c r="AK32">
        <f>[1]REF!AJ28</f>
        <v>0</v>
      </c>
      <c r="AL32">
        <f>[1]REF!AK28</f>
        <v>0</v>
      </c>
      <c r="AM32">
        <f>[1]REF!AL28</f>
        <v>0</v>
      </c>
    </row>
    <row r="33" spans="1:39" x14ac:dyDescent="0.25">
      <c r="A33" t="s">
        <v>21</v>
      </c>
      <c r="B33" t="s">
        <v>79</v>
      </c>
      <c r="C33" t="s">
        <v>23</v>
      </c>
      <c r="D33">
        <f>D32+D31</f>
        <v>2050</v>
      </c>
      <c r="E33">
        <f t="shared" ref="E33:AM33" si="7">E32+E31</f>
        <v>1910</v>
      </c>
      <c r="F33">
        <f t="shared" si="7"/>
        <v>1890</v>
      </c>
      <c r="G33">
        <f t="shared" si="7"/>
        <v>1750</v>
      </c>
      <c r="H33">
        <f t="shared" si="7"/>
        <v>1130</v>
      </c>
      <c r="I33">
        <f t="shared" si="7"/>
        <v>1070</v>
      </c>
      <c r="J33">
        <f t="shared" si="7"/>
        <v>860</v>
      </c>
      <c r="K33">
        <f t="shared" si="7"/>
        <v>580</v>
      </c>
      <c r="L33">
        <f t="shared" si="7"/>
        <v>330</v>
      </c>
      <c r="M33">
        <f t="shared" si="7"/>
        <v>460</v>
      </c>
      <c r="N33">
        <f t="shared" si="7"/>
        <v>439.2230136986301</v>
      </c>
      <c r="O33">
        <f t="shared" si="7"/>
        <v>416.31040165903886</v>
      </c>
      <c r="P33">
        <f t="shared" si="7"/>
        <v>312</v>
      </c>
      <c r="Q33">
        <f t="shared" si="7"/>
        <v>302</v>
      </c>
      <c r="R33">
        <f t="shared" si="7"/>
        <v>287</v>
      </c>
      <c r="S33">
        <f t="shared" si="7"/>
        <v>223</v>
      </c>
      <c r="T33">
        <f t="shared" si="7"/>
        <v>201</v>
      </c>
      <c r="U33">
        <f t="shared" si="7"/>
        <v>0</v>
      </c>
      <c r="V33">
        <f t="shared" si="7"/>
        <v>0</v>
      </c>
      <c r="W33">
        <f t="shared" si="7"/>
        <v>0</v>
      </c>
      <c r="X33">
        <f t="shared" si="7"/>
        <v>0</v>
      </c>
      <c r="Y33">
        <f t="shared" si="7"/>
        <v>0</v>
      </c>
      <c r="Z33">
        <f t="shared" si="7"/>
        <v>0</v>
      </c>
      <c r="AA33">
        <f t="shared" si="7"/>
        <v>0</v>
      </c>
      <c r="AB33">
        <f t="shared" si="7"/>
        <v>0</v>
      </c>
      <c r="AC33">
        <f t="shared" si="7"/>
        <v>0</v>
      </c>
      <c r="AD33">
        <f t="shared" si="7"/>
        <v>0</v>
      </c>
      <c r="AE33">
        <f t="shared" si="7"/>
        <v>0</v>
      </c>
      <c r="AF33">
        <f t="shared" si="7"/>
        <v>0</v>
      </c>
      <c r="AG33">
        <f t="shared" si="7"/>
        <v>0</v>
      </c>
      <c r="AH33">
        <f t="shared" si="7"/>
        <v>0</v>
      </c>
      <c r="AI33">
        <f t="shared" si="7"/>
        <v>0</v>
      </c>
      <c r="AJ33">
        <f t="shared" si="7"/>
        <v>0</v>
      </c>
      <c r="AK33">
        <f t="shared" si="7"/>
        <v>0</v>
      </c>
      <c r="AL33">
        <f t="shared" si="7"/>
        <v>0</v>
      </c>
      <c r="AM33">
        <f t="shared" si="7"/>
        <v>0</v>
      </c>
    </row>
    <row r="34" spans="1:39" x14ac:dyDescent="0.25">
      <c r="A34" t="s">
        <v>21</v>
      </c>
      <c r="B34" t="str">
        <f>[1]REF!A29</f>
        <v>NL</v>
      </c>
      <c r="C34" t="str">
        <f>[1]REF!B29</f>
        <v>Conventional Light</v>
      </c>
      <c r="D34">
        <f>[1]REF!C29</f>
        <v>48470</v>
      </c>
      <c r="E34">
        <f>[1]REF!D29</f>
        <v>48280</v>
      </c>
      <c r="F34">
        <f>[1]REF!E29</f>
        <v>58580</v>
      </c>
      <c r="G34">
        <f>[1]REF!F29</f>
        <v>54550</v>
      </c>
      <c r="H34">
        <f>[1]REF!G29</f>
        <v>42550</v>
      </c>
      <c r="I34">
        <f>[1]REF!H29</f>
        <v>43850</v>
      </c>
      <c r="J34">
        <f>[1]REF!I29</f>
        <v>42140</v>
      </c>
      <c r="K34">
        <f>[1]REF!J29</f>
        <v>31430</v>
      </c>
      <c r="L34">
        <f>[1]REF!K29</f>
        <v>36870</v>
      </c>
      <c r="M34">
        <f>[1]REF!L29</f>
        <v>34340</v>
      </c>
      <c r="N34">
        <f>[1]REF!M29</f>
        <v>27348</v>
      </c>
      <c r="O34">
        <f>[1]REF!N29</f>
        <v>33334</v>
      </c>
      <c r="P34">
        <f>[1]REF!O29</f>
        <v>34760</v>
      </c>
      <c r="Q34">
        <f>[1]REF!P29</f>
        <v>29943.074179243024</v>
      </c>
      <c r="R34">
        <f>[1]REF!Q29</f>
        <v>29968.449411092381</v>
      </c>
      <c r="S34">
        <f>[1]REF!R29</f>
        <v>23373.788212816609</v>
      </c>
      <c r="T34">
        <f>[1]REF!S29</f>
        <v>23819.012558388451</v>
      </c>
      <c r="U34">
        <f>[1]REF!T29</f>
        <v>23313.191624099385</v>
      </c>
      <c r="V34">
        <f>[1]REF!U29</f>
        <v>26668.918521480115</v>
      </c>
      <c r="W34">
        <f>[1]REF!V29</f>
        <v>26008.9765202526</v>
      </c>
      <c r="X34">
        <f>[1]REF!W29</f>
        <v>25222.764641027643</v>
      </c>
      <c r="Y34">
        <f>[1]REF!X29</f>
        <v>23101.052005617599</v>
      </c>
      <c r="Z34">
        <f>[1]REF!Y29</f>
        <v>21315.528468139553</v>
      </c>
      <c r="AA34">
        <f>[1]REF!Z29</f>
        <v>21681.60127746845</v>
      </c>
      <c r="AB34">
        <f>[1]REF!AA29</f>
        <v>23300.590956273947</v>
      </c>
      <c r="AC34">
        <f>[1]REF!AB29</f>
        <v>24076.950049990723</v>
      </c>
      <c r="AD34">
        <f>[1]REF!AC29</f>
        <v>23137.625187581332</v>
      </c>
      <c r="AE34">
        <f>[1]REF!AD29</f>
        <v>21049.226018957255</v>
      </c>
      <c r="AF34">
        <f>[1]REF!AE29</f>
        <v>20814.4868804742</v>
      </c>
      <c r="AG34">
        <f>[1]REF!AF29</f>
        <v>21338.511891331935</v>
      </c>
      <c r="AH34">
        <f>[1]REF!AG29</f>
        <v>21932.292189439086</v>
      </c>
      <c r="AI34">
        <f>[1]REF!AH29</f>
        <v>21297.828854384661</v>
      </c>
      <c r="AJ34">
        <f>[1]REF!AI29</f>
        <v>19497.05124591013</v>
      </c>
      <c r="AK34">
        <f>[1]REF!AJ29</f>
        <v>17366.596586755739</v>
      </c>
      <c r="AL34">
        <f>[1]REF!AK29</f>
        <v>15311.287004554253</v>
      </c>
      <c r="AM34">
        <f>[1]REF!AL29</f>
        <v>13151.710854170984</v>
      </c>
    </row>
    <row r="35" spans="1:39" x14ac:dyDescent="0.25">
      <c r="A35" t="s">
        <v>21</v>
      </c>
      <c r="B35" t="str">
        <f>[1]REF!A30</f>
        <v>NL</v>
      </c>
      <c r="C35" t="str">
        <f>[1]REF!B30</f>
        <v>Conventional Heavy</v>
      </c>
      <c r="D35">
        <f>[1]REF!C30</f>
        <v>0</v>
      </c>
      <c r="E35">
        <f>[1]REF!D30</f>
        <v>0</v>
      </c>
      <c r="F35">
        <f>[1]REF!E30</f>
        <v>0</v>
      </c>
      <c r="G35">
        <f>[1]REF!F30</f>
        <v>0</v>
      </c>
      <c r="H35">
        <f>[1]REF!G30</f>
        <v>0</v>
      </c>
      <c r="I35">
        <f>[1]REF!H30</f>
        <v>0</v>
      </c>
      <c r="J35">
        <f>[1]REF!I30</f>
        <v>0</v>
      </c>
      <c r="K35">
        <f>[1]REF!J30</f>
        <v>0</v>
      </c>
      <c r="L35">
        <f>[1]REF!K30</f>
        <v>0</v>
      </c>
      <c r="M35">
        <f>[1]REF!L30</f>
        <v>0</v>
      </c>
      <c r="N35">
        <f>[1]REF!M30</f>
        <v>0</v>
      </c>
      <c r="O35">
        <f>[1]REF!N30</f>
        <v>0</v>
      </c>
      <c r="P35">
        <f>[1]REF!O30</f>
        <v>336</v>
      </c>
      <c r="Q35">
        <f>[1]REF!P30</f>
        <v>7773.7079864464204</v>
      </c>
      <c r="R35">
        <f>[1]REF!Q30</f>
        <v>12503.100257559858</v>
      </c>
      <c r="S35">
        <f>[1]REF!R30</f>
        <v>19087.093389296962</v>
      </c>
      <c r="T35">
        <f>[1]REF!S30</f>
        <v>22161.594963273878</v>
      </c>
      <c r="U35">
        <f>[1]REF!T30</f>
        <v>23578.492161912942</v>
      </c>
      <c r="V35">
        <f>[1]REF!U30</f>
        <v>22577.506438996472</v>
      </c>
      <c r="W35">
        <f>[1]REF!V30</f>
        <v>22482.113898693122</v>
      </c>
      <c r="X35">
        <f>[1]REF!W30</f>
        <v>21266.494960094125</v>
      </c>
      <c r="Y35">
        <f>[1]REF!X30</f>
        <v>19185.347705809403</v>
      </c>
      <c r="Z35">
        <f>[1]REF!Y30</f>
        <v>17408.184679958027</v>
      </c>
      <c r="AA35">
        <f>[1]REF!Z30</f>
        <v>14795.38300104932</v>
      </c>
      <c r="AB35">
        <f>[1]REF!AA30</f>
        <v>12418.677859391399</v>
      </c>
      <c r="AC35">
        <f>[1]REF!AB30</f>
        <v>10561.385099685205</v>
      </c>
      <c r="AD35">
        <f>[1]REF!AC30</f>
        <v>9239.2444910807972</v>
      </c>
      <c r="AE35">
        <f>[1]REF!AD30</f>
        <v>8326.3378803777541</v>
      </c>
      <c r="AF35">
        <f>[1]REF!AE30</f>
        <v>7098.6358866736628</v>
      </c>
      <c r="AG35">
        <f>[1]REF!AF30</f>
        <v>6059.8111227701993</v>
      </c>
      <c r="AH35">
        <f>[1]REF!AG30</f>
        <v>5461.6998950682064</v>
      </c>
      <c r="AI35">
        <f>[1]REF!AH30</f>
        <v>5020.9863588667367</v>
      </c>
      <c r="AJ35">
        <f>[1]REF!AI30</f>
        <v>5027.2391438715522</v>
      </c>
      <c r="AK35">
        <f>[1]REF!AJ30</f>
        <v>4696.7039917204502</v>
      </c>
      <c r="AL35">
        <f>[1]REF!AK30</f>
        <v>4240.8975261970136</v>
      </c>
      <c r="AM35">
        <f>[1]REF!AL30</f>
        <v>3839.3855469354762</v>
      </c>
    </row>
    <row r="36" spans="1:39" x14ac:dyDescent="0.25">
      <c r="A36" t="s">
        <v>21</v>
      </c>
      <c r="B36" t="s">
        <v>80</v>
      </c>
      <c r="C36" t="s">
        <v>23</v>
      </c>
      <c r="D36">
        <f>SUM(D34:D35)</f>
        <v>48470</v>
      </c>
      <c r="E36">
        <f t="shared" ref="E36:AM36" si="8">SUM(E34:E35)</f>
        <v>48280</v>
      </c>
      <c r="F36">
        <f t="shared" si="8"/>
        <v>58580</v>
      </c>
      <c r="G36">
        <f t="shared" si="8"/>
        <v>54550</v>
      </c>
      <c r="H36">
        <f t="shared" si="8"/>
        <v>42550</v>
      </c>
      <c r="I36">
        <f t="shared" si="8"/>
        <v>43850</v>
      </c>
      <c r="J36">
        <f t="shared" si="8"/>
        <v>42140</v>
      </c>
      <c r="K36">
        <f t="shared" si="8"/>
        <v>31430</v>
      </c>
      <c r="L36">
        <f t="shared" si="8"/>
        <v>36870</v>
      </c>
      <c r="M36">
        <f t="shared" si="8"/>
        <v>34340</v>
      </c>
      <c r="N36">
        <f t="shared" si="8"/>
        <v>27348</v>
      </c>
      <c r="O36">
        <f t="shared" si="8"/>
        <v>33334</v>
      </c>
      <c r="P36">
        <f t="shared" si="8"/>
        <v>35096</v>
      </c>
      <c r="Q36">
        <f t="shared" si="8"/>
        <v>37716.782165689445</v>
      </c>
      <c r="R36">
        <f t="shared" si="8"/>
        <v>42471.549668652238</v>
      </c>
      <c r="S36">
        <f t="shared" si="8"/>
        <v>42460.881602113572</v>
      </c>
      <c r="T36">
        <f t="shared" si="8"/>
        <v>45980.607521662329</v>
      </c>
      <c r="U36">
        <f t="shared" si="8"/>
        <v>46891.683786012327</v>
      </c>
      <c r="V36">
        <f t="shared" si="8"/>
        <v>49246.424960476586</v>
      </c>
      <c r="W36">
        <f t="shared" si="8"/>
        <v>48491.090418945721</v>
      </c>
      <c r="X36">
        <f t="shared" si="8"/>
        <v>46489.259601121768</v>
      </c>
      <c r="Y36">
        <f t="shared" si="8"/>
        <v>42286.399711427002</v>
      </c>
      <c r="Z36">
        <f t="shared" si="8"/>
        <v>38723.71314809758</v>
      </c>
      <c r="AA36">
        <f t="shared" si="8"/>
        <v>36476.984278517768</v>
      </c>
      <c r="AB36">
        <f t="shared" si="8"/>
        <v>35719.268815665346</v>
      </c>
      <c r="AC36">
        <f t="shared" si="8"/>
        <v>34638.335149675928</v>
      </c>
      <c r="AD36">
        <f t="shared" si="8"/>
        <v>32376.869678662129</v>
      </c>
      <c r="AE36">
        <f t="shared" si="8"/>
        <v>29375.563899335008</v>
      </c>
      <c r="AF36">
        <f t="shared" si="8"/>
        <v>27913.122767147863</v>
      </c>
      <c r="AG36">
        <f t="shared" si="8"/>
        <v>27398.323014102134</v>
      </c>
      <c r="AH36">
        <f t="shared" si="8"/>
        <v>27393.992084507292</v>
      </c>
      <c r="AI36">
        <f t="shared" si="8"/>
        <v>26318.815213251397</v>
      </c>
      <c r="AJ36">
        <f t="shared" si="8"/>
        <v>24524.290389781683</v>
      </c>
      <c r="AK36">
        <f t="shared" si="8"/>
        <v>22063.300578476188</v>
      </c>
      <c r="AL36">
        <f t="shared" si="8"/>
        <v>19552.184530751267</v>
      </c>
      <c r="AM36">
        <f t="shared" si="8"/>
        <v>16991.096401106461</v>
      </c>
    </row>
    <row r="37" spans="1:39" x14ac:dyDescent="0.25">
      <c r="A37" t="s">
        <v>21</v>
      </c>
      <c r="B37" t="str">
        <f>[1]REF!A31</f>
        <v>NWT</v>
      </c>
      <c r="C37" t="str">
        <f>[1]REF!B31</f>
        <v>Conventional Light</v>
      </c>
      <c r="D37">
        <f>[1]REF!C31</f>
        <v>2990</v>
      </c>
      <c r="E37">
        <f>[1]REF!D31</f>
        <v>2970</v>
      </c>
      <c r="F37">
        <f>[1]REF!E31</f>
        <v>2790</v>
      </c>
      <c r="G37">
        <f>[1]REF!F31</f>
        <v>2580</v>
      </c>
      <c r="H37">
        <f>[1]REF!G31</f>
        <v>2470</v>
      </c>
      <c r="I37">
        <f>[1]REF!H31</f>
        <v>2390</v>
      </c>
      <c r="J37">
        <f>[1]REF!I31</f>
        <v>1670</v>
      </c>
      <c r="K37">
        <f>[1]REF!J31</f>
        <v>2070</v>
      </c>
      <c r="L37">
        <f>[1]REF!K31</f>
        <v>1960</v>
      </c>
      <c r="M37">
        <f>[1]REF!L31</f>
        <v>1690</v>
      </c>
      <c r="N37">
        <f>[1]REF!M31</f>
        <v>1576</v>
      </c>
      <c r="O37">
        <f>[1]REF!N31</f>
        <v>1428</v>
      </c>
      <c r="P37">
        <f>[1]REF!O31</f>
        <v>54</v>
      </c>
      <c r="Q37">
        <f>[1]REF!P31</f>
        <v>100</v>
      </c>
      <c r="R37">
        <f>[1]REF!Q31</f>
        <v>1212.9230769230767</v>
      </c>
      <c r="S37">
        <f>[1]REF!R31</f>
        <v>1305.840579710145</v>
      </c>
      <c r="T37">
        <f>[1]REF!S31</f>
        <v>1321.7941381236001</v>
      </c>
      <c r="U37">
        <f>[1]REF!T31</f>
        <v>1282.140313979892</v>
      </c>
      <c r="V37">
        <f>[1]REF!U31</f>
        <v>1243.6761045604951</v>
      </c>
      <c r="W37">
        <f>[1]REF!V31</f>
        <v>1206.3658214236802</v>
      </c>
      <c r="X37">
        <f>[1]REF!W31</f>
        <v>1170.1748467809698</v>
      </c>
      <c r="Y37">
        <f>[1]REF!X31</f>
        <v>1123.7064525335761</v>
      </c>
      <c r="Z37">
        <f>[1]REF!Y31</f>
        <v>1078.9757255694858</v>
      </c>
      <c r="AA37">
        <f>[1]REF!Z31</f>
        <v>1025.2675084186831</v>
      </c>
      <c r="AB37">
        <f>[1]REF!AA31</f>
        <v>984.15000938314199</v>
      </c>
      <c r="AC37">
        <f>[1]REF!AB31</f>
        <v>944.57681953215661</v>
      </c>
      <c r="AD37">
        <f>[1]REF!AC31</f>
        <v>906.49228606378574</v>
      </c>
      <c r="AE37">
        <f>[1]REF!AD31</f>
        <v>869.84270546593802</v>
      </c>
      <c r="AF37">
        <f>[1]REF!AE31</f>
        <v>843.74742430195988</v>
      </c>
      <c r="AG37">
        <f>[1]REF!AF31</f>
        <v>809.53896894710874</v>
      </c>
      <c r="AH37">
        <f>[1]REF!AG31</f>
        <v>776.62364823167684</v>
      </c>
      <c r="AI37">
        <f>[1]REF!AH31</f>
        <v>753.32493878472644</v>
      </c>
      <c r="AJ37">
        <f>[1]REF!AI31</f>
        <v>722.60602183650474</v>
      </c>
      <c r="AK37">
        <f>[1]REF!AJ31</f>
        <v>693.05224746027022</v>
      </c>
      <c r="AL37">
        <f>[1]REF!AK31</f>
        <v>672.26068003646208</v>
      </c>
      <c r="AM37">
        <f>[1]REF!AL31</f>
        <v>644.57124475314788</v>
      </c>
    </row>
    <row r="38" spans="1:39" x14ac:dyDescent="0.25">
      <c r="A38" t="s">
        <v>21</v>
      </c>
      <c r="B38" t="s">
        <v>81</v>
      </c>
      <c r="C38" t="s">
        <v>23</v>
      </c>
      <c r="D38">
        <f>D37</f>
        <v>2990</v>
      </c>
      <c r="E38">
        <f t="shared" ref="E38:AM38" si="9">E37</f>
        <v>2970</v>
      </c>
      <c r="F38">
        <f t="shared" si="9"/>
        <v>2790</v>
      </c>
      <c r="G38">
        <f t="shared" si="9"/>
        <v>2580</v>
      </c>
      <c r="H38">
        <f t="shared" si="9"/>
        <v>2470</v>
      </c>
      <c r="I38">
        <f t="shared" si="9"/>
        <v>2390</v>
      </c>
      <c r="J38">
        <f t="shared" si="9"/>
        <v>1670</v>
      </c>
      <c r="K38">
        <f t="shared" si="9"/>
        <v>2070</v>
      </c>
      <c r="L38">
        <f t="shared" si="9"/>
        <v>1960</v>
      </c>
      <c r="M38">
        <f t="shared" si="9"/>
        <v>1690</v>
      </c>
      <c r="N38">
        <f t="shared" si="9"/>
        <v>1576</v>
      </c>
      <c r="O38">
        <f t="shared" si="9"/>
        <v>1428</v>
      </c>
      <c r="P38">
        <f t="shared" si="9"/>
        <v>54</v>
      </c>
      <c r="Q38">
        <f t="shared" si="9"/>
        <v>100</v>
      </c>
      <c r="R38">
        <f t="shared" si="9"/>
        <v>1212.9230769230767</v>
      </c>
      <c r="S38">
        <f t="shared" si="9"/>
        <v>1305.840579710145</v>
      </c>
      <c r="T38">
        <f t="shared" si="9"/>
        <v>1321.7941381236001</v>
      </c>
      <c r="U38">
        <f t="shared" si="9"/>
        <v>1282.140313979892</v>
      </c>
      <c r="V38">
        <f t="shared" si="9"/>
        <v>1243.6761045604951</v>
      </c>
      <c r="W38">
        <f t="shared" si="9"/>
        <v>1206.3658214236802</v>
      </c>
      <c r="X38">
        <f t="shared" si="9"/>
        <v>1170.1748467809698</v>
      </c>
      <c r="Y38">
        <f t="shared" si="9"/>
        <v>1123.7064525335761</v>
      </c>
      <c r="Z38">
        <f t="shared" si="9"/>
        <v>1078.9757255694858</v>
      </c>
      <c r="AA38">
        <f t="shared" si="9"/>
        <v>1025.2675084186831</v>
      </c>
      <c r="AB38">
        <f t="shared" si="9"/>
        <v>984.15000938314199</v>
      </c>
      <c r="AC38">
        <f t="shared" si="9"/>
        <v>944.57681953215661</v>
      </c>
      <c r="AD38">
        <f t="shared" si="9"/>
        <v>906.49228606378574</v>
      </c>
      <c r="AE38">
        <f t="shared" si="9"/>
        <v>869.84270546593802</v>
      </c>
      <c r="AF38">
        <f t="shared" si="9"/>
        <v>843.74742430195988</v>
      </c>
      <c r="AG38">
        <f t="shared" si="9"/>
        <v>809.53896894710874</v>
      </c>
      <c r="AH38">
        <f t="shared" si="9"/>
        <v>776.62364823167684</v>
      </c>
      <c r="AI38">
        <f t="shared" si="9"/>
        <v>753.32493878472644</v>
      </c>
      <c r="AJ38">
        <f t="shared" si="9"/>
        <v>722.60602183650474</v>
      </c>
      <c r="AK38">
        <f t="shared" si="9"/>
        <v>693.05224746027022</v>
      </c>
      <c r="AL38">
        <f t="shared" si="9"/>
        <v>672.26068003646208</v>
      </c>
      <c r="AM38">
        <f t="shared" si="9"/>
        <v>644.57124475314788</v>
      </c>
    </row>
    <row r="39" spans="1:39" x14ac:dyDescent="0.25">
      <c r="A39" t="s">
        <v>21</v>
      </c>
      <c r="B39" t="s">
        <v>82</v>
      </c>
      <c r="C39" t="s">
        <v>1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</row>
    <row r="40" spans="1:39" x14ac:dyDescent="0.25">
      <c r="A40" t="s">
        <v>21</v>
      </c>
      <c r="B40" t="s">
        <v>82</v>
      </c>
      <c r="C40" t="s">
        <v>2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</row>
    <row r="41" spans="1:39" x14ac:dyDescent="0.25">
      <c r="A41" t="s">
        <v>21</v>
      </c>
      <c r="B41" t="s">
        <v>82</v>
      </c>
      <c r="C41" t="s">
        <v>3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</row>
    <row r="42" spans="1:39" x14ac:dyDescent="0.25">
      <c r="A42" t="s">
        <v>21</v>
      </c>
      <c r="B42" t="s">
        <v>82</v>
      </c>
      <c r="C42" t="s">
        <v>4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</row>
    <row r="43" spans="1:39" x14ac:dyDescent="0.25">
      <c r="A43" t="s">
        <v>21</v>
      </c>
      <c r="B43" t="s">
        <v>82</v>
      </c>
      <c r="C43" t="s">
        <v>5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</row>
    <row r="44" spans="1:39" x14ac:dyDescent="0.25">
      <c r="A44" t="s">
        <v>21</v>
      </c>
      <c r="B44" t="s">
        <v>82</v>
      </c>
      <c r="C44" t="s">
        <v>6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</row>
    <row r="45" spans="1:39" x14ac:dyDescent="0.25">
      <c r="A45" t="s">
        <v>21</v>
      </c>
      <c r="B45" t="s">
        <v>82</v>
      </c>
      <c r="C45" t="s">
        <v>23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</row>
    <row r="46" spans="1:39" x14ac:dyDescent="0.25">
      <c r="A46" t="s">
        <v>21</v>
      </c>
      <c r="B46" t="s">
        <v>83</v>
      </c>
      <c r="C46" t="s">
        <v>1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</row>
    <row r="47" spans="1:39" x14ac:dyDescent="0.25">
      <c r="A47" t="s">
        <v>21</v>
      </c>
      <c r="B47" t="s">
        <v>83</v>
      </c>
      <c r="C47" t="s">
        <v>2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</row>
    <row r="48" spans="1:39" x14ac:dyDescent="0.25">
      <c r="A48" t="s">
        <v>21</v>
      </c>
      <c r="B48" t="s">
        <v>83</v>
      </c>
      <c r="C48" t="s">
        <v>3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</row>
    <row r="49" spans="1:39" x14ac:dyDescent="0.25">
      <c r="A49" t="s">
        <v>21</v>
      </c>
      <c r="B49" t="s">
        <v>83</v>
      </c>
      <c r="C49" t="s">
        <v>4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</row>
    <row r="50" spans="1:39" x14ac:dyDescent="0.25">
      <c r="A50" t="s">
        <v>21</v>
      </c>
      <c r="B50" t="s">
        <v>83</v>
      </c>
      <c r="C50" t="s">
        <v>5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</row>
    <row r="51" spans="1:39" x14ac:dyDescent="0.25">
      <c r="A51" t="s">
        <v>21</v>
      </c>
      <c r="B51" t="s">
        <v>83</v>
      </c>
      <c r="C51" t="s">
        <v>6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</row>
    <row r="52" spans="1:39" x14ac:dyDescent="0.25">
      <c r="A52" t="s">
        <v>21</v>
      </c>
      <c r="B52" t="s">
        <v>83</v>
      </c>
      <c r="C52" t="s">
        <v>23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</row>
    <row r="53" spans="1:39" x14ac:dyDescent="0.25">
      <c r="A53" t="s">
        <v>21</v>
      </c>
      <c r="B53" t="s">
        <v>84</v>
      </c>
      <c r="C53" t="s">
        <v>1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</row>
    <row r="54" spans="1:39" x14ac:dyDescent="0.25">
      <c r="A54" t="s">
        <v>21</v>
      </c>
      <c r="B54" t="s">
        <v>84</v>
      </c>
      <c r="C54" t="s">
        <v>2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</row>
    <row r="55" spans="1:39" x14ac:dyDescent="0.25">
      <c r="A55" t="s">
        <v>21</v>
      </c>
      <c r="B55" t="s">
        <v>84</v>
      </c>
      <c r="C55" t="s">
        <v>3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</row>
    <row r="56" spans="1:39" x14ac:dyDescent="0.25">
      <c r="A56" t="s">
        <v>21</v>
      </c>
      <c r="B56" t="s">
        <v>84</v>
      </c>
      <c r="C56" t="s">
        <v>4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</row>
    <row r="57" spans="1:39" x14ac:dyDescent="0.25">
      <c r="A57" t="s">
        <v>21</v>
      </c>
      <c r="B57" t="s">
        <v>84</v>
      </c>
      <c r="C57" t="s">
        <v>5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</row>
    <row r="58" spans="1:39" x14ac:dyDescent="0.25">
      <c r="A58" t="s">
        <v>21</v>
      </c>
      <c r="B58" t="s">
        <v>84</v>
      </c>
      <c r="C58" t="s">
        <v>6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</row>
    <row r="59" spans="1:39" x14ac:dyDescent="0.25">
      <c r="A59" t="s">
        <v>21</v>
      </c>
      <c r="B59" t="s">
        <v>84</v>
      </c>
      <c r="C59" t="s">
        <v>23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</row>
    <row r="60" spans="1:39" x14ac:dyDescent="0.25">
      <c r="A60" t="s">
        <v>21</v>
      </c>
      <c r="B60" t="s">
        <v>85</v>
      </c>
      <c r="C60" t="s">
        <v>1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</row>
    <row r="61" spans="1:39" x14ac:dyDescent="0.25">
      <c r="A61" t="s">
        <v>21</v>
      </c>
      <c r="B61" t="s">
        <v>85</v>
      </c>
      <c r="C61" t="s">
        <v>2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</row>
    <row r="62" spans="1:39" x14ac:dyDescent="0.25">
      <c r="A62" t="s">
        <v>21</v>
      </c>
      <c r="B62" t="s">
        <v>85</v>
      </c>
      <c r="C62" t="s">
        <v>3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</row>
    <row r="63" spans="1:39" x14ac:dyDescent="0.25">
      <c r="A63" t="s">
        <v>21</v>
      </c>
      <c r="B63" t="s">
        <v>85</v>
      </c>
      <c r="C63" t="s">
        <v>4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</row>
    <row r="64" spans="1:39" x14ac:dyDescent="0.25">
      <c r="A64" t="s">
        <v>21</v>
      </c>
      <c r="B64" t="s">
        <v>85</v>
      </c>
      <c r="C64" t="s">
        <v>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</row>
    <row r="65" spans="1:39" x14ac:dyDescent="0.25">
      <c r="A65" t="s">
        <v>21</v>
      </c>
      <c r="B65" t="s">
        <v>85</v>
      </c>
      <c r="C65" t="s">
        <v>6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</row>
    <row r="66" spans="1:39" x14ac:dyDescent="0.25">
      <c r="A66" t="s">
        <v>21</v>
      </c>
      <c r="B66" t="s">
        <v>85</v>
      </c>
      <c r="C66" t="s">
        <v>23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</row>
    <row r="67" spans="1:39" x14ac:dyDescent="0.25">
      <c r="A67" t="s">
        <v>34</v>
      </c>
      <c r="B67" t="s">
        <v>0</v>
      </c>
      <c r="C67" t="str">
        <f>[1]High!B2</f>
        <v>Conventional Light</v>
      </c>
      <c r="D67">
        <f>[1]High!C2</f>
        <v>120393.94465812801</v>
      </c>
      <c r="E67">
        <f>[1]High!D2</f>
        <v>119335.10154082894</v>
      </c>
      <c r="F67">
        <f>[1]High!E2</f>
        <v>128495.40715258461</v>
      </c>
      <c r="G67">
        <f>[1]High!F2</f>
        <v>126621.04200308448</v>
      </c>
      <c r="H67">
        <f>[1]High!G2</f>
        <v>113421.70271813478</v>
      </c>
      <c r="I67">
        <f>[1]High!H2</f>
        <v>115275.72885841444</v>
      </c>
      <c r="J67">
        <f>[1]High!I2</f>
        <v>119783.42174049366</v>
      </c>
      <c r="K67">
        <f>[1]High!J2</f>
        <v>121609.88327665607</v>
      </c>
      <c r="L67">
        <f>[1]High!K2</f>
        <v>130779.05255603722</v>
      </c>
      <c r="M67">
        <f>[1]High!L2</f>
        <v>130908.71006835497</v>
      </c>
      <c r="N67">
        <f>[1]High!M2</f>
        <v>114675.48064994118</v>
      </c>
      <c r="O67">
        <f>[1]High!N2</f>
        <v>107569.05421700577</v>
      </c>
      <c r="P67">
        <f>[1]High!O2</f>
        <v>106408.59598512293</v>
      </c>
      <c r="Q67">
        <f>[1]High!P2</f>
        <v>102117.39161406262</v>
      </c>
      <c r="R67">
        <f>[1]High!Q2</f>
        <v>104344.22985776157</v>
      </c>
      <c r="S67">
        <f>[1]High!R2</f>
        <v>99946.667115910997</v>
      </c>
      <c r="T67">
        <f>[1]High!S2</f>
        <v>104689.77252582119</v>
      </c>
      <c r="U67">
        <f>[1]High!T2</f>
        <v>108001.50132929854</v>
      </c>
      <c r="V67">
        <f>[1]High!U2</f>
        <v>119938.08371217751</v>
      </c>
      <c r="W67">
        <f>[1]High!V2</f>
        <v>129972.08714917843</v>
      </c>
      <c r="X67">
        <f>[1]High!W2</f>
        <v>139277.29801817157</v>
      </c>
      <c r="Y67">
        <f>[1]High!X2</f>
        <v>148182.88841923504</v>
      </c>
      <c r="Z67">
        <f>[1]High!Y2</f>
        <v>158279.52058449667</v>
      </c>
      <c r="AA67">
        <f>[1]High!Z2</f>
        <v>164586.39403720622</v>
      </c>
      <c r="AB67">
        <f>[1]High!AA2</f>
        <v>171498.86556431939</v>
      </c>
      <c r="AC67">
        <f>[1]High!AB2</f>
        <v>176541.24176947473</v>
      </c>
      <c r="AD67">
        <f>[1]High!AC2</f>
        <v>180541.988389715</v>
      </c>
      <c r="AE67">
        <f>[1]High!AD2</f>
        <v>184591.75862665908</v>
      </c>
      <c r="AF67">
        <f>[1]High!AE2</f>
        <v>191308.44168159823</v>
      </c>
      <c r="AG67">
        <f>[1]High!AF2</f>
        <v>195373.96853774282</v>
      </c>
      <c r="AH67">
        <f>[1]High!AG2</f>
        <v>200240.79643194657</v>
      </c>
      <c r="AI67">
        <f>[1]High!AH2</f>
        <v>205428.00478350875</v>
      </c>
      <c r="AJ67">
        <f>[1]High!AI2</f>
        <v>208931.82213707306</v>
      </c>
      <c r="AK67">
        <f>[1]High!AJ2</f>
        <v>209160.6035063219</v>
      </c>
      <c r="AL67">
        <f>[1]High!AK2</f>
        <v>210531.61513357155</v>
      </c>
      <c r="AM67">
        <f>[1]High!AL2</f>
        <v>210768.79175762302</v>
      </c>
    </row>
    <row r="68" spans="1:39" x14ac:dyDescent="0.25">
      <c r="A68" t="s">
        <v>34</v>
      </c>
      <c r="B68" t="s">
        <v>0</v>
      </c>
      <c r="C68" t="str">
        <f>[1]High!B3</f>
        <v>Conventional Heavy</v>
      </c>
      <c r="D68">
        <f>[1]High!C3</f>
        <v>95714.371685317979</v>
      </c>
      <c r="E68">
        <f>[1]High!D3</f>
        <v>94533.324805817247</v>
      </c>
      <c r="F68">
        <f>[1]High!E3</f>
        <v>92093.948245520878</v>
      </c>
      <c r="G68">
        <f>[1]High!F3</f>
        <v>87985.541330248874</v>
      </c>
      <c r="H68">
        <f>[1]High!G3</f>
        <v>80184.157122495002</v>
      </c>
      <c r="I68">
        <f>[1]High!H3</f>
        <v>79544.775663474953</v>
      </c>
      <c r="J68">
        <f>[1]High!I3</f>
        <v>79770.543291508366</v>
      </c>
      <c r="K68">
        <f>[1]High!J3</f>
        <v>86935.674939329067</v>
      </c>
      <c r="L68">
        <f>[1]High!K3</f>
        <v>89225.079665544938</v>
      </c>
      <c r="M68">
        <f>[1]High!L3</f>
        <v>98750.054845239487</v>
      </c>
      <c r="N68">
        <f>[1]High!M3</f>
        <v>86709.106279142259</v>
      </c>
      <c r="O68">
        <f>[1]High!N3</f>
        <v>81282.378465617643</v>
      </c>
      <c r="P68">
        <f>[1]High!O3</f>
        <v>85919.878422883514</v>
      </c>
      <c r="Q68">
        <f>[1]High!P3</f>
        <v>96369.73646591611</v>
      </c>
      <c r="R68">
        <f>[1]High!Q3</f>
        <v>105022.61164423369</v>
      </c>
      <c r="S68">
        <f>[1]High!R3</f>
        <v>115855.94313284609</v>
      </c>
      <c r="T68">
        <f>[1]High!S3</f>
        <v>124738.39194470838</v>
      </c>
      <c r="U68">
        <f>[1]High!T3</f>
        <v>131534.73498324875</v>
      </c>
      <c r="V68">
        <f>[1]High!U3</f>
        <v>139946.6522674484</v>
      </c>
      <c r="W68">
        <f>[1]High!V3</f>
        <v>149138.02407883841</v>
      </c>
      <c r="X68">
        <f>[1]High!W3</f>
        <v>157695.1334625005</v>
      </c>
      <c r="Y68">
        <f>[1]High!X3</f>
        <v>163705.75745292861</v>
      </c>
      <c r="Z68">
        <f>[1]High!Y3</f>
        <v>169089.55745304364</v>
      </c>
      <c r="AA68">
        <f>[1]High!Z3</f>
        <v>173183.52844842049</v>
      </c>
      <c r="AB68">
        <f>[1]High!AA3</f>
        <v>176888.20270259111</v>
      </c>
      <c r="AC68">
        <f>[1]High!AB3</f>
        <v>180703.15096444404</v>
      </c>
      <c r="AD68">
        <f>[1]High!AC3</f>
        <v>184731.54919326631</v>
      </c>
      <c r="AE68">
        <f>[1]High!AD3</f>
        <v>188812.46103040967</v>
      </c>
      <c r="AF68">
        <f>[1]High!AE3</f>
        <v>192049.39641870136</v>
      </c>
      <c r="AG68">
        <f>[1]High!AF3</f>
        <v>195009.22684353092</v>
      </c>
      <c r="AH68">
        <f>[1]High!AG3</f>
        <v>198066.76774403217</v>
      </c>
      <c r="AI68">
        <f>[1]High!AH3</f>
        <v>200484.50987379489</v>
      </c>
      <c r="AJ68">
        <f>[1]High!AI3</f>
        <v>202944.78436252722</v>
      </c>
      <c r="AK68">
        <f>[1]High!AJ3</f>
        <v>204226.94947267708</v>
      </c>
      <c r="AL68">
        <f>[1]High!AK3</f>
        <v>204970.16999945277</v>
      </c>
      <c r="AM68">
        <f>[1]High!AL3</f>
        <v>205274.69302214662</v>
      </c>
    </row>
    <row r="69" spans="1:39" x14ac:dyDescent="0.25">
      <c r="A69" t="s">
        <v>34</v>
      </c>
      <c r="B69" t="s">
        <v>0</v>
      </c>
      <c r="C69" t="str">
        <f>[1]High!B4</f>
        <v>C5+</v>
      </c>
      <c r="D69">
        <f>[1]High!C4</f>
        <v>24140</v>
      </c>
      <c r="E69">
        <f>[1]High!D4</f>
        <v>24810</v>
      </c>
      <c r="F69">
        <f>[1]High!E4</f>
        <v>24540</v>
      </c>
      <c r="G69">
        <f>[1]High!F4</f>
        <v>23110</v>
      </c>
      <c r="H69">
        <f>[1]High!G4</f>
        <v>21400</v>
      </c>
      <c r="I69">
        <f>[1]High!H4</f>
        <v>20920</v>
      </c>
      <c r="J69">
        <f>[1]High!I4</f>
        <v>20460</v>
      </c>
      <c r="K69">
        <f>[1]High!J4</f>
        <v>20000</v>
      </c>
      <c r="L69">
        <f>[1]High!K4</f>
        <v>21050</v>
      </c>
      <c r="M69">
        <f>[1]High!L4</f>
        <v>24800</v>
      </c>
      <c r="N69">
        <f>[1]High!M4</f>
        <v>30699.223013698629</v>
      </c>
      <c r="O69">
        <f>[1]High!N4</f>
        <v>32409.198894809721</v>
      </c>
      <c r="P69">
        <f>[1]High!O4</f>
        <v>39484.485890410957</v>
      </c>
      <c r="Q69">
        <f>[1]High!P4</f>
        <v>40589.192108215597</v>
      </c>
      <c r="R69">
        <f>[1]High!Q4</f>
        <v>40724.696288375359</v>
      </c>
      <c r="S69">
        <f>[1]High!R4</f>
        <v>41217.173677214261</v>
      </c>
      <c r="T69">
        <f>[1]High!S4</f>
        <v>41820.105848391388</v>
      </c>
      <c r="U69">
        <f>[1]High!T4</f>
        <v>42328.063992321899</v>
      </c>
      <c r="V69">
        <f>[1]High!U4</f>
        <v>43311.418019616394</v>
      </c>
      <c r="W69">
        <f>[1]High!V4</f>
        <v>44620.318907746747</v>
      </c>
      <c r="X69">
        <f>[1]High!W4</f>
        <v>46256.267912255978</v>
      </c>
      <c r="Y69">
        <f>[1]High!X4</f>
        <v>48112.051521013447</v>
      </c>
      <c r="Z69">
        <f>[1]High!Y4</f>
        <v>50104.993653582947</v>
      </c>
      <c r="AA69">
        <f>[1]High!Z4</f>
        <v>52206.563828087295</v>
      </c>
      <c r="AB69">
        <f>[1]High!AA4</f>
        <v>54384.835429952669</v>
      </c>
      <c r="AC69">
        <f>[1]High!AB4</f>
        <v>56750.877610585339</v>
      </c>
      <c r="AD69">
        <f>[1]High!AC4</f>
        <v>59308.18808437376</v>
      </c>
      <c r="AE69">
        <f>[1]High!AD4</f>
        <v>61927.85626562564</v>
      </c>
      <c r="AF69">
        <f>[1]High!AE4</f>
        <v>64639.735242906885</v>
      </c>
      <c r="AG69">
        <f>[1]High!AF4</f>
        <v>67499.322789926373</v>
      </c>
      <c r="AH69">
        <f>[1]High!AG4</f>
        <v>70496.739642814675</v>
      </c>
      <c r="AI69">
        <f>[1]High!AH4</f>
        <v>73630.816962372191</v>
      </c>
      <c r="AJ69">
        <f>[1]High!AI4</f>
        <v>76921.663567396812</v>
      </c>
      <c r="AK69">
        <f>[1]High!AJ4</f>
        <v>80386.25999701304</v>
      </c>
      <c r="AL69">
        <f>[1]High!AK4</f>
        <v>83972.05758529884</v>
      </c>
      <c r="AM69">
        <f>[1]High!AL4</f>
        <v>87669.072206648576</v>
      </c>
    </row>
    <row r="70" spans="1:39" x14ac:dyDescent="0.25">
      <c r="A70" t="s">
        <v>34</v>
      </c>
      <c r="B70" t="s">
        <v>0</v>
      </c>
      <c r="C70" t="str">
        <f>[1]High!B5</f>
        <v>Field Condensate</v>
      </c>
      <c r="D70">
        <f>[1]High!C5</f>
        <v>2090</v>
      </c>
      <c r="E70">
        <f>[1]High!D5</f>
        <v>2350</v>
      </c>
      <c r="F70">
        <f>[1]High!E5</f>
        <v>2750</v>
      </c>
      <c r="G70">
        <f>[1]High!F5</f>
        <v>3130</v>
      </c>
      <c r="H70">
        <f>[1]High!G5</f>
        <v>2900</v>
      </c>
      <c r="I70">
        <f>[1]High!H5</f>
        <v>2710</v>
      </c>
      <c r="J70">
        <f>[1]High!I5</f>
        <v>2820</v>
      </c>
      <c r="K70">
        <f>[1]High!J5</f>
        <v>2900</v>
      </c>
      <c r="L70">
        <f>[1]High!K5</f>
        <v>3550</v>
      </c>
      <c r="M70">
        <f>[1]High!L5</f>
        <v>5210</v>
      </c>
      <c r="N70">
        <f>[1]High!M5</f>
        <v>5570</v>
      </c>
      <c r="O70">
        <f>[1]High!N5</f>
        <v>10168.111506849318</v>
      </c>
      <c r="P70">
        <f>[1]High!O5</f>
        <v>12126.514109589039</v>
      </c>
      <c r="Q70">
        <f>[1]High!P5</f>
        <v>12648.110926962849</v>
      </c>
      <c r="R70">
        <f>[1]High!Q5</f>
        <v>12838.970775567706</v>
      </c>
      <c r="S70">
        <f>[1]High!R5</f>
        <v>13152.384885359757</v>
      </c>
      <c r="T70">
        <f>[1]High!S5</f>
        <v>13517.179526198008</v>
      </c>
      <c r="U70">
        <f>[1]High!T5</f>
        <v>13925.131835586748</v>
      </c>
      <c r="V70">
        <f>[1]High!U5</f>
        <v>14411.540030345168</v>
      </c>
      <c r="W70">
        <f>[1]High!V5</f>
        <v>15012.32721196644</v>
      </c>
      <c r="X70">
        <f>[1]High!W5</f>
        <v>15733.722235004228</v>
      </c>
      <c r="Y70">
        <f>[1]High!X5</f>
        <v>16543.396270370678</v>
      </c>
      <c r="Z70">
        <f>[1]High!Y5</f>
        <v>17414.221494120786</v>
      </c>
      <c r="AA70">
        <f>[1]High!Z5</f>
        <v>18339.357420243599</v>
      </c>
      <c r="AB70">
        <f>[1]High!AA5</f>
        <v>19309.482573818652</v>
      </c>
      <c r="AC70">
        <f>[1]High!AB5</f>
        <v>20365.721103359378</v>
      </c>
      <c r="AD70">
        <f>[1]High!AC5</f>
        <v>21509.986418115215</v>
      </c>
      <c r="AE70">
        <f>[1]High!AD5</f>
        <v>22700.105924181658</v>
      </c>
      <c r="AF70">
        <f>[1]High!AE5</f>
        <v>23947.797415235742</v>
      </c>
      <c r="AG70">
        <f>[1]High!AF5</f>
        <v>25273.582495356364</v>
      </c>
      <c r="AH70">
        <f>[1]High!AG5</f>
        <v>26674.964976037256</v>
      </c>
      <c r="AI70">
        <f>[1]High!AH5</f>
        <v>28154.16914920447</v>
      </c>
      <c r="AJ70">
        <f>[1]High!AI5</f>
        <v>29720.556328680887</v>
      </c>
      <c r="AK70">
        <f>[1]High!AJ5</f>
        <v>31382.736874854643</v>
      </c>
      <c r="AL70">
        <f>[1]High!AK5</f>
        <v>33126.70926935679</v>
      </c>
      <c r="AM70">
        <f>[1]High!AL5</f>
        <v>34950.062330565124</v>
      </c>
    </row>
    <row r="71" spans="1:39" x14ac:dyDescent="0.25">
      <c r="A71" t="s">
        <v>34</v>
      </c>
      <c r="B71" t="s">
        <v>0</v>
      </c>
      <c r="C71" t="str">
        <f>[1]High!B6</f>
        <v xml:space="preserve">Mined Bitumen </v>
      </c>
      <c r="D71">
        <f>[1]High!C6</f>
        <v>99600</v>
      </c>
      <c r="E71">
        <f>[1]High!D6</f>
        <v>120900</v>
      </c>
      <c r="F71">
        <f>[1]High!E6</f>
        <v>124700</v>
      </c>
      <c r="G71">
        <f>[1]High!F6</f>
        <v>114700</v>
      </c>
      <c r="H71">
        <f>[1]High!G6</f>
        <v>131200</v>
      </c>
      <c r="I71">
        <f>[1]High!H6</f>
        <v>136242.99205479454</v>
      </c>
      <c r="J71">
        <f>[1]High!I6</f>
        <v>141899.05890410958</v>
      </c>
      <c r="K71">
        <f>[1]High!J6</f>
        <v>148216.19643835619</v>
      </c>
      <c r="L71">
        <f>[1]High!K6</f>
        <v>155178.08602739728</v>
      </c>
      <c r="M71">
        <f>[1]High!L6</f>
        <v>152653.42301369866</v>
      </c>
      <c r="N71">
        <f>[1]High!M6</f>
        <v>184650.64986301371</v>
      </c>
      <c r="O71">
        <f>[1]High!N6</f>
        <v>182833.43972602743</v>
      </c>
      <c r="P71">
        <f>[1]High!O6</f>
        <v>202815.78219178083</v>
      </c>
      <c r="Q71">
        <f>[1]High!P6</f>
        <v>234799.82978469165</v>
      </c>
      <c r="R71">
        <f>[1]High!Q6</f>
        <v>255498.09139782851</v>
      </c>
      <c r="S71">
        <f>[1]High!R6</f>
        <v>264148.97687696363</v>
      </c>
      <c r="T71">
        <f>[1]High!S6</f>
        <v>265762.39362081629</v>
      </c>
      <c r="U71">
        <f>[1]High!T6</f>
        <v>270713.36543377477</v>
      </c>
      <c r="V71">
        <f>[1]High!U6</f>
        <v>277741.92541826161</v>
      </c>
      <c r="W71">
        <f>[1]High!V6</f>
        <v>279116.51529491914</v>
      </c>
      <c r="X71">
        <f>[1]High!W6</f>
        <v>281799.43080545263</v>
      </c>
      <c r="Y71">
        <f>[1]High!X6</f>
        <v>287019.52247198479</v>
      </c>
      <c r="Z71">
        <f>[1]High!Y6</f>
        <v>291007.46060946607</v>
      </c>
      <c r="AA71">
        <f>[1]High!Z6</f>
        <v>291040.58302083064</v>
      </c>
      <c r="AB71">
        <f>[1]High!AA6</f>
        <v>291040.58302092546</v>
      </c>
      <c r="AC71">
        <f>[1]High!AB6</f>
        <v>296406.41341296962</v>
      </c>
      <c r="AD71">
        <f>[1]High!AC6</f>
        <v>299625.91164820618</v>
      </c>
      <c r="AE71">
        <f>[1]High!AD6</f>
        <v>299625.91164820635</v>
      </c>
      <c r="AF71">
        <f>[1]High!AE6</f>
        <v>299625.91164820635</v>
      </c>
      <c r="AG71">
        <f>[1]High!AF6</f>
        <v>299625.91164820635</v>
      </c>
      <c r="AH71">
        <f>[1]High!AG6</f>
        <v>299625.91164820635</v>
      </c>
      <c r="AI71">
        <f>[1]High!AH6</f>
        <v>299625.91164820635</v>
      </c>
      <c r="AJ71">
        <f>[1]High!AI6</f>
        <v>299625.91164820635</v>
      </c>
      <c r="AK71">
        <f>[1]High!AJ6</f>
        <v>299625.91164820635</v>
      </c>
      <c r="AL71">
        <f>[1]High!AK6</f>
        <v>299625.91164820635</v>
      </c>
      <c r="AM71">
        <f>[1]High!AL6</f>
        <v>299625.91164820635</v>
      </c>
    </row>
    <row r="72" spans="1:39" x14ac:dyDescent="0.25">
      <c r="A72" t="s">
        <v>34</v>
      </c>
      <c r="B72" t="s">
        <v>0</v>
      </c>
      <c r="C72" t="str">
        <f>[1]High!B7</f>
        <v xml:space="preserve">In Situ Bitumen </v>
      </c>
      <c r="D72">
        <f>[1]High!C7</f>
        <v>69700</v>
      </c>
      <c r="E72">
        <f>[1]High!D7</f>
        <v>78500</v>
      </c>
      <c r="F72">
        <f>[1]High!E7</f>
        <v>85200</v>
      </c>
      <c r="G72">
        <f>[1]High!F7</f>
        <v>92700</v>
      </c>
      <c r="H72">
        <f>[1]High!G7</f>
        <v>105500</v>
      </c>
      <c r="I72">
        <f>[1]High!H7</f>
        <v>119629.14712328766</v>
      </c>
      <c r="J72">
        <f>[1]High!I7</f>
        <v>134719.58268493149</v>
      </c>
      <c r="K72">
        <f>[1]High!J7</f>
        <v>157385.20219178079</v>
      </c>
      <c r="L72">
        <f>[1]High!K7</f>
        <v>175859.07172602741</v>
      </c>
      <c r="M72">
        <f>[1]High!L7</f>
        <v>200748.64076712329</v>
      </c>
      <c r="N72">
        <f>[1]High!M7</f>
        <v>216516.94391559192</v>
      </c>
      <c r="O72">
        <f>[1]High!N7</f>
        <v>222306.83333061248</v>
      </c>
      <c r="P72">
        <f>[1]High!O7</f>
        <v>245914.92329379948</v>
      </c>
      <c r="Q72">
        <f>[1]High!P7</f>
        <v>272762.17768442695</v>
      </c>
      <c r="R72">
        <f>[1]High!Q7</f>
        <v>284162.61891845125</v>
      </c>
      <c r="S72">
        <f>[1]High!R7</f>
        <v>295882.20606529893</v>
      </c>
      <c r="T72">
        <f>[1]High!S7</f>
        <v>312045.04483255232</v>
      </c>
      <c r="U72">
        <f>[1]High!T7</f>
        <v>330001.52106524771</v>
      </c>
      <c r="V72">
        <f>[1]High!U7</f>
        <v>360761.47673649504</v>
      </c>
      <c r="W72">
        <f>[1]High!V7</f>
        <v>385834.40092542779</v>
      </c>
      <c r="X72">
        <f>[1]High!W7</f>
        <v>400520.32671273896</v>
      </c>
      <c r="Y72">
        <f>[1]High!X7</f>
        <v>424148.91973252734</v>
      </c>
      <c r="Z72">
        <f>[1]High!Y7</f>
        <v>435257.79760184925</v>
      </c>
      <c r="AA72">
        <f>[1]High!Z7</f>
        <v>448795.07437364658</v>
      </c>
      <c r="AB72">
        <f>[1]High!AA7</f>
        <v>457629.38591975474</v>
      </c>
      <c r="AC72">
        <f>[1]High!AB7</f>
        <v>474185.94174517418</v>
      </c>
      <c r="AD72">
        <f>[1]High!AC7</f>
        <v>492709.27301912702</v>
      </c>
      <c r="AE72">
        <f>[1]High!AD7</f>
        <v>502549.04666740081</v>
      </c>
      <c r="AF72">
        <f>[1]High!AE7</f>
        <v>512267.27668526414</v>
      </c>
      <c r="AG72">
        <f>[1]High!AF7</f>
        <v>519567.43155508721</v>
      </c>
      <c r="AH72">
        <f>[1]High!AG7</f>
        <v>524521.70072984754</v>
      </c>
      <c r="AI72">
        <f>[1]High!AH7</f>
        <v>532984.51721051568</v>
      </c>
      <c r="AJ72">
        <f>[1]High!AI7</f>
        <v>543164.45912687574</v>
      </c>
      <c r="AK72">
        <f>[1]High!AJ7</f>
        <v>549853.68815716414</v>
      </c>
      <c r="AL72">
        <f>[1]High!AK7</f>
        <v>552106.14308349392</v>
      </c>
      <c r="AM72">
        <f>[1]High!AL7</f>
        <v>553393.24972269603</v>
      </c>
    </row>
    <row r="73" spans="1:39" x14ac:dyDescent="0.25">
      <c r="A73" t="s">
        <v>34</v>
      </c>
      <c r="B73" t="s">
        <v>0</v>
      </c>
      <c r="C73" t="s">
        <v>23</v>
      </c>
      <c r="D73">
        <f>SUM(D67:D72)</f>
        <v>411638.31634344597</v>
      </c>
      <c r="E73">
        <f t="shared" ref="E73:AM73" si="10">SUM(E67:E72)</f>
        <v>440428.42634664616</v>
      </c>
      <c r="F73">
        <f t="shared" si="10"/>
        <v>457779.35539810546</v>
      </c>
      <c r="G73">
        <f t="shared" si="10"/>
        <v>448246.58333333337</v>
      </c>
      <c r="H73">
        <f t="shared" si="10"/>
        <v>454605.8598406298</v>
      </c>
      <c r="I73">
        <f t="shared" si="10"/>
        <v>474322.64369997161</v>
      </c>
      <c r="J73">
        <f t="shared" si="10"/>
        <v>499452.60662104306</v>
      </c>
      <c r="K73">
        <f t="shared" si="10"/>
        <v>537046.95684612216</v>
      </c>
      <c r="L73">
        <f t="shared" si="10"/>
        <v>575641.28997500683</v>
      </c>
      <c r="M73">
        <f t="shared" si="10"/>
        <v>613070.82869441644</v>
      </c>
      <c r="N73">
        <f t="shared" si="10"/>
        <v>638821.40372138773</v>
      </c>
      <c r="O73">
        <f t="shared" si="10"/>
        <v>636569.01614092244</v>
      </c>
      <c r="P73">
        <f t="shared" si="10"/>
        <v>692670.17989358678</v>
      </c>
      <c r="Q73">
        <f t="shared" si="10"/>
        <v>759286.43858427578</v>
      </c>
      <c r="R73">
        <f t="shared" si="10"/>
        <v>802591.21888221812</v>
      </c>
      <c r="S73">
        <f t="shared" si="10"/>
        <v>830203.35175359366</v>
      </c>
      <c r="T73">
        <f t="shared" si="10"/>
        <v>862572.88829848752</v>
      </c>
      <c r="U73">
        <f t="shared" si="10"/>
        <v>896504.31863947841</v>
      </c>
      <c r="V73">
        <f t="shared" si="10"/>
        <v>956111.09618434403</v>
      </c>
      <c r="W73">
        <f t="shared" si="10"/>
        <v>1003693.673568077</v>
      </c>
      <c r="X73">
        <f t="shared" si="10"/>
        <v>1041282.1791461238</v>
      </c>
      <c r="Y73">
        <f t="shared" si="10"/>
        <v>1087712.5358680598</v>
      </c>
      <c r="Z73">
        <f t="shared" si="10"/>
        <v>1121153.5513965595</v>
      </c>
      <c r="AA73">
        <f t="shared" si="10"/>
        <v>1148151.5011284349</v>
      </c>
      <c r="AB73">
        <f t="shared" si="10"/>
        <v>1170751.355211362</v>
      </c>
      <c r="AC73">
        <f t="shared" si="10"/>
        <v>1204953.3466060073</v>
      </c>
      <c r="AD73">
        <f t="shared" si="10"/>
        <v>1238426.8967528036</v>
      </c>
      <c r="AE73">
        <f t="shared" si="10"/>
        <v>1260207.1401624831</v>
      </c>
      <c r="AF73">
        <f t="shared" si="10"/>
        <v>1283838.5590919128</v>
      </c>
      <c r="AG73">
        <f t="shared" si="10"/>
        <v>1302349.4438698501</v>
      </c>
      <c r="AH73">
        <f t="shared" si="10"/>
        <v>1319626.8811728847</v>
      </c>
      <c r="AI73">
        <f t="shared" si="10"/>
        <v>1340307.9296276025</v>
      </c>
      <c r="AJ73">
        <f t="shared" si="10"/>
        <v>1361309.19717076</v>
      </c>
      <c r="AK73">
        <f t="shared" si="10"/>
        <v>1374636.1496562371</v>
      </c>
      <c r="AL73">
        <f t="shared" si="10"/>
        <v>1384332.6067193802</v>
      </c>
      <c r="AM73">
        <f t="shared" si="10"/>
        <v>1391681.7806878858</v>
      </c>
    </row>
    <row r="74" spans="1:39" x14ac:dyDescent="0.25">
      <c r="A74" t="s">
        <v>34</v>
      </c>
      <c r="B74" t="s">
        <v>73</v>
      </c>
      <c r="C74" t="str">
        <f>[1]High!B10</f>
        <v>Conventional Light</v>
      </c>
      <c r="D74">
        <f>[1]High!C10</f>
        <v>4645.0814215309774</v>
      </c>
      <c r="E74">
        <f>[1]High!D10</f>
        <v>4506.6333115719408</v>
      </c>
      <c r="F74">
        <f>[1]High!E10</f>
        <v>4045.0273214285717</v>
      </c>
      <c r="G74">
        <f>[1]High!F10</f>
        <v>3676.5833333333326</v>
      </c>
      <c r="H74">
        <f>[1]High!G10</f>
        <v>3498.2216820276499</v>
      </c>
      <c r="I74">
        <f>[1]High!H10</f>
        <v>3464.9128584229393</v>
      </c>
      <c r="J74">
        <f>[1]High!I10</f>
        <v>3237.5430209933434</v>
      </c>
      <c r="K74">
        <f>[1]High!J10</f>
        <v>3325.7563966135208</v>
      </c>
      <c r="L74">
        <f>[1]High!K10</f>
        <v>3123.6676024065546</v>
      </c>
      <c r="M74">
        <f>[1]High!L10</f>
        <v>3412.9239823348694</v>
      </c>
      <c r="N74">
        <f>[1]High!M10</f>
        <v>3376.5470302099329</v>
      </c>
      <c r="O74">
        <f>[1]High!N10</f>
        <v>3694.2616858237539</v>
      </c>
      <c r="P74">
        <f>[1]High!O10</f>
        <v>3350.1810418182517</v>
      </c>
      <c r="Q74">
        <f>[1]High!P10</f>
        <v>3193.9120688736821</v>
      </c>
      <c r="R74">
        <f>[1]High!Q10</f>
        <v>3074.1669194463352</v>
      </c>
      <c r="S74">
        <f>[1]High!R10</f>
        <v>2976.2591774762891</v>
      </c>
      <c r="T74">
        <f>[1]High!S10</f>
        <v>2970.3345245842606</v>
      </c>
      <c r="U74">
        <f>[1]High!T10</f>
        <v>3045.8452340322483</v>
      </c>
      <c r="V74">
        <f>[1]High!U10</f>
        <v>3061.9878313251129</v>
      </c>
      <c r="W74">
        <f>[1]High!V10</f>
        <v>3030.7212500264022</v>
      </c>
      <c r="X74">
        <f>[1]High!W10</f>
        <v>3037.3367756702382</v>
      </c>
      <c r="Y74">
        <f>[1]High!X10</f>
        <v>3051.6329782390339</v>
      </c>
      <c r="Z74">
        <f>[1]High!Y10</f>
        <v>3080.4033039419073</v>
      </c>
      <c r="AA74">
        <f>[1]High!Z10</f>
        <v>3121.7597634407903</v>
      </c>
      <c r="AB74">
        <f>[1]High!AA10</f>
        <v>3170.2288531893391</v>
      </c>
      <c r="AC74">
        <f>[1]High!AB10</f>
        <v>3222.2083459042392</v>
      </c>
      <c r="AD74">
        <f>[1]High!AC10</f>
        <v>3277.7065710556258</v>
      </c>
      <c r="AE74">
        <f>[1]High!AD10</f>
        <v>3339.2279243069015</v>
      </c>
      <c r="AF74">
        <f>[1]High!AE10</f>
        <v>3406.5755694759532</v>
      </c>
      <c r="AG74">
        <f>[1]High!AF10</f>
        <v>3479.5499310097134</v>
      </c>
      <c r="AH74">
        <f>[1]High!AG10</f>
        <v>3552.1857037120021</v>
      </c>
      <c r="AI74">
        <f>[1]High!AH10</f>
        <v>3624.7959068282694</v>
      </c>
      <c r="AJ74">
        <f>[1]High!AI10</f>
        <v>3705.7425599062026</v>
      </c>
      <c r="AK74">
        <f>[1]High!AJ10</f>
        <v>3791.2562062658117</v>
      </c>
      <c r="AL74">
        <f>[1]High!AK10</f>
        <v>3880.7473868716279</v>
      </c>
      <c r="AM74">
        <f>[1]High!AL10</f>
        <v>3975.2699258161197</v>
      </c>
    </row>
    <row r="75" spans="1:39" x14ac:dyDescent="0.25">
      <c r="A75" t="s">
        <v>34</v>
      </c>
      <c r="B75" t="s">
        <v>73</v>
      </c>
      <c r="C75" t="str">
        <f>[1]High!B11</f>
        <v>Conventional Heavy</v>
      </c>
      <c r="D75">
        <f>[1]High!C11</f>
        <v>0</v>
      </c>
      <c r="E75">
        <f>[1]High!D11</f>
        <v>0</v>
      </c>
      <c r="F75">
        <f>[1]High!E11</f>
        <v>0</v>
      </c>
      <c r="G75">
        <f>[1]High!F11</f>
        <v>0</v>
      </c>
      <c r="H75">
        <f>[1]High!G11</f>
        <v>0</v>
      </c>
      <c r="I75">
        <f>[1]High!H11</f>
        <v>0</v>
      </c>
      <c r="J75">
        <f>[1]High!I11</f>
        <v>0</v>
      </c>
      <c r="K75">
        <f>[1]High!J11</f>
        <v>0</v>
      </c>
      <c r="L75">
        <f>[1]High!K11</f>
        <v>0</v>
      </c>
      <c r="M75">
        <f>[1]High!L11</f>
        <v>0</v>
      </c>
      <c r="N75">
        <f>[1]High!M11</f>
        <v>0</v>
      </c>
      <c r="O75">
        <f>[1]High!N11</f>
        <v>0</v>
      </c>
      <c r="P75">
        <f>[1]High!O11</f>
        <v>0</v>
      </c>
      <c r="Q75">
        <f>[1]High!P11</f>
        <v>0</v>
      </c>
      <c r="R75">
        <f>[1]High!Q11</f>
        <v>0</v>
      </c>
      <c r="S75">
        <f>[1]High!R11</f>
        <v>0</v>
      </c>
      <c r="T75">
        <f>[1]High!S11</f>
        <v>0</v>
      </c>
      <c r="U75">
        <f>[1]High!T11</f>
        <v>0</v>
      </c>
      <c r="V75">
        <f>[1]High!U11</f>
        <v>0</v>
      </c>
      <c r="W75">
        <f>[1]High!V11</f>
        <v>0</v>
      </c>
      <c r="X75">
        <f>[1]High!W11</f>
        <v>0</v>
      </c>
      <c r="Y75">
        <f>[1]High!X11</f>
        <v>0</v>
      </c>
      <c r="Z75">
        <f>[1]High!Y11</f>
        <v>0</v>
      </c>
      <c r="AA75">
        <f>[1]High!Z11</f>
        <v>0</v>
      </c>
      <c r="AB75">
        <f>[1]High!AA11</f>
        <v>0</v>
      </c>
      <c r="AC75">
        <f>[1]High!AB11</f>
        <v>0</v>
      </c>
      <c r="AD75">
        <f>[1]High!AC11</f>
        <v>0</v>
      </c>
      <c r="AE75">
        <f>[1]High!AD11</f>
        <v>0</v>
      </c>
      <c r="AF75">
        <f>[1]High!AE11</f>
        <v>0</v>
      </c>
      <c r="AG75">
        <f>[1]High!AF11</f>
        <v>0</v>
      </c>
      <c r="AH75">
        <f>[1]High!AG11</f>
        <v>0</v>
      </c>
      <c r="AI75">
        <f>[1]High!AH11</f>
        <v>0</v>
      </c>
      <c r="AJ75">
        <f>[1]High!AI11</f>
        <v>0</v>
      </c>
      <c r="AK75">
        <f>[1]High!AJ11</f>
        <v>0</v>
      </c>
      <c r="AL75">
        <f>[1]High!AK11</f>
        <v>0</v>
      </c>
      <c r="AM75">
        <f>[1]High!AL11</f>
        <v>0</v>
      </c>
    </row>
    <row r="76" spans="1:39" x14ac:dyDescent="0.25">
      <c r="A76" t="s">
        <v>34</v>
      </c>
      <c r="B76" t="s">
        <v>73</v>
      </c>
      <c r="C76" t="str">
        <f>[1]High!B12</f>
        <v>C5+</v>
      </c>
      <c r="D76">
        <f>[1]High!C12</f>
        <v>1430</v>
      </c>
      <c r="E76">
        <f>[1]High!D12</f>
        <v>1450</v>
      </c>
      <c r="F76">
        <f>[1]High!E12</f>
        <v>1290</v>
      </c>
      <c r="G76">
        <f>[1]High!F12</f>
        <v>1170</v>
      </c>
      <c r="H76">
        <f>[1]High!G12</f>
        <v>1260</v>
      </c>
      <c r="I76">
        <f>[1]High!H12</f>
        <v>1420</v>
      </c>
      <c r="J76">
        <f>[1]High!I12</f>
        <v>1780</v>
      </c>
      <c r="K76">
        <f>[1]High!J12</f>
        <v>2029.9999999999998</v>
      </c>
      <c r="L76">
        <f>[1]High!K12</f>
        <v>2460</v>
      </c>
      <c r="M76">
        <f>[1]High!L12</f>
        <v>3010</v>
      </c>
      <c r="N76">
        <f>[1]High!M12</f>
        <v>3470</v>
      </c>
      <c r="O76">
        <f>[1]High!N12</f>
        <v>4181.2090410958917</v>
      </c>
      <c r="P76">
        <f>[1]High!O12</f>
        <v>5720.4719178082196</v>
      </c>
      <c r="Q76">
        <f>[1]High!P12</f>
        <v>6203.804282637785</v>
      </c>
      <c r="R76">
        <f>[1]High!Q12</f>
        <v>6327.88036829054</v>
      </c>
      <c r="S76">
        <f>[1]High!R12</f>
        <v>6537.3621595676095</v>
      </c>
      <c r="T76">
        <f>[1]High!S12</f>
        <v>6789.9539283128815</v>
      </c>
      <c r="U76">
        <f>[1]High!T12</f>
        <v>7049.6070402821915</v>
      </c>
      <c r="V76">
        <f>[1]High!U12</f>
        <v>7328.5685398796068</v>
      </c>
      <c r="W76">
        <f>[1]High!V12</f>
        <v>7643.6472243790749</v>
      </c>
      <c r="X76">
        <f>[1]High!W12</f>
        <v>8008.1977140905747</v>
      </c>
      <c r="Y76">
        <f>[1]High!X12</f>
        <v>8409.7600558649719</v>
      </c>
      <c r="Z76">
        <f>[1]High!Y12</f>
        <v>8829.7492098165494</v>
      </c>
      <c r="AA76">
        <f>[1]High!Z12</f>
        <v>9271.432607046856</v>
      </c>
      <c r="AB76">
        <f>[1]High!AA12</f>
        <v>9732.4881297546581</v>
      </c>
      <c r="AC76">
        <f>[1]High!AB12</f>
        <v>10233.560648296538</v>
      </c>
      <c r="AD76">
        <f>[1]High!AC12</f>
        <v>10766.983374888667</v>
      </c>
      <c r="AE76">
        <f>[1]High!AD12</f>
        <v>11323.289652386295</v>
      </c>
      <c r="AF76">
        <f>[1]High!AE12</f>
        <v>11905.987491162121</v>
      </c>
      <c r="AG76">
        <f>[1]High!AF12</f>
        <v>12517.213018191562</v>
      </c>
      <c r="AH76">
        <f>[1]High!AG12</f>
        <v>13151.596537710982</v>
      </c>
      <c r="AI76">
        <f>[1]High!AH12</f>
        <v>13812.72265820085</v>
      </c>
      <c r="AJ76">
        <f>[1]High!AI12</f>
        <v>14502.7618316875</v>
      </c>
      <c r="AK76">
        <f>[1]High!AJ12</f>
        <v>15223.9576950797</v>
      </c>
      <c r="AL76">
        <f>[1]High!AK12</f>
        <v>15986.514025289549</v>
      </c>
      <c r="AM76">
        <f>[1]High!AL12</f>
        <v>16786.691331326019</v>
      </c>
    </row>
    <row r="77" spans="1:39" x14ac:dyDescent="0.25">
      <c r="A77" t="s">
        <v>34</v>
      </c>
      <c r="B77" t="s">
        <v>73</v>
      </c>
      <c r="C77" t="str">
        <f>[1]High!B13</f>
        <v>Field Condensate</v>
      </c>
      <c r="D77">
        <f>[1]High!C13</f>
        <v>550</v>
      </c>
      <c r="E77">
        <f>[1]High!D13</f>
        <v>600</v>
      </c>
      <c r="F77">
        <f>[1]High!E13</f>
        <v>660</v>
      </c>
      <c r="G77">
        <f>[1]High!F13</f>
        <v>720</v>
      </c>
      <c r="H77">
        <f>[1]High!G13</f>
        <v>720</v>
      </c>
      <c r="I77">
        <f>[1]High!H13</f>
        <v>790</v>
      </c>
      <c r="J77">
        <f>[1]High!I13</f>
        <v>880</v>
      </c>
      <c r="K77">
        <f>[1]High!J13</f>
        <v>900</v>
      </c>
      <c r="L77">
        <f>[1]High!K13</f>
        <v>960</v>
      </c>
      <c r="M77">
        <f>[1]High!L13</f>
        <v>1430</v>
      </c>
      <c r="N77">
        <f>[1]High!M13</f>
        <v>1840</v>
      </c>
      <c r="O77">
        <f>[1]High!N13</f>
        <v>2536.7909589041078</v>
      </c>
      <c r="P77">
        <f>[1]High!O13</f>
        <v>2619.52808219178</v>
      </c>
      <c r="Q77">
        <f>[1]High!P13</f>
        <v>2868.9837398261498</v>
      </c>
      <c r="R77">
        <f>[1]High!Q13</f>
        <v>2955.3373098169563</v>
      </c>
      <c r="S77">
        <f>[1]High!R13</f>
        <v>3083.401926575692</v>
      </c>
      <c r="T77">
        <f>[1]High!S13</f>
        <v>3234.2472684309314</v>
      </c>
      <c r="U77">
        <f>[1]High!T13</f>
        <v>3391.1742019135572</v>
      </c>
      <c r="V77">
        <f>[1]High!U13</f>
        <v>3560.271702068665</v>
      </c>
      <c r="W77">
        <f>[1]High!V13</f>
        <v>3750.1049449240577</v>
      </c>
      <c r="X77">
        <f>[1]High!W13</f>
        <v>3967.860283417835</v>
      </c>
      <c r="Y77">
        <f>[1]High!X13</f>
        <v>4208.0799967901476</v>
      </c>
      <c r="Z77">
        <f>[1]High!Y13</f>
        <v>4461.979277268747</v>
      </c>
      <c r="AA77">
        <f>[1]High!Z13</f>
        <v>4731.5651483908423</v>
      </c>
      <c r="AB77">
        <f>[1]High!AA13</f>
        <v>5016.036165408138</v>
      </c>
      <c r="AC77">
        <f>[1]High!AB13</f>
        <v>5326.5050372920041</v>
      </c>
      <c r="AD77">
        <f>[1]High!AC13</f>
        <v>5659.6348845306156</v>
      </c>
      <c r="AE77">
        <f>[1]High!AD13</f>
        <v>6010.9869779438668</v>
      </c>
      <c r="AF77">
        <f>[1]High!AE13</f>
        <v>6382.8904435005188</v>
      </c>
      <c r="AG77">
        <f>[1]High!AF13</f>
        <v>6777.0144149332364</v>
      </c>
      <c r="AH77">
        <f>[1]High!AG13</f>
        <v>7190.9793472364454</v>
      </c>
      <c r="AI77">
        <f>[1]High!AH13</f>
        <v>7627.2442477588074</v>
      </c>
      <c r="AJ77">
        <f>[1]High!AI13</f>
        <v>8087.5666948127082</v>
      </c>
      <c r="AK77">
        <f>[1]High!AJ13</f>
        <v>8573.8035156073329</v>
      </c>
      <c r="AL77">
        <f>[1]High!AK13</f>
        <v>9092.3999140990509</v>
      </c>
      <c r="AM77">
        <f>[1]High!AL13</f>
        <v>9642.0340089359488</v>
      </c>
    </row>
    <row r="78" spans="1:39" x14ac:dyDescent="0.25">
      <c r="A78" t="s">
        <v>34</v>
      </c>
      <c r="B78" t="s">
        <v>73</v>
      </c>
      <c r="C78" t="s">
        <v>23</v>
      </c>
      <c r="D78">
        <f>SUM(D74:D77)</f>
        <v>6625.0814215309774</v>
      </c>
      <c r="E78">
        <f t="shared" ref="E78:AM78" si="11">SUM(E74:E77)</f>
        <v>6556.6333115719408</v>
      </c>
      <c r="F78">
        <f t="shared" si="11"/>
        <v>5995.0273214285717</v>
      </c>
      <c r="G78">
        <f t="shared" si="11"/>
        <v>5566.5833333333321</v>
      </c>
      <c r="H78">
        <f t="shared" si="11"/>
        <v>5478.2216820276499</v>
      </c>
      <c r="I78">
        <f t="shared" si="11"/>
        <v>5674.9128584229393</v>
      </c>
      <c r="J78">
        <f t="shared" si="11"/>
        <v>5897.5430209933438</v>
      </c>
      <c r="K78">
        <f t="shared" si="11"/>
        <v>6255.7563966135203</v>
      </c>
      <c r="L78">
        <f t="shared" si="11"/>
        <v>6543.6676024065546</v>
      </c>
      <c r="M78">
        <f t="shared" si="11"/>
        <v>7852.9239823348689</v>
      </c>
      <c r="N78">
        <f t="shared" si="11"/>
        <v>8686.5470302099329</v>
      </c>
      <c r="O78">
        <f t="shared" si="11"/>
        <v>10412.261685823754</v>
      </c>
      <c r="P78">
        <f t="shared" si="11"/>
        <v>11690.181041818252</v>
      </c>
      <c r="Q78">
        <f t="shared" si="11"/>
        <v>12266.700091337616</v>
      </c>
      <c r="R78">
        <f t="shared" si="11"/>
        <v>12357.384597553832</v>
      </c>
      <c r="S78">
        <f t="shared" si="11"/>
        <v>12597.023263619591</v>
      </c>
      <c r="T78">
        <f t="shared" si="11"/>
        <v>12994.535721328073</v>
      </c>
      <c r="U78">
        <f t="shared" si="11"/>
        <v>13486.626476227997</v>
      </c>
      <c r="V78">
        <f t="shared" si="11"/>
        <v>13950.828073273384</v>
      </c>
      <c r="W78">
        <f t="shared" si="11"/>
        <v>14424.473419329535</v>
      </c>
      <c r="X78">
        <f t="shared" si="11"/>
        <v>15013.394773178647</v>
      </c>
      <c r="Y78">
        <f t="shared" si="11"/>
        <v>15669.473030894154</v>
      </c>
      <c r="Z78">
        <f t="shared" si="11"/>
        <v>16372.131791027205</v>
      </c>
      <c r="AA78">
        <f t="shared" si="11"/>
        <v>17124.75751887849</v>
      </c>
      <c r="AB78">
        <f t="shared" si="11"/>
        <v>17918.753148352134</v>
      </c>
      <c r="AC78">
        <f t="shared" si="11"/>
        <v>18782.27403149278</v>
      </c>
      <c r="AD78">
        <f t="shared" si="11"/>
        <v>19704.324830474907</v>
      </c>
      <c r="AE78">
        <f t="shared" si="11"/>
        <v>20673.504554637064</v>
      </c>
      <c r="AF78">
        <f t="shared" si="11"/>
        <v>21695.453504138593</v>
      </c>
      <c r="AG78">
        <f t="shared" si="11"/>
        <v>22773.777364134512</v>
      </c>
      <c r="AH78">
        <f t="shared" si="11"/>
        <v>23894.761588659429</v>
      </c>
      <c r="AI78">
        <f t="shared" si="11"/>
        <v>25064.762812787929</v>
      </c>
      <c r="AJ78">
        <f t="shared" si="11"/>
        <v>26296.071086406409</v>
      </c>
      <c r="AK78">
        <f t="shared" si="11"/>
        <v>27589.017416952847</v>
      </c>
      <c r="AL78">
        <f t="shared" si="11"/>
        <v>28959.661326260226</v>
      </c>
      <c r="AM78">
        <f t="shared" si="11"/>
        <v>30403.995266078087</v>
      </c>
    </row>
    <row r="79" spans="1:39" x14ac:dyDescent="0.25">
      <c r="A79" t="s">
        <v>34</v>
      </c>
      <c r="B79" t="s">
        <v>74</v>
      </c>
      <c r="C79" t="str">
        <f>[1]High!B14</f>
        <v>Conventional Light</v>
      </c>
      <c r="D79">
        <f>[1]High!C14</f>
        <v>61608.885781863297</v>
      </c>
      <c r="E79">
        <f>[1]High!D14</f>
        <v>59160.558397498877</v>
      </c>
      <c r="F79">
        <f>[1]High!E14</f>
        <v>57156.982398125292</v>
      </c>
      <c r="G79">
        <f>[1]High!F14</f>
        <v>55079.4261325193</v>
      </c>
      <c r="H79">
        <f>[1]High!G14</f>
        <v>50836.217720381457</v>
      </c>
      <c r="I79">
        <f>[1]High!H14</f>
        <v>51338.873677928677</v>
      </c>
      <c r="J79">
        <f>[1]High!I14</f>
        <v>56341.617267120324</v>
      </c>
      <c r="K79">
        <f>[1]High!J14</f>
        <v>65504.216617338796</v>
      </c>
      <c r="L79">
        <f>[1]High!K14</f>
        <v>69200.576338328712</v>
      </c>
      <c r="M79">
        <f>[1]High!L14</f>
        <v>71051.166299791337</v>
      </c>
      <c r="N79">
        <f>[1]High!M14</f>
        <v>64074.35544146796</v>
      </c>
      <c r="O79">
        <f>[1]High!N14</f>
        <v>53323.447957963377</v>
      </c>
      <c r="P79">
        <f>[1]High!O14</f>
        <v>53315.231226348718</v>
      </c>
      <c r="Q79">
        <f>[1]High!P14</f>
        <v>54344.354991857785</v>
      </c>
      <c r="R79">
        <f>[1]High!Q14</f>
        <v>55961.154978432554</v>
      </c>
      <c r="S79">
        <f>[1]High!R14</f>
        <v>58163.549104113619</v>
      </c>
      <c r="T79">
        <f>[1]High!S14</f>
        <v>61288.230352538281</v>
      </c>
      <c r="U79">
        <f>[1]High!T14</f>
        <v>65508.365110662999</v>
      </c>
      <c r="V79">
        <f>[1]High!U14</f>
        <v>70874.989831492741</v>
      </c>
      <c r="W79">
        <f>[1]High!V14</f>
        <v>77500.973516584825</v>
      </c>
      <c r="X79">
        <f>[1]High!W14</f>
        <v>84779.863526525762</v>
      </c>
      <c r="Y79">
        <f>[1]High!X14</f>
        <v>92081.722002373601</v>
      </c>
      <c r="Z79">
        <f>[1]High!Y14</f>
        <v>99159.37422113934</v>
      </c>
      <c r="AA79">
        <f>[1]High!Z14</f>
        <v>105851.19320923653</v>
      </c>
      <c r="AB79">
        <f>[1]High!AA14</f>
        <v>112162.15497939302</v>
      </c>
      <c r="AC79">
        <f>[1]High!AB14</f>
        <v>118137.56273876193</v>
      </c>
      <c r="AD79">
        <f>[1]High!AC14</f>
        <v>123799.21515499192</v>
      </c>
      <c r="AE79">
        <f>[1]High!AD14</f>
        <v>129118.50636043743</v>
      </c>
      <c r="AF79">
        <f>[1]High!AE14</f>
        <v>134117.31640618137</v>
      </c>
      <c r="AG79">
        <f>[1]High!AF14</f>
        <v>138762.61925500195</v>
      </c>
      <c r="AH79">
        <f>[1]High!AG14</f>
        <v>143001.93732137693</v>
      </c>
      <c r="AI79">
        <f>[1]High!AH14</f>
        <v>146799.87433821728</v>
      </c>
      <c r="AJ79">
        <f>[1]High!AI14</f>
        <v>150102.36345023807</v>
      </c>
      <c r="AK79">
        <f>[1]High!AJ14</f>
        <v>152877.42694955651</v>
      </c>
      <c r="AL79">
        <f>[1]High!AK14</f>
        <v>155150.48073570966</v>
      </c>
      <c r="AM79">
        <f>[1]High!AL14</f>
        <v>156987.8403231964</v>
      </c>
    </row>
    <row r="80" spans="1:39" x14ac:dyDescent="0.25">
      <c r="A80" t="s">
        <v>34</v>
      </c>
      <c r="B80" t="s">
        <v>74</v>
      </c>
      <c r="C80" t="str">
        <f>[1]High!B15</f>
        <v>Conventional Heavy</v>
      </c>
      <c r="D80">
        <f>[1]High!C15</f>
        <v>29193.593812990777</v>
      </c>
      <c r="E80">
        <f>[1]High!D15</f>
        <v>27160.952141415612</v>
      </c>
      <c r="F80">
        <f>[1]High!E15</f>
        <v>26214.863449288954</v>
      </c>
      <c r="G80">
        <f>[1]High!F15</f>
        <v>24858.490534147371</v>
      </c>
      <c r="H80">
        <f>[1]High!G15</f>
        <v>22446.045407498725</v>
      </c>
      <c r="I80">
        <f>[1]High!H15</f>
        <v>21617.565081031888</v>
      </c>
      <c r="J80">
        <f>[1]High!I15</f>
        <v>21535.350062628768</v>
      </c>
      <c r="K80">
        <f>[1]High!J15</f>
        <v>22936.758509477593</v>
      </c>
      <c r="L80">
        <f>[1]High!K15</f>
        <v>23326.349274190499</v>
      </c>
      <c r="M80">
        <f>[1]High!L15</f>
        <v>22640.786462625441</v>
      </c>
      <c r="N80">
        <f>[1]High!M15</f>
        <v>20228.204740943693</v>
      </c>
      <c r="O80">
        <f>[1]High!N15</f>
        <v>17488.412924688299</v>
      </c>
      <c r="P80">
        <f>[1]High!O15</f>
        <v>17204.000523056242</v>
      </c>
      <c r="Q80">
        <f>[1]High!P15</f>
        <v>16181.945772342844</v>
      </c>
      <c r="R80">
        <f>[1]High!Q15</f>
        <v>15458.030848548218</v>
      </c>
      <c r="S80">
        <f>[1]High!R15</f>
        <v>15156.8087957968</v>
      </c>
      <c r="T80">
        <f>[1]High!S15</f>
        <v>15312.265040471091</v>
      </c>
      <c r="U80">
        <f>[1]High!T15</f>
        <v>15961.422208207667</v>
      </c>
      <c r="V80">
        <f>[1]High!U15</f>
        <v>17080.131549877609</v>
      </c>
      <c r="W80">
        <f>[1]High!V15</f>
        <v>18665.856337164605</v>
      </c>
      <c r="X80">
        <f>[1]High!W15</f>
        <v>20532.165798593625</v>
      </c>
      <c r="Y80">
        <f>[1]High!X15</f>
        <v>22483.670252941807</v>
      </c>
      <c r="Z80">
        <f>[1]High!Y15</f>
        <v>24430.339790788406</v>
      </c>
      <c r="AA80">
        <f>[1]High!Z15</f>
        <v>26292.070831626916</v>
      </c>
      <c r="AB80">
        <f>[1]High!AA15</f>
        <v>28045.960236691164</v>
      </c>
      <c r="AC80">
        <f>[1]High!AB15</f>
        <v>29705.184801690357</v>
      </c>
      <c r="AD80">
        <f>[1]High!AC15</f>
        <v>31277.128178973166</v>
      </c>
      <c r="AE80">
        <f>[1]High!AD15</f>
        <v>32756.439514440081</v>
      </c>
      <c r="AF80">
        <f>[1]High!AE15</f>
        <v>34140.394911848045</v>
      </c>
      <c r="AG80">
        <f>[1]High!AF15</f>
        <v>35419.067244352293</v>
      </c>
      <c r="AH80">
        <f>[1]High!AG15</f>
        <v>36580.762282833617</v>
      </c>
      <c r="AI80">
        <f>[1]High!AH15</f>
        <v>37616.063530639782</v>
      </c>
      <c r="AJ80">
        <f>[1]High!AI15</f>
        <v>38511.382688520287</v>
      </c>
      <c r="AK80">
        <f>[1]High!AJ15</f>
        <v>39256.089919485377</v>
      </c>
      <c r="AL80">
        <f>[1]High!AK15</f>
        <v>39855.951147195825</v>
      </c>
      <c r="AM80">
        <f>[1]High!AL15</f>
        <v>40329.915652794407</v>
      </c>
    </row>
    <row r="81" spans="1:39" x14ac:dyDescent="0.25">
      <c r="A81" t="s">
        <v>34</v>
      </c>
      <c r="B81" t="s">
        <v>74</v>
      </c>
      <c r="C81" t="str">
        <f>[1]High!B16</f>
        <v>C5+</v>
      </c>
      <c r="D81">
        <f>[1]High!C16</f>
        <v>20570</v>
      </c>
      <c r="E81">
        <f>[1]High!D16</f>
        <v>21350</v>
      </c>
      <c r="F81">
        <f>[1]High!E16</f>
        <v>21260</v>
      </c>
      <c r="G81">
        <f>[1]High!F16</f>
        <v>20070</v>
      </c>
      <c r="H81">
        <f>[1]High!G16</f>
        <v>18840</v>
      </c>
      <c r="I81">
        <f>[1]High!H16</f>
        <v>18330</v>
      </c>
      <c r="J81">
        <f>[1]High!I16</f>
        <v>17720</v>
      </c>
      <c r="K81">
        <f>[1]High!J16</f>
        <v>17290</v>
      </c>
      <c r="L81">
        <f>[1]High!K16</f>
        <v>18160</v>
      </c>
      <c r="M81">
        <f>[1]High!L16</f>
        <v>21230</v>
      </c>
      <c r="N81">
        <f>[1]High!M16</f>
        <v>26690</v>
      </c>
      <c r="O81">
        <f>[1]High!N16</f>
        <v>27711.679452054788</v>
      </c>
      <c r="P81">
        <f>[1]High!O16</f>
        <v>33352.013972602741</v>
      </c>
      <c r="Q81">
        <f>[1]High!P16</f>
        <v>33970.387825577811</v>
      </c>
      <c r="R81">
        <f>[1]High!Q16</f>
        <v>33996.815920084817</v>
      </c>
      <c r="S81">
        <f>[1]High!R16</f>
        <v>34294.811517646653</v>
      </c>
      <c r="T81">
        <f>[1]High!S16</f>
        <v>34680.151920078504</v>
      </c>
      <c r="U81">
        <f>[1]High!T16</f>
        <v>35178.456952039705</v>
      </c>
      <c r="V81">
        <f>[1]High!U16</f>
        <v>35882.849479736789</v>
      </c>
      <c r="W81">
        <f>[1]High!V16</f>
        <v>36876.671683367669</v>
      </c>
      <c r="X81">
        <f>[1]High!W16</f>
        <v>38148.070198165406</v>
      </c>
      <c r="Y81">
        <f>[1]High!X16</f>
        <v>39602.291465148475</v>
      </c>
      <c r="Z81">
        <f>[1]High!Y16</f>
        <v>41175.244443766394</v>
      </c>
      <c r="AA81">
        <f>[1]High!Z16</f>
        <v>42835.131221040443</v>
      </c>
      <c r="AB81">
        <f>[1]High!AA16</f>
        <v>44552.347300198009</v>
      </c>
      <c r="AC81">
        <f>[1]High!AB16</f>
        <v>46417.316962288802</v>
      </c>
      <c r="AD81">
        <f>[1]High!AC16</f>
        <v>48441.204709485093</v>
      </c>
      <c r="AE81">
        <f>[1]High!AD16</f>
        <v>50504.566613239345</v>
      </c>
      <c r="AF81">
        <f>[1]High!AE16</f>
        <v>52633.747751744762</v>
      </c>
      <c r="AG81">
        <f>[1]High!AF16</f>
        <v>54882.109771734817</v>
      </c>
      <c r="AH81">
        <f>[1]High!AG16</f>
        <v>57245.1431051037</v>
      </c>
      <c r="AI81">
        <f>[1]High!AH16</f>
        <v>59718.094304171347</v>
      </c>
      <c r="AJ81">
        <f>[1]High!AI16</f>
        <v>62318.901735709311</v>
      </c>
      <c r="AK81">
        <f>[1]High!AJ16</f>
        <v>65062.302301933334</v>
      </c>
      <c r="AL81">
        <f>[1]High!AK16</f>
        <v>67885.54356000929</v>
      </c>
      <c r="AM81">
        <f>[1]High!AL16</f>
        <v>70782.38087532256</v>
      </c>
    </row>
    <row r="82" spans="1:39" x14ac:dyDescent="0.25">
      <c r="A82" t="s">
        <v>34</v>
      </c>
      <c r="B82" t="s">
        <v>74</v>
      </c>
      <c r="C82" t="str">
        <f>[1]High!B17</f>
        <v>Field Condensate</v>
      </c>
      <c r="D82">
        <f>[1]High!C17</f>
        <v>1540</v>
      </c>
      <c r="E82">
        <f>[1]High!D17</f>
        <v>1750</v>
      </c>
      <c r="F82">
        <f>[1]High!E17</f>
        <v>2090</v>
      </c>
      <c r="G82">
        <f>[1]High!F17</f>
        <v>2410</v>
      </c>
      <c r="H82">
        <f>[1]High!G17</f>
        <v>2180</v>
      </c>
      <c r="I82">
        <f>[1]High!H17</f>
        <v>1920</v>
      </c>
      <c r="J82">
        <f>[1]High!I17</f>
        <v>1940</v>
      </c>
      <c r="K82">
        <f>[1]High!J17</f>
        <v>2000</v>
      </c>
      <c r="L82">
        <f>[1]High!K17</f>
        <v>2590</v>
      </c>
      <c r="M82">
        <f>[1]High!L17</f>
        <v>3780</v>
      </c>
      <c r="N82">
        <f>[1]High!M17</f>
        <v>3730</v>
      </c>
      <c r="O82">
        <f>[1]High!N17</f>
        <v>7631.3205479452108</v>
      </c>
      <c r="P82">
        <f>[1]High!O17</f>
        <v>9506.986027397259</v>
      </c>
      <c r="Q82">
        <f>[1]High!P17</f>
        <v>9779.1271871366989</v>
      </c>
      <c r="R82">
        <f>[1]High!Q17</f>
        <v>9883.6334657507505</v>
      </c>
      <c r="S82">
        <f>[1]High!R17</f>
        <v>10068.982958784065</v>
      </c>
      <c r="T82">
        <f>[1]High!S17</f>
        <v>10282.932257767077</v>
      </c>
      <c r="U82">
        <f>[1]High!T17</f>
        <v>10533.957633673192</v>
      </c>
      <c r="V82">
        <f>[1]High!U17</f>
        <v>10851.268328276503</v>
      </c>
      <c r="W82">
        <f>[1]High!V17</f>
        <v>11262.222267042382</v>
      </c>
      <c r="X82">
        <f>[1]High!W17</f>
        <v>11765.861951586394</v>
      </c>
      <c r="Y82">
        <f>[1]High!X17</f>
        <v>12335.316273580533</v>
      </c>
      <c r="Z82">
        <f>[1]High!Y17</f>
        <v>12952.242216852039</v>
      </c>
      <c r="AA82">
        <f>[1]High!Z17</f>
        <v>13607.792271852759</v>
      </c>
      <c r="AB82">
        <f>[1]High!AA17</f>
        <v>14293.446408410513</v>
      </c>
      <c r="AC82">
        <f>[1]High!AB17</f>
        <v>15039.216066067374</v>
      </c>
      <c r="AD82">
        <f>[1]High!AC17</f>
        <v>15850.3515335846</v>
      </c>
      <c r="AE82">
        <f>[1]High!AD17</f>
        <v>16689.118946237792</v>
      </c>
      <c r="AF82">
        <f>[1]High!AE17</f>
        <v>17564.906971735225</v>
      </c>
      <c r="AG82">
        <f>[1]High!AF17</f>
        <v>18496.568080423127</v>
      </c>
      <c r="AH82">
        <f>[1]High!AG17</f>
        <v>19483.985628800812</v>
      </c>
      <c r="AI82">
        <f>[1]High!AH17</f>
        <v>20526.924901445662</v>
      </c>
      <c r="AJ82">
        <f>[1]High!AI17</f>
        <v>21632.989633868179</v>
      </c>
      <c r="AK82">
        <f>[1]High!AJ17</f>
        <v>22808.933359247312</v>
      </c>
      <c r="AL82">
        <f>[1]High!AK17</f>
        <v>24034.309355257737</v>
      </c>
      <c r="AM82">
        <f>[1]High!AL17</f>
        <v>25308.028321629175</v>
      </c>
    </row>
    <row r="83" spans="1:39" x14ac:dyDescent="0.25">
      <c r="A83" t="s">
        <v>34</v>
      </c>
      <c r="B83" t="s">
        <v>74</v>
      </c>
      <c r="C83" t="str">
        <f>[1]High!B18</f>
        <v xml:space="preserve">Mined Bitumen </v>
      </c>
      <c r="D83">
        <f>[1]High!C18</f>
        <v>99600</v>
      </c>
      <c r="E83">
        <f>[1]High!D18</f>
        <v>120900</v>
      </c>
      <c r="F83">
        <f>[1]High!E18</f>
        <v>124700</v>
      </c>
      <c r="G83">
        <f>[1]High!F18</f>
        <v>114700</v>
      </c>
      <c r="H83">
        <f>[1]High!G18</f>
        <v>131200</v>
      </c>
      <c r="I83">
        <f>[1]High!H18</f>
        <v>136242.99205479454</v>
      </c>
      <c r="J83">
        <f>[1]High!I18</f>
        <v>141899.05890410958</v>
      </c>
      <c r="K83">
        <f>[1]High!J18</f>
        <v>148216.19643835619</v>
      </c>
      <c r="L83">
        <f>[1]High!K18</f>
        <v>155178.08602739728</v>
      </c>
      <c r="M83">
        <f>[1]High!L18</f>
        <v>152653.42301369866</v>
      </c>
      <c r="N83">
        <f>[1]High!M18</f>
        <v>184650.64986301371</v>
      </c>
      <c r="O83">
        <f>[1]High!N18</f>
        <v>182833.43972602743</v>
      </c>
      <c r="P83">
        <f>[1]High!O18</f>
        <v>202815.78219178083</v>
      </c>
      <c r="Q83">
        <f>[1]High!P18</f>
        <v>234799.82978469165</v>
      </c>
      <c r="R83">
        <f>[1]High!Q18</f>
        <v>255498.09139782851</v>
      </c>
      <c r="S83">
        <f>[1]High!R18</f>
        <v>264148.97687696363</v>
      </c>
      <c r="T83">
        <f>[1]High!S18</f>
        <v>265762.39362081629</v>
      </c>
      <c r="U83">
        <f>[1]High!T18</f>
        <v>270713.36543377477</v>
      </c>
      <c r="V83">
        <f>[1]High!U18</f>
        <v>277741.92541826161</v>
      </c>
      <c r="W83">
        <f>[1]High!V18</f>
        <v>279116.51529491914</v>
      </c>
      <c r="X83">
        <f>[1]High!W18</f>
        <v>281799.43080545263</v>
      </c>
      <c r="Y83">
        <f>[1]High!X18</f>
        <v>287019.52247198479</v>
      </c>
      <c r="Z83">
        <f>[1]High!Y18</f>
        <v>291007.46060946607</v>
      </c>
      <c r="AA83">
        <f>[1]High!Z18</f>
        <v>291040.58302083064</v>
      </c>
      <c r="AB83">
        <f>[1]High!AA18</f>
        <v>291040.58302092546</v>
      </c>
      <c r="AC83">
        <f>[1]High!AB18</f>
        <v>296406.41341296962</v>
      </c>
      <c r="AD83">
        <f>[1]High!AC18</f>
        <v>299625.91164820618</v>
      </c>
      <c r="AE83">
        <f>[1]High!AD18</f>
        <v>299625.91164820635</v>
      </c>
      <c r="AF83">
        <f>[1]High!AE18</f>
        <v>299625.91164820635</v>
      </c>
      <c r="AG83">
        <f>[1]High!AF18</f>
        <v>299625.91164820635</v>
      </c>
      <c r="AH83">
        <f>[1]High!AG18</f>
        <v>299625.91164820635</v>
      </c>
      <c r="AI83">
        <f>[1]High!AH18</f>
        <v>299625.91164820635</v>
      </c>
      <c r="AJ83">
        <f>[1]High!AI18</f>
        <v>299625.91164820635</v>
      </c>
      <c r="AK83">
        <f>[1]High!AJ18</f>
        <v>299625.91164820635</v>
      </c>
      <c r="AL83">
        <f>[1]High!AK18</f>
        <v>299625.91164820635</v>
      </c>
      <c r="AM83">
        <f>[1]High!AL18</f>
        <v>299625.91164820635</v>
      </c>
    </row>
    <row r="84" spans="1:39" x14ac:dyDescent="0.25">
      <c r="A84" t="s">
        <v>34</v>
      </c>
      <c r="B84" t="s">
        <v>74</v>
      </c>
      <c r="C84" t="str">
        <f>[1]High!B19</f>
        <v xml:space="preserve">In Situ Bitumen </v>
      </c>
      <c r="D84">
        <f>[1]High!C19</f>
        <v>69700</v>
      </c>
      <c r="E84">
        <f>[1]High!D19</f>
        <v>78500</v>
      </c>
      <c r="F84">
        <f>[1]High!E19</f>
        <v>85200</v>
      </c>
      <c r="G84">
        <f>[1]High!F19</f>
        <v>92700</v>
      </c>
      <c r="H84">
        <f>[1]High!G19</f>
        <v>105500</v>
      </c>
      <c r="I84">
        <f>[1]High!H19</f>
        <v>119629.14712328766</v>
      </c>
      <c r="J84">
        <f>[1]High!I19</f>
        <v>134719.58268493149</v>
      </c>
      <c r="K84">
        <f>[1]High!J19</f>
        <v>157385.20219178079</v>
      </c>
      <c r="L84">
        <f>[1]High!K19</f>
        <v>175859.07172602741</v>
      </c>
      <c r="M84">
        <f>[1]High!L19</f>
        <v>200748.64076712329</v>
      </c>
      <c r="N84">
        <f>[1]High!M19</f>
        <v>216516.94391559192</v>
      </c>
      <c r="O84">
        <f>[1]High!N19</f>
        <v>222306.83333061248</v>
      </c>
      <c r="P84">
        <f>[1]High!O19</f>
        <v>245914.92329379948</v>
      </c>
      <c r="Q84">
        <f>[1]High!P19</f>
        <v>272762.17768442695</v>
      </c>
      <c r="R84">
        <f>[1]High!Q19</f>
        <v>284162.61891845125</v>
      </c>
      <c r="S84">
        <f>[1]High!R19</f>
        <v>295882.20606529893</v>
      </c>
      <c r="T84">
        <f>[1]High!S19</f>
        <v>312045.04483255232</v>
      </c>
      <c r="U84">
        <f>[1]High!T19</f>
        <v>330001.52106524771</v>
      </c>
      <c r="V84">
        <f>[1]High!U19</f>
        <v>360761.47673649504</v>
      </c>
      <c r="W84">
        <f>[1]High!V19</f>
        <v>385834.40092542779</v>
      </c>
      <c r="X84">
        <f>[1]High!W19</f>
        <v>400520.32671273896</v>
      </c>
      <c r="Y84">
        <f>[1]High!X19</f>
        <v>424148.91973252734</v>
      </c>
      <c r="Z84">
        <f>[1]High!Y19</f>
        <v>435257.79760184925</v>
      </c>
      <c r="AA84">
        <f>[1]High!Z19</f>
        <v>448795.07437364658</v>
      </c>
      <c r="AB84">
        <f>[1]High!AA19</f>
        <v>457629.38591975474</v>
      </c>
      <c r="AC84">
        <f>[1]High!AB19</f>
        <v>474185.94174517418</v>
      </c>
      <c r="AD84">
        <f>[1]High!AC19</f>
        <v>492709.27301912702</v>
      </c>
      <c r="AE84">
        <f>[1]High!AD19</f>
        <v>502549.04666740081</v>
      </c>
      <c r="AF84">
        <f>[1]High!AE19</f>
        <v>512267.27668526414</v>
      </c>
      <c r="AG84">
        <f>[1]High!AF19</f>
        <v>519567.43155508721</v>
      </c>
      <c r="AH84">
        <f>[1]High!AG19</f>
        <v>524521.70072984754</v>
      </c>
      <c r="AI84">
        <f>[1]High!AH19</f>
        <v>532984.51721051568</v>
      </c>
      <c r="AJ84">
        <f>[1]High!AI19</f>
        <v>543164.45912687574</v>
      </c>
      <c r="AK84">
        <f>[1]High!AJ19</f>
        <v>549853.68815716414</v>
      </c>
      <c r="AL84">
        <f>[1]High!AK19</f>
        <v>552106.14308349392</v>
      </c>
      <c r="AM84">
        <f>[1]High!AL19</f>
        <v>553393.24972269603</v>
      </c>
    </row>
    <row r="85" spans="1:39" x14ac:dyDescent="0.25">
      <c r="A85" t="s">
        <v>34</v>
      </c>
      <c r="B85" t="s">
        <v>74</v>
      </c>
      <c r="C85" t="s">
        <v>23</v>
      </c>
      <c r="D85">
        <f t="shared" ref="D85:AM85" si="12">SUM(D79:D84)</f>
        <v>282212.47959485406</v>
      </c>
      <c r="E85">
        <f t="shared" si="12"/>
        <v>308821.51053891447</v>
      </c>
      <c r="F85">
        <f t="shared" si="12"/>
        <v>316621.84584741422</v>
      </c>
      <c r="G85">
        <f t="shared" si="12"/>
        <v>309817.91666666669</v>
      </c>
      <c r="H85">
        <f t="shared" si="12"/>
        <v>331002.26312788017</v>
      </c>
      <c r="I85">
        <f t="shared" si="12"/>
        <v>349078.57793704275</v>
      </c>
      <c r="J85">
        <f t="shared" si="12"/>
        <v>374155.60891879012</v>
      </c>
      <c r="K85">
        <f t="shared" si="12"/>
        <v>413332.3737569534</v>
      </c>
      <c r="L85">
        <f t="shared" si="12"/>
        <v>444314.08336594386</v>
      </c>
      <c r="M85">
        <f t="shared" si="12"/>
        <v>472104.01654323877</v>
      </c>
      <c r="N85">
        <f t="shared" si="12"/>
        <v>515890.15396101726</v>
      </c>
      <c r="O85">
        <f t="shared" si="12"/>
        <v>511295.13393929158</v>
      </c>
      <c r="P85">
        <f t="shared" si="12"/>
        <v>562108.93723498529</v>
      </c>
      <c r="Q85">
        <f t="shared" si="12"/>
        <v>621837.82324603375</v>
      </c>
      <c r="R85">
        <f t="shared" si="12"/>
        <v>654960.34552909608</v>
      </c>
      <c r="S85">
        <f t="shared" si="12"/>
        <v>677715.33531860379</v>
      </c>
      <c r="T85">
        <f t="shared" si="12"/>
        <v>699371.01802422362</v>
      </c>
      <c r="U85">
        <f t="shared" si="12"/>
        <v>727897.08840360609</v>
      </c>
      <c r="V85">
        <f t="shared" si="12"/>
        <v>773192.64134414028</v>
      </c>
      <c r="W85">
        <f t="shared" si="12"/>
        <v>809256.64002450637</v>
      </c>
      <c r="X85">
        <f t="shared" si="12"/>
        <v>837545.71899306274</v>
      </c>
      <c r="Y85">
        <f t="shared" si="12"/>
        <v>877671.44219855662</v>
      </c>
      <c r="Z85">
        <f t="shared" si="12"/>
        <v>903982.45888386155</v>
      </c>
      <c r="AA85">
        <f t="shared" si="12"/>
        <v>928421.84492823388</v>
      </c>
      <c r="AB85">
        <f t="shared" si="12"/>
        <v>947723.87786537292</v>
      </c>
      <c r="AC85">
        <f t="shared" si="12"/>
        <v>979891.63572695223</v>
      </c>
      <c r="AD85">
        <f t="shared" si="12"/>
        <v>1011703.0842443679</v>
      </c>
      <c r="AE85">
        <f t="shared" si="12"/>
        <v>1031243.5897499619</v>
      </c>
      <c r="AF85">
        <f t="shared" si="12"/>
        <v>1050349.5543749798</v>
      </c>
      <c r="AG85">
        <f t="shared" si="12"/>
        <v>1066753.7075548058</v>
      </c>
      <c r="AH85">
        <f t="shared" si="12"/>
        <v>1080459.4407161688</v>
      </c>
      <c r="AI85">
        <f t="shared" si="12"/>
        <v>1097271.3859331962</v>
      </c>
      <c r="AJ85">
        <f t="shared" si="12"/>
        <v>1115356.0082834179</v>
      </c>
      <c r="AK85">
        <f t="shared" si="12"/>
        <v>1129484.3523355932</v>
      </c>
      <c r="AL85">
        <f t="shared" si="12"/>
        <v>1138658.3395298729</v>
      </c>
      <c r="AM85">
        <f t="shared" si="12"/>
        <v>1146427.3265438448</v>
      </c>
    </row>
    <row r="86" spans="1:39" x14ac:dyDescent="0.25">
      <c r="A86" t="s">
        <v>34</v>
      </c>
      <c r="B86" t="s">
        <v>75</v>
      </c>
      <c r="C86" t="str">
        <f>[1]High!B21</f>
        <v>Conventional Light</v>
      </c>
      <c r="D86">
        <f>[1]High!C21</f>
        <v>96.492316484880945</v>
      </c>
      <c r="E86">
        <f>[1]High!D21</f>
        <v>679.74809020666567</v>
      </c>
      <c r="F86">
        <f>[1]High!E21</f>
        <v>2091.8865299329486</v>
      </c>
      <c r="G86">
        <f>[1]High!F21</f>
        <v>6718.4492038985163</v>
      </c>
      <c r="H86">
        <f>[1]High!G21</f>
        <v>9701.0385576611534</v>
      </c>
      <c r="I86">
        <f>[1]High!H21</f>
        <v>9228.2576536040469</v>
      </c>
      <c r="J86">
        <f>[1]High!I21</f>
        <v>9711.9899431634058</v>
      </c>
      <c r="K86">
        <f>[1]High!J21</f>
        <v>10965.345709805462</v>
      </c>
      <c r="L86">
        <f>[1]High!K21</f>
        <v>11162.071896151936</v>
      </c>
      <c r="M86">
        <f>[1]High!L21</f>
        <v>12443.269117385948</v>
      </c>
      <c r="N86">
        <f>[1]High!M21</f>
        <v>10860.397371171624</v>
      </c>
      <c r="O86">
        <f>[1]High!N21</f>
        <v>9253.1959502336631</v>
      </c>
      <c r="P86">
        <f>[1]High!O21</f>
        <v>9004.3643733022636</v>
      </c>
      <c r="Q86">
        <f>[1]High!P21</f>
        <v>8739.5270246992168</v>
      </c>
      <c r="R86">
        <f>[1]High!Q21</f>
        <v>8616.2409661120109</v>
      </c>
      <c r="S86">
        <f>[1]High!R21</f>
        <v>8730.0430680228365</v>
      </c>
      <c r="T86">
        <f>[1]High!S21</f>
        <v>9120.7887248805891</v>
      </c>
      <c r="U86">
        <f>[1]High!T21</f>
        <v>9800.7443002029268</v>
      </c>
      <c r="V86">
        <f>[1]High!U21</f>
        <v>10770.457017423352</v>
      </c>
      <c r="W86">
        <f>[1]High!V21</f>
        <v>12037.647684955511</v>
      </c>
      <c r="X86">
        <f>[1]High!W21</f>
        <v>13433.440079662263</v>
      </c>
      <c r="Y86">
        <f>[1]High!X21</f>
        <v>14828.734974887613</v>
      </c>
      <c r="Z86">
        <f>[1]High!Y21</f>
        <v>16175.177763441816</v>
      </c>
      <c r="AA86">
        <f>[1]High!Z21</f>
        <v>17446.082707755988</v>
      </c>
      <c r="AB86">
        <f>[1]High!AA21</f>
        <v>18648.872467018748</v>
      </c>
      <c r="AC86">
        <f>[1]High!AB21</f>
        <v>19798.085921903119</v>
      </c>
      <c r="AD86">
        <f>[1]High!AC21</f>
        <v>20897.797901281367</v>
      </c>
      <c r="AE86">
        <f>[1]High!AD21</f>
        <v>21941.556879906191</v>
      </c>
      <c r="AF86">
        <f>[1]High!AE21</f>
        <v>22926.182739726475</v>
      </c>
      <c r="AG86">
        <f>[1]High!AF21</f>
        <v>23842.129331774242</v>
      </c>
      <c r="AH86">
        <f>[1]High!AG21</f>
        <v>24681.121098624866</v>
      </c>
      <c r="AI86">
        <f>[1]High!AH21</f>
        <v>25435.456466092637</v>
      </c>
      <c r="AJ86">
        <f>[1]High!AI21</f>
        <v>26097.855863092802</v>
      </c>
      <c r="AK86">
        <f>[1]High!AJ21</f>
        <v>26663.061047284835</v>
      </c>
      <c r="AL86">
        <f>[1]High!AK21</f>
        <v>27142.423029203335</v>
      </c>
      <c r="AM86">
        <f>[1]High!AL21</f>
        <v>27543.305648173049</v>
      </c>
    </row>
    <row r="87" spans="1:39" x14ac:dyDescent="0.25">
      <c r="A87" t="s">
        <v>34</v>
      </c>
      <c r="B87" t="s">
        <v>75</v>
      </c>
      <c r="C87" t="str">
        <f>[1]High!B22</f>
        <v>Conventional Heavy</v>
      </c>
      <c r="D87">
        <f>[1]High!C22</f>
        <v>66520.777872327206</v>
      </c>
      <c r="E87">
        <f>[1]High!D22</f>
        <v>67372.372664401628</v>
      </c>
      <c r="F87">
        <f>[1]High!E22</f>
        <v>65879.084796231924</v>
      </c>
      <c r="G87">
        <f>[1]High!F22</f>
        <v>63127.050796101496</v>
      </c>
      <c r="H87">
        <f>[1]High!G22</f>
        <v>57738.111714996281</v>
      </c>
      <c r="I87">
        <f>[1]High!H22</f>
        <v>57927.210582443062</v>
      </c>
      <c r="J87">
        <f>[1]High!I22</f>
        <v>58235.193228879602</v>
      </c>
      <c r="K87">
        <f>[1]High!J22</f>
        <v>63998.916429851473</v>
      </c>
      <c r="L87">
        <f>[1]High!K22</f>
        <v>65898.730391354446</v>
      </c>
      <c r="M87">
        <f>[1]High!L22</f>
        <v>76109.268382614042</v>
      </c>
      <c r="N87">
        <f>[1]High!M22</f>
        <v>66480.901538198566</v>
      </c>
      <c r="O87">
        <f>[1]High!N22</f>
        <v>63793.965540929341</v>
      </c>
      <c r="P87">
        <f>[1]High!O22</f>
        <v>68379.877899827276</v>
      </c>
      <c r="Q87">
        <f>[1]High!P22</f>
        <v>72337.115301320446</v>
      </c>
      <c r="R87">
        <f>[1]High!Q22</f>
        <v>76938.901123835807</v>
      </c>
      <c r="S87">
        <f>[1]High!R22</f>
        <v>81237.78421462886</v>
      </c>
      <c r="T87">
        <f>[1]High!S22</f>
        <v>85921.404973492259</v>
      </c>
      <c r="U87">
        <f>[1]High!T22</f>
        <v>91541.388071552909</v>
      </c>
      <c r="V87">
        <f>[1]High!U22</f>
        <v>97961.436295172607</v>
      </c>
      <c r="W87">
        <f>[1]High!V22</f>
        <v>105179.78960564404</v>
      </c>
      <c r="X87">
        <f>[1]High!W22</f>
        <v>112502.88308252112</v>
      </c>
      <c r="Y87">
        <f>[1]High!X22</f>
        <v>119238.87628708019</v>
      </c>
      <c r="Z87">
        <f>[1]High!Y22</f>
        <v>125140.94999078717</v>
      </c>
      <c r="AA87">
        <f>[1]High!Z22</f>
        <v>130302.6948580413</v>
      </c>
      <c r="AB87">
        <f>[1]High!AA22</f>
        <v>134918.2703205217</v>
      </c>
      <c r="AC87">
        <f>[1]High!AB22</f>
        <v>139156.41317219753</v>
      </c>
      <c r="AD87">
        <f>[1]High!AC22</f>
        <v>143095.26810005103</v>
      </c>
      <c r="AE87">
        <f>[1]High!AD22</f>
        <v>146720.43055918242</v>
      </c>
      <c r="AF87">
        <f>[1]High!AE22</f>
        <v>149949.92490664346</v>
      </c>
      <c r="AG87">
        <f>[1]High!AF22</f>
        <v>152795.82591607264</v>
      </c>
      <c r="AH87">
        <f>[1]High!AG22</f>
        <v>155362.28133642513</v>
      </c>
      <c r="AI87">
        <f>[1]High!AH22</f>
        <v>157238.85557715301</v>
      </c>
      <c r="AJ87">
        <f>[1]High!AI22</f>
        <v>158796.80020966608</v>
      </c>
      <c r="AK87">
        <f>[1]High!AJ22</f>
        <v>159704.85810792938</v>
      </c>
      <c r="AL87">
        <f>[1]High!AK22</f>
        <v>160359.27314106637</v>
      </c>
      <c r="AM87">
        <f>[1]High!AL22</f>
        <v>160640.01175612153</v>
      </c>
    </row>
    <row r="88" spans="1:39" x14ac:dyDescent="0.25">
      <c r="A88" t="s">
        <v>34</v>
      </c>
      <c r="B88" t="s">
        <v>75</v>
      </c>
      <c r="C88" t="str">
        <f>[1]High!B23</f>
        <v>C5+</v>
      </c>
      <c r="D88">
        <f>[1]High!C23</f>
        <v>90</v>
      </c>
      <c r="E88">
        <f>[1]High!D23</f>
        <v>100</v>
      </c>
      <c r="F88">
        <f>[1]High!E23</f>
        <v>100</v>
      </c>
      <c r="G88">
        <f>[1]High!F23</f>
        <v>120</v>
      </c>
      <c r="H88">
        <f>[1]High!G23</f>
        <v>170</v>
      </c>
      <c r="I88">
        <f>[1]High!H23</f>
        <v>100</v>
      </c>
      <c r="J88">
        <f>[1]High!I23</f>
        <v>100</v>
      </c>
      <c r="K88">
        <f>[1]High!J23</f>
        <v>100</v>
      </c>
      <c r="L88">
        <f>[1]High!K23</f>
        <v>100</v>
      </c>
      <c r="M88">
        <f>[1]High!L23</f>
        <v>100</v>
      </c>
      <c r="N88">
        <f>[1]High!M23</f>
        <v>100</v>
      </c>
      <c r="O88">
        <f>[1]High!N23</f>
        <v>100</v>
      </c>
      <c r="P88">
        <f>[1]High!O23</f>
        <v>100</v>
      </c>
      <c r="Q88">
        <f>[1]High!P23</f>
        <v>100</v>
      </c>
      <c r="R88">
        <f>[1]High!Q23</f>
        <v>100</v>
      </c>
      <c r="S88">
        <f>[1]High!R23</f>
        <v>100</v>
      </c>
      <c r="T88">
        <f>[1]High!S23</f>
        <v>100</v>
      </c>
      <c r="U88">
        <f>[1]High!T23</f>
        <v>100</v>
      </c>
      <c r="V88">
        <f>[1]High!U23</f>
        <v>100</v>
      </c>
      <c r="W88">
        <f>[1]High!V23</f>
        <v>100</v>
      </c>
      <c r="X88">
        <f>[1]High!W23</f>
        <v>100</v>
      </c>
      <c r="Y88">
        <f>[1]High!X23</f>
        <v>100</v>
      </c>
      <c r="Z88">
        <f>[1]High!Y23</f>
        <v>100</v>
      </c>
      <c r="AA88">
        <f>[1]High!Z23</f>
        <v>100</v>
      </c>
      <c r="AB88">
        <f>[1]High!AA23</f>
        <v>100</v>
      </c>
      <c r="AC88">
        <f>[1]High!AB23</f>
        <v>100</v>
      </c>
      <c r="AD88">
        <f>[1]High!AC23</f>
        <v>100</v>
      </c>
      <c r="AE88">
        <f>[1]High!AD23</f>
        <v>100</v>
      </c>
      <c r="AF88">
        <f>[1]High!AE23</f>
        <v>100</v>
      </c>
      <c r="AG88">
        <f>[1]High!AF23</f>
        <v>100</v>
      </c>
      <c r="AH88">
        <f>[1]High!AG23</f>
        <v>100</v>
      </c>
      <c r="AI88">
        <f>[1]High!AH23</f>
        <v>100</v>
      </c>
      <c r="AJ88">
        <f>[1]High!AI23</f>
        <v>100</v>
      </c>
      <c r="AK88">
        <f>[1]High!AJ23</f>
        <v>100</v>
      </c>
      <c r="AL88">
        <f>[1]High!AK23</f>
        <v>100</v>
      </c>
      <c r="AM88">
        <f>[1]High!AL23</f>
        <v>100</v>
      </c>
    </row>
    <row r="89" spans="1:39" x14ac:dyDescent="0.25">
      <c r="A89" t="s">
        <v>34</v>
      </c>
      <c r="B89" t="s">
        <v>75</v>
      </c>
      <c r="C89" t="s">
        <v>23</v>
      </c>
      <c r="D89">
        <f>SUM(D86:D88)</f>
        <v>66707.270188812094</v>
      </c>
      <c r="E89">
        <f t="shared" ref="E89:AM89" si="13">SUM(E86:E88)</f>
        <v>68152.120754608288</v>
      </c>
      <c r="F89">
        <f t="shared" si="13"/>
        <v>68070.971326164872</v>
      </c>
      <c r="G89">
        <f t="shared" si="13"/>
        <v>69965.500000000015</v>
      </c>
      <c r="H89">
        <f t="shared" si="13"/>
        <v>67609.15027265744</v>
      </c>
      <c r="I89">
        <f t="shared" si="13"/>
        <v>67255.468236047105</v>
      </c>
      <c r="J89">
        <f t="shared" si="13"/>
        <v>68047.183172043005</v>
      </c>
      <c r="K89">
        <f t="shared" si="13"/>
        <v>75064.26213965693</v>
      </c>
      <c r="L89">
        <f t="shared" si="13"/>
        <v>77160.802287506376</v>
      </c>
      <c r="M89">
        <f t="shared" si="13"/>
        <v>88652.537499999991</v>
      </c>
      <c r="N89">
        <f t="shared" si="13"/>
        <v>77441.298909370191</v>
      </c>
      <c r="O89">
        <f t="shared" si="13"/>
        <v>73147.161491163002</v>
      </c>
      <c r="P89">
        <f t="shared" si="13"/>
        <v>77484.242273129537</v>
      </c>
      <c r="Q89">
        <f t="shared" si="13"/>
        <v>81176.642326019661</v>
      </c>
      <c r="R89">
        <f t="shared" si="13"/>
        <v>85655.142089947825</v>
      </c>
      <c r="S89">
        <f t="shared" si="13"/>
        <v>90067.827282651691</v>
      </c>
      <c r="T89">
        <f t="shared" si="13"/>
        <v>95142.193698372852</v>
      </c>
      <c r="U89">
        <f t="shared" si="13"/>
        <v>101442.13237175584</v>
      </c>
      <c r="V89">
        <f t="shared" si="13"/>
        <v>108831.89331259596</v>
      </c>
      <c r="W89">
        <f t="shared" si="13"/>
        <v>117317.43729059954</v>
      </c>
      <c r="X89">
        <f t="shared" si="13"/>
        <v>126036.32316218338</v>
      </c>
      <c r="Y89">
        <f t="shared" si="13"/>
        <v>134167.6112619678</v>
      </c>
      <c r="Z89">
        <f t="shared" si="13"/>
        <v>141416.12775422898</v>
      </c>
      <c r="AA89">
        <f t="shared" si="13"/>
        <v>147848.7775657973</v>
      </c>
      <c r="AB89">
        <f t="shared" si="13"/>
        <v>153667.14278754045</v>
      </c>
      <c r="AC89">
        <f t="shared" si="13"/>
        <v>159054.49909410064</v>
      </c>
      <c r="AD89">
        <f t="shared" si="13"/>
        <v>164093.06600133239</v>
      </c>
      <c r="AE89">
        <f t="shared" si="13"/>
        <v>168761.98743908861</v>
      </c>
      <c r="AF89">
        <f t="shared" si="13"/>
        <v>172976.10764636993</v>
      </c>
      <c r="AG89">
        <f t="shared" si="13"/>
        <v>176737.9552478469</v>
      </c>
      <c r="AH89">
        <f t="shared" si="13"/>
        <v>180143.40243505</v>
      </c>
      <c r="AI89">
        <f t="shared" si="13"/>
        <v>182774.31204324565</v>
      </c>
      <c r="AJ89">
        <f t="shared" si="13"/>
        <v>184994.65607275889</v>
      </c>
      <c r="AK89">
        <f t="shared" si="13"/>
        <v>186467.91915521421</v>
      </c>
      <c r="AL89">
        <f t="shared" si="13"/>
        <v>187601.69617026972</v>
      </c>
      <c r="AM89">
        <f t="shared" si="13"/>
        <v>188283.31740429459</v>
      </c>
    </row>
    <row r="90" spans="1:39" x14ac:dyDescent="0.25">
      <c r="A90" t="s">
        <v>34</v>
      </c>
      <c r="B90" t="s">
        <v>76</v>
      </c>
      <c r="C90" t="str">
        <f>[1]High!B24</f>
        <v>Conventional Light</v>
      </c>
      <c r="D90">
        <f>[1]High!C24</f>
        <v>2203.4851382488482</v>
      </c>
      <c r="E90">
        <f>[1]High!D24</f>
        <v>3398.1617415514593</v>
      </c>
      <c r="F90">
        <f>[1]High!E24</f>
        <v>3531.5109030977987</v>
      </c>
      <c r="G90">
        <f>[1]High!F24</f>
        <v>3746.5833333333339</v>
      </c>
      <c r="H90">
        <f>[1]High!G24</f>
        <v>4116.2247580645162</v>
      </c>
      <c r="I90">
        <f>[1]High!H24</f>
        <v>4763.6846684587817</v>
      </c>
      <c r="J90">
        <f>[1]High!I24</f>
        <v>6462.2715092165899</v>
      </c>
      <c r="K90">
        <f>[1]High!J24</f>
        <v>8094.5645528982814</v>
      </c>
      <c r="L90">
        <f>[1]High!K24</f>
        <v>8262.7367191500271</v>
      </c>
      <c r="M90">
        <f>[1]High!L24</f>
        <v>7781.3506688428042</v>
      </c>
      <c r="N90">
        <f>[1]High!M24</f>
        <v>7282.7969105222728</v>
      </c>
      <c r="O90">
        <f>[1]High!N24</f>
        <v>6380.9985653812873</v>
      </c>
      <c r="P90">
        <f>[1]High!O24</f>
        <v>5830.8193436537013</v>
      </c>
      <c r="Q90">
        <f>[1]High!P24</f>
        <v>5370.0572684063036</v>
      </c>
      <c r="R90">
        <f>[1]High!Q24</f>
        <v>4951.1938705031926</v>
      </c>
      <c r="S90">
        <f>[1]High!R24</f>
        <v>4613.176531405973</v>
      </c>
      <c r="T90">
        <f>[1]High!S24</f>
        <v>4369.830982492359</v>
      </c>
      <c r="U90">
        <f>[1]High!T24</f>
        <v>4225.3782626220191</v>
      </c>
      <c r="V90">
        <f>[1]High!U24</f>
        <v>4171.2876727214516</v>
      </c>
      <c r="W90">
        <f>[1]High!V24</f>
        <v>4191.052261001606</v>
      </c>
      <c r="X90">
        <f>[1]High!W24</f>
        <v>4249.6813929066311</v>
      </c>
      <c r="Y90">
        <f>[1]High!X24</f>
        <v>4335.0419172862439</v>
      </c>
      <c r="Z90">
        <f>[1]High!Y24</f>
        <v>4431.637443762912</v>
      </c>
      <c r="AA90">
        <f>[1]High!Z24</f>
        <v>4528.3754934496974</v>
      </c>
      <c r="AB90">
        <f>[1]High!AA24</f>
        <v>4621.6510124954357</v>
      </c>
      <c r="AC90">
        <f>[1]High!AB24</f>
        <v>4711.1929643307758</v>
      </c>
      <c r="AD90">
        <f>[1]High!AC24</f>
        <v>4795.2934250105636</v>
      </c>
      <c r="AE90">
        <f>[1]High!AD24</f>
        <v>4872.6912148519486</v>
      </c>
      <c r="AF90">
        <f>[1]High!AE24</f>
        <v>4944.1893841597748</v>
      </c>
      <c r="AG90">
        <f>[1]High!AF24</f>
        <v>5008.6095575505979</v>
      </c>
      <c r="AH90">
        <f>[1]High!AG24</f>
        <v>5064.7932933851944</v>
      </c>
      <c r="AI90">
        <f>[1]High!AH24</f>
        <v>5108.2262915676793</v>
      </c>
      <c r="AJ90">
        <f>[1]High!AI24</f>
        <v>5123.8407256143419</v>
      </c>
      <c r="AK90">
        <f>[1]High!AJ24</f>
        <v>5122.425524309725</v>
      </c>
      <c r="AL90">
        <f>[1]High!AK24</f>
        <v>5107.2631640759391</v>
      </c>
      <c r="AM90">
        <f>[1]High!AL24</f>
        <v>5078.9589947879367</v>
      </c>
    </row>
    <row r="91" spans="1:39" x14ac:dyDescent="0.25">
      <c r="A91" t="s">
        <v>34</v>
      </c>
      <c r="B91" t="s">
        <v>76</v>
      </c>
      <c r="C91" t="s">
        <v>23</v>
      </c>
      <c r="D91">
        <f>D90</f>
        <v>2203.4851382488482</v>
      </c>
      <c r="E91">
        <f t="shared" ref="E91:AM91" si="14">E90</f>
        <v>3398.1617415514593</v>
      </c>
      <c r="F91">
        <f t="shared" si="14"/>
        <v>3531.5109030977987</v>
      </c>
      <c r="G91">
        <f t="shared" si="14"/>
        <v>3746.5833333333339</v>
      </c>
      <c r="H91">
        <f t="shared" si="14"/>
        <v>4116.2247580645162</v>
      </c>
      <c r="I91">
        <f t="shared" si="14"/>
        <v>4763.6846684587817</v>
      </c>
      <c r="J91">
        <f t="shared" si="14"/>
        <v>6462.2715092165899</v>
      </c>
      <c r="K91">
        <f t="shared" si="14"/>
        <v>8094.5645528982814</v>
      </c>
      <c r="L91">
        <f t="shared" si="14"/>
        <v>8262.7367191500271</v>
      </c>
      <c r="M91">
        <f t="shared" si="14"/>
        <v>7781.3506688428042</v>
      </c>
      <c r="N91">
        <f t="shared" si="14"/>
        <v>7282.7969105222728</v>
      </c>
      <c r="O91">
        <f t="shared" si="14"/>
        <v>6380.9985653812873</v>
      </c>
      <c r="P91">
        <f t="shared" si="14"/>
        <v>5830.8193436537013</v>
      </c>
      <c r="Q91">
        <f t="shared" si="14"/>
        <v>5370.0572684063036</v>
      </c>
      <c r="R91">
        <f t="shared" si="14"/>
        <v>4951.1938705031926</v>
      </c>
      <c r="S91">
        <f t="shared" si="14"/>
        <v>4613.176531405973</v>
      </c>
      <c r="T91">
        <f t="shared" si="14"/>
        <v>4369.830982492359</v>
      </c>
      <c r="U91">
        <f t="shared" si="14"/>
        <v>4225.3782626220191</v>
      </c>
      <c r="V91">
        <f t="shared" si="14"/>
        <v>4171.2876727214516</v>
      </c>
      <c r="W91">
        <f t="shared" si="14"/>
        <v>4191.052261001606</v>
      </c>
      <c r="X91">
        <f t="shared" si="14"/>
        <v>4249.6813929066311</v>
      </c>
      <c r="Y91">
        <f t="shared" si="14"/>
        <v>4335.0419172862439</v>
      </c>
      <c r="Z91">
        <f t="shared" si="14"/>
        <v>4431.637443762912</v>
      </c>
      <c r="AA91">
        <f t="shared" si="14"/>
        <v>4528.3754934496974</v>
      </c>
      <c r="AB91">
        <f t="shared" si="14"/>
        <v>4621.6510124954357</v>
      </c>
      <c r="AC91">
        <f t="shared" si="14"/>
        <v>4711.1929643307758</v>
      </c>
      <c r="AD91">
        <f t="shared" si="14"/>
        <v>4795.2934250105636</v>
      </c>
      <c r="AE91">
        <f t="shared" si="14"/>
        <v>4872.6912148519486</v>
      </c>
      <c r="AF91">
        <f t="shared" si="14"/>
        <v>4944.1893841597748</v>
      </c>
      <c r="AG91">
        <f t="shared" si="14"/>
        <v>5008.6095575505979</v>
      </c>
      <c r="AH91">
        <f t="shared" si="14"/>
        <v>5064.7932933851944</v>
      </c>
      <c r="AI91">
        <f t="shared" si="14"/>
        <v>5108.2262915676793</v>
      </c>
      <c r="AJ91">
        <f t="shared" si="14"/>
        <v>5123.8407256143419</v>
      </c>
      <c r="AK91">
        <f t="shared" si="14"/>
        <v>5122.425524309725</v>
      </c>
      <c r="AL91">
        <f t="shared" si="14"/>
        <v>5107.2631640759391</v>
      </c>
      <c r="AM91">
        <f t="shared" si="14"/>
        <v>5078.9589947879367</v>
      </c>
    </row>
    <row r="92" spans="1:39" x14ac:dyDescent="0.25">
      <c r="A92" t="s">
        <v>34</v>
      </c>
      <c r="B92" t="s">
        <v>77</v>
      </c>
      <c r="C92" t="str">
        <f>[1]High!B25</f>
        <v>Conventional Light</v>
      </c>
      <c r="D92">
        <f>[1]High!C25</f>
        <v>380</v>
      </c>
      <c r="E92">
        <f>[1]High!D25</f>
        <v>340</v>
      </c>
      <c r="F92">
        <f>[1]High!E25</f>
        <v>300</v>
      </c>
      <c r="G92">
        <f>[1]High!F25</f>
        <v>270</v>
      </c>
      <c r="H92">
        <f>[1]High!G25</f>
        <v>250</v>
      </c>
      <c r="I92">
        <f>[1]High!H25</f>
        <v>240</v>
      </c>
      <c r="J92">
        <f>[1]High!I25</f>
        <v>220</v>
      </c>
      <c r="K92">
        <f>[1]High!J25</f>
        <v>220</v>
      </c>
      <c r="L92">
        <f>[1]High!K25</f>
        <v>200</v>
      </c>
      <c r="M92">
        <f>[1]High!L25</f>
        <v>190</v>
      </c>
      <c r="N92">
        <f>[1]High!M25</f>
        <v>157.3838965693806</v>
      </c>
      <c r="O92">
        <f>[1]High!N25</f>
        <v>155.15005760368666</v>
      </c>
      <c r="P92">
        <f>[1]High!O25</f>
        <v>94</v>
      </c>
      <c r="Q92">
        <f>[1]High!P25</f>
        <v>130</v>
      </c>
      <c r="R92">
        <f>[1]High!Q25</f>
        <v>145</v>
      </c>
      <c r="S92">
        <f>[1]High!R25</f>
        <v>169</v>
      </c>
      <c r="T92">
        <f>[1]High!S25</f>
        <v>171.15354678612073</v>
      </c>
      <c r="U92">
        <f>[1]High!T25</f>
        <v>172.36342530650538</v>
      </c>
      <c r="V92">
        <f>[1]High!U25</f>
        <v>173.53199090180374</v>
      </c>
      <c r="W92">
        <f>[1]High!V25</f>
        <v>178.9548656174851</v>
      </c>
      <c r="X92">
        <f>[1]High!W25</f>
        <v>184.25192963976266</v>
      </c>
      <c r="Y92">
        <f>[1]High!X25</f>
        <v>187.53090532608257</v>
      </c>
      <c r="Z92">
        <f>[1]High!Y25</f>
        <v>190.58696452398908</v>
      </c>
      <c r="AA92">
        <f>[1]High!Z25</f>
        <v>191.43154815686506</v>
      </c>
      <c r="AB92">
        <f>[1]High!AA25</f>
        <v>187.54309483492875</v>
      </c>
      <c r="AC92">
        <f>[1]High!AB25</f>
        <v>183.71326742461545</v>
      </c>
      <c r="AD92">
        <f>[1]High!AC25</f>
        <v>179.94128225302498</v>
      </c>
      <c r="AE92">
        <f>[1]High!AD25</f>
        <v>176.22636545812378</v>
      </c>
      <c r="AF92">
        <f>[1]High!AE25</f>
        <v>174.46410180354252</v>
      </c>
      <c r="AG92">
        <f>[1]High!AF25</f>
        <v>170.84207534218638</v>
      </c>
      <c r="AH92">
        <f>[1]High!AG25</f>
        <v>167.27504299987697</v>
      </c>
      <c r="AI92">
        <f>[1]High!AH25</f>
        <v>165.60229256987819</v>
      </c>
      <c r="AJ92">
        <f>[1]High!AI25</f>
        <v>162.12464442591076</v>
      </c>
      <c r="AK92">
        <f>[1]High!AJ25</f>
        <v>158.69998901556568</v>
      </c>
      <c r="AL92">
        <f>[1]High!AK25</f>
        <v>157.11298912541</v>
      </c>
      <c r="AM92">
        <f>[1]High!AL25</f>
        <v>153.77433810649504</v>
      </c>
    </row>
    <row r="93" spans="1:39" x14ac:dyDescent="0.25">
      <c r="A93" t="s">
        <v>34</v>
      </c>
      <c r="B93" t="s">
        <v>77</v>
      </c>
      <c r="C93" t="s">
        <v>23</v>
      </c>
      <c r="D93">
        <f>D92</f>
        <v>380</v>
      </c>
      <c r="E93">
        <f t="shared" ref="E93:AM93" si="15">E92</f>
        <v>340</v>
      </c>
      <c r="F93">
        <f t="shared" si="15"/>
        <v>300</v>
      </c>
      <c r="G93">
        <f t="shared" si="15"/>
        <v>270</v>
      </c>
      <c r="H93">
        <f t="shared" si="15"/>
        <v>250</v>
      </c>
      <c r="I93">
        <f t="shared" si="15"/>
        <v>240</v>
      </c>
      <c r="J93">
        <f t="shared" si="15"/>
        <v>220</v>
      </c>
      <c r="K93">
        <f t="shared" si="15"/>
        <v>220</v>
      </c>
      <c r="L93">
        <f t="shared" si="15"/>
        <v>200</v>
      </c>
      <c r="M93">
        <f t="shared" si="15"/>
        <v>190</v>
      </c>
      <c r="N93">
        <f t="shared" si="15"/>
        <v>157.3838965693806</v>
      </c>
      <c r="O93">
        <f t="shared" si="15"/>
        <v>155.15005760368666</v>
      </c>
      <c r="P93">
        <f t="shared" si="15"/>
        <v>94</v>
      </c>
      <c r="Q93">
        <f t="shared" si="15"/>
        <v>130</v>
      </c>
      <c r="R93">
        <f t="shared" si="15"/>
        <v>145</v>
      </c>
      <c r="S93">
        <f t="shared" si="15"/>
        <v>169</v>
      </c>
      <c r="T93">
        <f t="shared" si="15"/>
        <v>171.15354678612073</v>
      </c>
      <c r="U93">
        <f t="shared" si="15"/>
        <v>172.36342530650538</v>
      </c>
      <c r="V93">
        <f t="shared" si="15"/>
        <v>173.53199090180374</v>
      </c>
      <c r="W93">
        <f t="shared" si="15"/>
        <v>178.9548656174851</v>
      </c>
      <c r="X93">
        <f t="shared" si="15"/>
        <v>184.25192963976266</v>
      </c>
      <c r="Y93">
        <f t="shared" si="15"/>
        <v>187.53090532608257</v>
      </c>
      <c r="Z93">
        <f t="shared" si="15"/>
        <v>190.58696452398908</v>
      </c>
      <c r="AA93">
        <f t="shared" si="15"/>
        <v>191.43154815686506</v>
      </c>
      <c r="AB93">
        <f t="shared" si="15"/>
        <v>187.54309483492875</v>
      </c>
      <c r="AC93">
        <f t="shared" si="15"/>
        <v>183.71326742461545</v>
      </c>
      <c r="AD93">
        <f t="shared" si="15"/>
        <v>179.94128225302498</v>
      </c>
      <c r="AE93">
        <f t="shared" si="15"/>
        <v>176.22636545812378</v>
      </c>
      <c r="AF93">
        <f t="shared" si="15"/>
        <v>174.46410180354252</v>
      </c>
      <c r="AG93">
        <f t="shared" si="15"/>
        <v>170.84207534218638</v>
      </c>
      <c r="AH93">
        <f t="shared" si="15"/>
        <v>167.27504299987697</v>
      </c>
      <c r="AI93">
        <f t="shared" si="15"/>
        <v>165.60229256987819</v>
      </c>
      <c r="AJ93">
        <f t="shared" si="15"/>
        <v>162.12464442591076</v>
      </c>
      <c r="AK93">
        <f t="shared" si="15"/>
        <v>158.69998901556568</v>
      </c>
      <c r="AL93">
        <f t="shared" si="15"/>
        <v>157.11298912541</v>
      </c>
      <c r="AM93">
        <f t="shared" si="15"/>
        <v>153.77433810649504</v>
      </c>
    </row>
    <row r="94" spans="1:39" x14ac:dyDescent="0.25">
      <c r="A94" t="s">
        <v>34</v>
      </c>
      <c r="B94" t="s">
        <v>78</v>
      </c>
      <c r="C94" t="str">
        <f>[1]High!B26</f>
        <v>Conventional Light</v>
      </c>
      <c r="D94">
        <f>[1]High!C26</f>
        <v>0</v>
      </c>
      <c r="E94">
        <f>[1]High!D26</f>
        <v>0</v>
      </c>
      <c r="F94">
        <f>[1]High!E26</f>
        <v>0</v>
      </c>
      <c r="G94">
        <f>[1]High!F26</f>
        <v>0</v>
      </c>
      <c r="H94">
        <f>[1]High!G26</f>
        <v>0</v>
      </c>
      <c r="I94">
        <f>[1]High!H26</f>
        <v>0</v>
      </c>
      <c r="J94">
        <f>[1]High!I26</f>
        <v>0</v>
      </c>
      <c r="K94">
        <f>[1]High!J26</f>
        <v>0</v>
      </c>
      <c r="L94">
        <f>[1]High!K26</f>
        <v>0</v>
      </c>
      <c r="M94">
        <f>[1]High!L26</f>
        <v>0</v>
      </c>
      <c r="N94">
        <f>[1]High!M26</f>
        <v>0</v>
      </c>
      <c r="O94">
        <f>[1]High!N26</f>
        <v>0</v>
      </c>
      <c r="P94">
        <f>[1]High!O26</f>
        <v>0</v>
      </c>
      <c r="Q94">
        <f>[1]High!P26</f>
        <v>0</v>
      </c>
      <c r="R94">
        <f>[1]High!Q26</f>
        <v>0</v>
      </c>
      <c r="S94">
        <f>[1]High!R26</f>
        <v>0</v>
      </c>
      <c r="T94">
        <f>[1]High!S26</f>
        <v>0</v>
      </c>
      <c r="U94">
        <f>[1]High!T26</f>
        <v>0</v>
      </c>
      <c r="V94">
        <f>[1]High!U26</f>
        <v>0</v>
      </c>
      <c r="W94">
        <f>[1]High!V26</f>
        <v>0</v>
      </c>
      <c r="X94">
        <f>[1]High!W26</f>
        <v>0</v>
      </c>
      <c r="Y94">
        <f>[1]High!X26</f>
        <v>0</v>
      </c>
      <c r="Z94">
        <f>[1]High!Y26</f>
        <v>0</v>
      </c>
      <c r="AA94">
        <f>[1]High!Z26</f>
        <v>0</v>
      </c>
      <c r="AB94">
        <f>[1]High!AA26</f>
        <v>0</v>
      </c>
      <c r="AC94">
        <f>[1]High!AB26</f>
        <v>0</v>
      </c>
      <c r="AD94">
        <f>[1]High!AC26</f>
        <v>0</v>
      </c>
      <c r="AE94">
        <f>[1]High!AD26</f>
        <v>0</v>
      </c>
      <c r="AF94">
        <f>[1]High!AE26</f>
        <v>0</v>
      </c>
      <c r="AG94">
        <f>[1]High!AF26</f>
        <v>0</v>
      </c>
      <c r="AH94">
        <f>[1]High!AG26</f>
        <v>0</v>
      </c>
      <c r="AI94">
        <f>[1]High!AH26</f>
        <v>0</v>
      </c>
      <c r="AJ94">
        <f>[1]High!AI26</f>
        <v>0</v>
      </c>
      <c r="AK94">
        <f>[1]High!AJ26</f>
        <v>0</v>
      </c>
      <c r="AL94">
        <f>[1]High!AK26</f>
        <v>0</v>
      </c>
      <c r="AM94">
        <f>[1]High!AL26</f>
        <v>0</v>
      </c>
    </row>
    <row r="95" spans="1:39" x14ac:dyDescent="0.25">
      <c r="A95" t="s">
        <v>34</v>
      </c>
      <c r="B95" t="s">
        <v>78</v>
      </c>
      <c r="C95" t="s">
        <v>23</v>
      </c>
      <c r="D95">
        <f>D94</f>
        <v>0</v>
      </c>
      <c r="E95">
        <f t="shared" ref="E95:AM95" si="16">E94</f>
        <v>0</v>
      </c>
      <c r="F95">
        <f t="shared" si="16"/>
        <v>0</v>
      </c>
      <c r="G95">
        <f t="shared" si="16"/>
        <v>0</v>
      </c>
      <c r="H95">
        <f t="shared" si="16"/>
        <v>0</v>
      </c>
      <c r="I95">
        <f t="shared" si="16"/>
        <v>0</v>
      </c>
      <c r="J95">
        <f t="shared" si="16"/>
        <v>0</v>
      </c>
      <c r="K95">
        <f t="shared" si="16"/>
        <v>0</v>
      </c>
      <c r="L95">
        <f t="shared" si="16"/>
        <v>0</v>
      </c>
      <c r="M95">
        <f t="shared" si="16"/>
        <v>0</v>
      </c>
      <c r="N95">
        <f t="shared" si="16"/>
        <v>0</v>
      </c>
      <c r="O95">
        <f t="shared" si="16"/>
        <v>0</v>
      </c>
      <c r="P95">
        <f t="shared" si="16"/>
        <v>0</v>
      </c>
      <c r="Q95">
        <f t="shared" si="16"/>
        <v>0</v>
      </c>
      <c r="R95">
        <f t="shared" si="16"/>
        <v>0</v>
      </c>
      <c r="S95">
        <f t="shared" si="16"/>
        <v>0</v>
      </c>
      <c r="T95">
        <f t="shared" si="16"/>
        <v>0</v>
      </c>
      <c r="U95">
        <f t="shared" si="16"/>
        <v>0</v>
      </c>
      <c r="V95">
        <f t="shared" si="16"/>
        <v>0</v>
      </c>
      <c r="W95">
        <f t="shared" si="16"/>
        <v>0</v>
      </c>
      <c r="X95">
        <f t="shared" si="16"/>
        <v>0</v>
      </c>
      <c r="Y95">
        <f t="shared" si="16"/>
        <v>0</v>
      </c>
      <c r="Z95">
        <f t="shared" si="16"/>
        <v>0</v>
      </c>
      <c r="AA95">
        <f t="shared" si="16"/>
        <v>0</v>
      </c>
      <c r="AB95">
        <f t="shared" si="16"/>
        <v>0</v>
      </c>
      <c r="AC95">
        <f t="shared" si="16"/>
        <v>0</v>
      </c>
      <c r="AD95">
        <f t="shared" si="16"/>
        <v>0</v>
      </c>
      <c r="AE95">
        <f t="shared" si="16"/>
        <v>0</v>
      </c>
      <c r="AF95">
        <f t="shared" si="16"/>
        <v>0</v>
      </c>
      <c r="AG95">
        <f t="shared" si="16"/>
        <v>0</v>
      </c>
      <c r="AH95">
        <f t="shared" si="16"/>
        <v>0</v>
      </c>
      <c r="AI95">
        <f t="shared" si="16"/>
        <v>0</v>
      </c>
      <c r="AJ95">
        <f t="shared" si="16"/>
        <v>0</v>
      </c>
      <c r="AK95">
        <f t="shared" si="16"/>
        <v>0</v>
      </c>
      <c r="AL95">
        <f t="shared" si="16"/>
        <v>0</v>
      </c>
      <c r="AM95">
        <f t="shared" si="16"/>
        <v>0</v>
      </c>
    </row>
    <row r="96" spans="1:39" x14ac:dyDescent="0.25">
      <c r="A96" t="s">
        <v>34</v>
      </c>
      <c r="B96" t="s">
        <v>79</v>
      </c>
      <c r="C96" t="str">
        <f>[1]High!B27</f>
        <v>Conventional Light</v>
      </c>
      <c r="D96">
        <f>[1]High!C27</f>
        <v>0</v>
      </c>
      <c r="E96">
        <f>[1]High!D27</f>
        <v>0</v>
      </c>
      <c r="F96">
        <f>[1]High!E27</f>
        <v>0</v>
      </c>
      <c r="G96">
        <f>[1]High!F27</f>
        <v>0</v>
      </c>
      <c r="H96">
        <f>[1]High!G27</f>
        <v>0</v>
      </c>
      <c r="I96">
        <f>[1]High!H27</f>
        <v>0</v>
      </c>
      <c r="J96">
        <f>[1]High!I27</f>
        <v>0</v>
      </c>
      <c r="K96">
        <f>[1]High!J27</f>
        <v>0</v>
      </c>
      <c r="L96">
        <f>[1]High!K27</f>
        <v>0</v>
      </c>
      <c r="M96">
        <f>[1]High!L27</f>
        <v>0</v>
      </c>
      <c r="N96">
        <f>[1]High!M27</f>
        <v>0</v>
      </c>
      <c r="O96">
        <f>[1]High!N27</f>
        <v>0</v>
      </c>
      <c r="P96">
        <f>[1]High!O27</f>
        <v>0</v>
      </c>
      <c r="Q96">
        <f>[1]High!P27</f>
        <v>0</v>
      </c>
      <c r="R96">
        <f>[1]High!Q27</f>
        <v>0</v>
      </c>
      <c r="S96">
        <f>[1]High!R27</f>
        <v>0</v>
      </c>
      <c r="T96">
        <f>[1]High!S27</f>
        <v>0</v>
      </c>
      <c r="U96">
        <f>[1]High!T27</f>
        <v>0</v>
      </c>
      <c r="V96">
        <f>[1]High!U27</f>
        <v>0</v>
      </c>
      <c r="W96">
        <f>[1]High!V27</f>
        <v>0</v>
      </c>
      <c r="X96">
        <f>[1]High!W27</f>
        <v>0</v>
      </c>
      <c r="Y96">
        <f>[1]High!X27</f>
        <v>0</v>
      </c>
      <c r="Z96">
        <f>[1]High!Y27</f>
        <v>0</v>
      </c>
      <c r="AA96">
        <f>[1]High!Z27</f>
        <v>0</v>
      </c>
      <c r="AB96">
        <f>[1]High!AA27</f>
        <v>0</v>
      </c>
      <c r="AC96">
        <f>[1]High!AB27</f>
        <v>0</v>
      </c>
      <c r="AD96">
        <f>[1]High!AC27</f>
        <v>0</v>
      </c>
      <c r="AE96">
        <f>[1]High!AD27</f>
        <v>0</v>
      </c>
      <c r="AF96">
        <f>[1]High!AE27</f>
        <v>0</v>
      </c>
      <c r="AG96">
        <f>[1]High!AF27</f>
        <v>0</v>
      </c>
      <c r="AH96">
        <f>[1]High!AG27</f>
        <v>0</v>
      </c>
      <c r="AI96">
        <f>[1]High!AH27</f>
        <v>0</v>
      </c>
      <c r="AJ96">
        <f>[1]High!AI27</f>
        <v>0</v>
      </c>
      <c r="AK96">
        <f>[1]High!AJ27</f>
        <v>0</v>
      </c>
      <c r="AL96">
        <f>[1]High!AK27</f>
        <v>0</v>
      </c>
      <c r="AM96">
        <f>[1]High!AL27</f>
        <v>0</v>
      </c>
    </row>
    <row r="97" spans="1:39" x14ac:dyDescent="0.25">
      <c r="A97" t="s">
        <v>34</v>
      </c>
      <c r="B97" t="s">
        <v>79</v>
      </c>
      <c r="C97" t="str">
        <f>[1]High!B28</f>
        <v>C5+</v>
      </c>
      <c r="D97">
        <f>[1]High!C28</f>
        <v>2050</v>
      </c>
      <c r="E97">
        <f>[1]High!D28</f>
        <v>1910</v>
      </c>
      <c r="F97">
        <f>[1]High!E28</f>
        <v>1890</v>
      </c>
      <c r="G97">
        <f>[1]High!F28</f>
        <v>1750</v>
      </c>
      <c r="H97">
        <f>[1]High!G28</f>
        <v>1130</v>
      </c>
      <c r="I97">
        <f>[1]High!H28</f>
        <v>1070</v>
      </c>
      <c r="J97">
        <f>[1]High!I28</f>
        <v>860</v>
      </c>
      <c r="K97">
        <f>[1]High!J28</f>
        <v>580</v>
      </c>
      <c r="L97">
        <f>[1]High!K28</f>
        <v>330</v>
      </c>
      <c r="M97">
        <f>[1]High!L28</f>
        <v>460</v>
      </c>
      <c r="N97">
        <f>[1]High!M28</f>
        <v>439.2230136986301</v>
      </c>
      <c r="O97">
        <f>[1]High!N28</f>
        <v>416.31040165903886</v>
      </c>
      <c r="P97">
        <f>[1]High!O28</f>
        <v>312</v>
      </c>
      <c r="Q97">
        <f>[1]High!P28</f>
        <v>315</v>
      </c>
      <c r="R97">
        <f>[1]High!Q28</f>
        <v>300</v>
      </c>
      <c r="S97">
        <f>[1]High!R28</f>
        <v>285</v>
      </c>
      <c r="T97">
        <f>[1]High!S28</f>
        <v>250</v>
      </c>
      <c r="U97">
        <f>[1]High!T28</f>
        <v>0</v>
      </c>
      <c r="V97">
        <f>[1]High!U28</f>
        <v>0</v>
      </c>
      <c r="W97">
        <f>[1]High!V28</f>
        <v>0</v>
      </c>
      <c r="X97">
        <f>[1]High!W28</f>
        <v>0</v>
      </c>
      <c r="Y97">
        <f>[1]High!X28</f>
        <v>0</v>
      </c>
      <c r="Z97">
        <f>[1]High!Y28</f>
        <v>0</v>
      </c>
      <c r="AA97">
        <f>[1]High!Z28</f>
        <v>0</v>
      </c>
      <c r="AB97">
        <f>[1]High!AA28</f>
        <v>0</v>
      </c>
      <c r="AC97">
        <f>[1]High!AB28</f>
        <v>0</v>
      </c>
      <c r="AD97">
        <f>[1]High!AC28</f>
        <v>0</v>
      </c>
      <c r="AE97">
        <f>[1]High!AD28</f>
        <v>0</v>
      </c>
      <c r="AF97">
        <f>[1]High!AE28</f>
        <v>0</v>
      </c>
      <c r="AG97">
        <f>[1]High!AF28</f>
        <v>0</v>
      </c>
      <c r="AH97">
        <f>[1]High!AG28</f>
        <v>0</v>
      </c>
      <c r="AI97">
        <f>[1]High!AH28</f>
        <v>0</v>
      </c>
      <c r="AJ97">
        <f>[1]High!AI28</f>
        <v>0</v>
      </c>
      <c r="AK97">
        <f>[1]High!AJ28</f>
        <v>0</v>
      </c>
      <c r="AL97">
        <f>[1]High!AK28</f>
        <v>0</v>
      </c>
      <c r="AM97">
        <f>[1]High!AL28</f>
        <v>0</v>
      </c>
    </row>
    <row r="98" spans="1:39" x14ac:dyDescent="0.25">
      <c r="A98" t="s">
        <v>34</v>
      </c>
      <c r="B98" t="s">
        <v>79</v>
      </c>
      <c r="C98" t="s">
        <v>23</v>
      </c>
      <c r="D98">
        <f>D97+D96</f>
        <v>2050</v>
      </c>
      <c r="E98">
        <f t="shared" ref="E98:AM98" si="17">E97+E96</f>
        <v>1910</v>
      </c>
      <c r="F98">
        <f t="shared" si="17"/>
        <v>1890</v>
      </c>
      <c r="G98">
        <f t="shared" si="17"/>
        <v>1750</v>
      </c>
      <c r="H98">
        <f t="shared" si="17"/>
        <v>1130</v>
      </c>
      <c r="I98">
        <f t="shared" si="17"/>
        <v>1070</v>
      </c>
      <c r="J98">
        <f t="shared" si="17"/>
        <v>860</v>
      </c>
      <c r="K98">
        <f t="shared" si="17"/>
        <v>580</v>
      </c>
      <c r="L98">
        <f t="shared" si="17"/>
        <v>330</v>
      </c>
      <c r="M98">
        <f t="shared" si="17"/>
        <v>460</v>
      </c>
      <c r="N98">
        <f t="shared" si="17"/>
        <v>439.2230136986301</v>
      </c>
      <c r="O98">
        <f t="shared" si="17"/>
        <v>416.31040165903886</v>
      </c>
      <c r="P98">
        <f t="shared" si="17"/>
        <v>312</v>
      </c>
      <c r="Q98">
        <f t="shared" si="17"/>
        <v>315</v>
      </c>
      <c r="R98">
        <f t="shared" si="17"/>
        <v>300</v>
      </c>
      <c r="S98">
        <f t="shared" si="17"/>
        <v>285</v>
      </c>
      <c r="T98">
        <f t="shared" si="17"/>
        <v>250</v>
      </c>
      <c r="U98">
        <f t="shared" si="17"/>
        <v>0</v>
      </c>
      <c r="V98">
        <f t="shared" si="17"/>
        <v>0</v>
      </c>
      <c r="W98">
        <f t="shared" si="17"/>
        <v>0</v>
      </c>
      <c r="X98">
        <f t="shared" si="17"/>
        <v>0</v>
      </c>
      <c r="Y98">
        <f t="shared" si="17"/>
        <v>0</v>
      </c>
      <c r="Z98">
        <f t="shared" si="17"/>
        <v>0</v>
      </c>
      <c r="AA98">
        <f t="shared" si="17"/>
        <v>0</v>
      </c>
      <c r="AB98">
        <f t="shared" si="17"/>
        <v>0</v>
      </c>
      <c r="AC98">
        <f t="shared" si="17"/>
        <v>0</v>
      </c>
      <c r="AD98">
        <f t="shared" si="17"/>
        <v>0</v>
      </c>
      <c r="AE98">
        <f t="shared" si="17"/>
        <v>0</v>
      </c>
      <c r="AF98">
        <f t="shared" si="17"/>
        <v>0</v>
      </c>
      <c r="AG98">
        <f t="shared" si="17"/>
        <v>0</v>
      </c>
      <c r="AH98">
        <f t="shared" si="17"/>
        <v>0</v>
      </c>
      <c r="AI98">
        <f t="shared" si="17"/>
        <v>0</v>
      </c>
      <c r="AJ98">
        <f t="shared" si="17"/>
        <v>0</v>
      </c>
      <c r="AK98">
        <f t="shared" si="17"/>
        <v>0</v>
      </c>
      <c r="AL98">
        <f t="shared" si="17"/>
        <v>0</v>
      </c>
      <c r="AM98">
        <f t="shared" si="17"/>
        <v>0</v>
      </c>
    </row>
    <row r="99" spans="1:39" x14ac:dyDescent="0.25">
      <c r="A99" t="s">
        <v>34</v>
      </c>
      <c r="B99" t="s">
        <v>80</v>
      </c>
      <c r="C99" t="str">
        <f>[1]High!B29</f>
        <v>Conventional Light</v>
      </c>
      <c r="D99">
        <f>[1]High!C29</f>
        <v>48470</v>
      </c>
      <c r="E99">
        <f>[1]High!D29</f>
        <v>48280</v>
      </c>
      <c r="F99">
        <f>[1]High!E29</f>
        <v>58580</v>
      </c>
      <c r="G99">
        <f>[1]High!F29</f>
        <v>54550</v>
      </c>
      <c r="H99">
        <f>[1]High!G29</f>
        <v>42550</v>
      </c>
      <c r="I99">
        <f>[1]High!H29</f>
        <v>43850</v>
      </c>
      <c r="J99">
        <f>[1]High!I29</f>
        <v>42140</v>
      </c>
      <c r="K99">
        <f>[1]High!J29</f>
        <v>31430</v>
      </c>
      <c r="L99">
        <f>[1]High!K29</f>
        <v>36870</v>
      </c>
      <c r="M99">
        <f>[1]High!L29</f>
        <v>34340</v>
      </c>
      <c r="N99">
        <f>[1]High!M29</f>
        <v>27348</v>
      </c>
      <c r="O99">
        <f>[1]High!N29</f>
        <v>33334</v>
      </c>
      <c r="P99">
        <f>[1]High!O29</f>
        <v>34760</v>
      </c>
      <c r="Q99">
        <f>[1]High!P29</f>
        <v>30239.540260225629</v>
      </c>
      <c r="R99">
        <f>[1]High!Q29</f>
        <v>30262.257738652104</v>
      </c>
      <c r="S99">
        <f>[1]High!R29</f>
        <v>23832.097785616927</v>
      </c>
      <c r="T99">
        <f>[1]High!S29</f>
        <v>25262.589077078668</v>
      </c>
      <c r="U99">
        <f>[1]High!T29</f>
        <v>23761.522232255138</v>
      </c>
      <c r="V99">
        <f>[1]High!U29</f>
        <v>29418.291564931675</v>
      </c>
      <c r="W99">
        <f>[1]High!V29</f>
        <v>31585.098585284177</v>
      </c>
      <c r="X99">
        <f>[1]High!W29</f>
        <v>32165.111000694124</v>
      </c>
      <c r="Y99">
        <f>[1]High!X29</f>
        <v>32304.829639980828</v>
      </c>
      <c r="Z99">
        <f>[1]High!Y29</f>
        <v>33882.831473469181</v>
      </c>
      <c r="AA99">
        <f>[1]High!Z29</f>
        <v>32135.208904390423</v>
      </c>
      <c r="AB99">
        <f>[1]High!AA29</f>
        <v>31448.703145377502</v>
      </c>
      <c r="AC99">
        <f>[1]High!AB29</f>
        <v>29279.420202148889</v>
      </c>
      <c r="AD99">
        <f>[1]High!AC29</f>
        <v>26431.723928960841</v>
      </c>
      <c r="AE99">
        <f>[1]High!AD29</f>
        <v>24030.151218702078</v>
      </c>
      <c r="AF99">
        <f>[1]High!AE29</f>
        <v>24659.716777144611</v>
      </c>
      <c r="AG99">
        <f>[1]High!AF29</f>
        <v>23074.008506811806</v>
      </c>
      <c r="AH99">
        <f>[1]High!AG29</f>
        <v>22779.405702111151</v>
      </c>
      <c r="AI99">
        <f>[1]High!AH29</f>
        <v>23329.793566588552</v>
      </c>
      <c r="AJ99">
        <f>[1]High!AI29</f>
        <v>22814.959185844978</v>
      </c>
      <c r="AK99">
        <f>[1]High!AJ29</f>
        <v>19660.626913140324</v>
      </c>
      <c r="AL99">
        <f>[1]High!AK29</f>
        <v>18233.09415813888</v>
      </c>
      <c r="AM99">
        <f>[1]High!AL29</f>
        <v>16204.59133425895</v>
      </c>
    </row>
    <row r="100" spans="1:39" x14ac:dyDescent="0.25">
      <c r="A100" t="s">
        <v>34</v>
      </c>
      <c r="B100" t="s">
        <v>80</v>
      </c>
      <c r="C100" t="str">
        <f>[1]High!B30</f>
        <v>Conventional Heavy</v>
      </c>
      <c r="D100">
        <f>[1]High!C30</f>
        <v>0</v>
      </c>
      <c r="E100">
        <f>[1]High!D30</f>
        <v>0</v>
      </c>
      <c r="F100">
        <f>[1]High!E30</f>
        <v>0</v>
      </c>
      <c r="G100">
        <f>[1]High!F30</f>
        <v>0</v>
      </c>
      <c r="H100">
        <f>[1]High!G30</f>
        <v>0</v>
      </c>
      <c r="I100">
        <f>[1]High!H30</f>
        <v>0</v>
      </c>
      <c r="J100">
        <f>[1]High!I30</f>
        <v>0</v>
      </c>
      <c r="K100">
        <f>[1]High!J30</f>
        <v>0</v>
      </c>
      <c r="L100">
        <f>[1]High!K30</f>
        <v>0</v>
      </c>
      <c r="M100">
        <f>[1]High!L30</f>
        <v>0</v>
      </c>
      <c r="N100">
        <f>[1]High!M30</f>
        <v>0</v>
      </c>
      <c r="O100">
        <f>[1]High!N30</f>
        <v>0</v>
      </c>
      <c r="P100">
        <f>[1]High!O30</f>
        <v>336</v>
      </c>
      <c r="Q100">
        <f>[1]High!P30</f>
        <v>7850.6753922528205</v>
      </c>
      <c r="R100">
        <f>[1]High!Q30</f>
        <v>12625.679671849659</v>
      </c>
      <c r="S100">
        <f>[1]High!R30</f>
        <v>19461.35012242043</v>
      </c>
      <c r="T100">
        <f>[1]High!S30</f>
        <v>23504.721930745025</v>
      </c>
      <c r="U100">
        <f>[1]High!T30</f>
        <v>24031.924703488188</v>
      </c>
      <c r="V100">
        <f>[1]High!U30</f>
        <v>24905.084422398173</v>
      </c>
      <c r="W100">
        <f>[1]High!V30</f>
        <v>25292.378136029765</v>
      </c>
      <c r="X100">
        <f>[1]High!W30</f>
        <v>24660.084581385745</v>
      </c>
      <c r="Y100">
        <f>[1]High!X30</f>
        <v>21983.210912906612</v>
      </c>
      <c r="Z100">
        <f>[1]High!Y30</f>
        <v>19518.267671468093</v>
      </c>
      <c r="AA100">
        <f>[1]High!Z30</f>
        <v>16588.762758752269</v>
      </c>
      <c r="AB100">
        <f>[1]High!AA30</f>
        <v>13923.972145378237</v>
      </c>
      <c r="AC100">
        <f>[1]High!AB30</f>
        <v>11841.552990556142</v>
      </c>
      <c r="AD100">
        <f>[1]High!AC30</f>
        <v>10359.152914242108</v>
      </c>
      <c r="AE100">
        <f>[1]High!AD30</f>
        <v>9335.5909567871804</v>
      </c>
      <c r="AF100">
        <f>[1]High!AE30</f>
        <v>7959.0766002098644</v>
      </c>
      <c r="AG100">
        <f>[1]High!AF30</f>
        <v>6794.3336831059814</v>
      </c>
      <c r="AH100">
        <f>[1]High!AG30</f>
        <v>6123.7241247734437</v>
      </c>
      <c r="AI100">
        <f>[1]High!AH30</f>
        <v>5629.5907660020985</v>
      </c>
      <c r="AJ100">
        <f>[1]High!AI30</f>
        <v>5636.6014643408325</v>
      </c>
      <c r="AK100">
        <f>[1]High!AJ30</f>
        <v>5266.0014452623236</v>
      </c>
      <c r="AL100">
        <f>[1]High!AK30</f>
        <v>4754.9457111905913</v>
      </c>
      <c r="AM100">
        <f>[1]High!AL30</f>
        <v>4304.7656132306856</v>
      </c>
    </row>
    <row r="101" spans="1:39" x14ac:dyDescent="0.25">
      <c r="A101" t="s">
        <v>34</v>
      </c>
      <c r="B101" t="s">
        <v>80</v>
      </c>
      <c r="C101" t="s">
        <v>23</v>
      </c>
      <c r="D101">
        <f>SUM(D99:D100)</f>
        <v>48470</v>
      </c>
      <c r="E101">
        <f t="shared" ref="E101:AM101" si="18">SUM(E99:E100)</f>
        <v>48280</v>
      </c>
      <c r="F101">
        <f t="shared" si="18"/>
        <v>58580</v>
      </c>
      <c r="G101">
        <f t="shared" si="18"/>
        <v>54550</v>
      </c>
      <c r="H101">
        <f t="shared" si="18"/>
        <v>42550</v>
      </c>
      <c r="I101">
        <f t="shared" si="18"/>
        <v>43850</v>
      </c>
      <c r="J101">
        <f t="shared" si="18"/>
        <v>42140</v>
      </c>
      <c r="K101">
        <f t="shared" si="18"/>
        <v>31430</v>
      </c>
      <c r="L101">
        <f t="shared" si="18"/>
        <v>36870</v>
      </c>
      <c r="M101">
        <f t="shared" si="18"/>
        <v>34340</v>
      </c>
      <c r="N101">
        <f t="shared" si="18"/>
        <v>27348</v>
      </c>
      <c r="O101">
        <f t="shared" si="18"/>
        <v>33334</v>
      </c>
      <c r="P101">
        <f t="shared" si="18"/>
        <v>35096</v>
      </c>
      <c r="Q101">
        <f t="shared" si="18"/>
        <v>38090.215652478451</v>
      </c>
      <c r="R101">
        <f t="shared" si="18"/>
        <v>42887.937410501763</v>
      </c>
      <c r="S101">
        <f t="shared" si="18"/>
        <v>43293.447908037357</v>
      </c>
      <c r="T101">
        <f t="shared" si="18"/>
        <v>48767.311007823693</v>
      </c>
      <c r="U101">
        <f t="shared" si="18"/>
        <v>47793.446935743326</v>
      </c>
      <c r="V101">
        <f t="shared" si="18"/>
        <v>54323.375987329848</v>
      </c>
      <c r="W101">
        <f t="shared" si="18"/>
        <v>56877.476721313942</v>
      </c>
      <c r="X101">
        <f t="shared" si="18"/>
        <v>56825.195582079868</v>
      </c>
      <c r="Y101">
        <f t="shared" si="18"/>
        <v>54288.04055288744</v>
      </c>
      <c r="Z101">
        <f t="shared" si="18"/>
        <v>53401.099144937274</v>
      </c>
      <c r="AA101">
        <f t="shared" si="18"/>
        <v>48723.971663142693</v>
      </c>
      <c r="AB101">
        <f t="shared" si="18"/>
        <v>45372.675290755738</v>
      </c>
      <c r="AC101">
        <f t="shared" si="18"/>
        <v>41120.973192705031</v>
      </c>
      <c r="AD101">
        <f t="shared" si="18"/>
        <v>36790.876843202946</v>
      </c>
      <c r="AE101">
        <f t="shared" si="18"/>
        <v>33365.742175489257</v>
      </c>
      <c r="AF101">
        <f t="shared" si="18"/>
        <v>32618.793377354476</v>
      </c>
      <c r="AG101">
        <f t="shared" si="18"/>
        <v>29868.342189917788</v>
      </c>
      <c r="AH101">
        <f t="shared" si="18"/>
        <v>28903.129826884593</v>
      </c>
      <c r="AI101">
        <f t="shared" si="18"/>
        <v>28959.384332590649</v>
      </c>
      <c r="AJ101">
        <f t="shared" si="18"/>
        <v>28451.560650185813</v>
      </c>
      <c r="AK101">
        <f t="shared" si="18"/>
        <v>24926.628358402646</v>
      </c>
      <c r="AL101">
        <f t="shared" si="18"/>
        <v>22988.03986932947</v>
      </c>
      <c r="AM101">
        <f t="shared" si="18"/>
        <v>20509.356947489636</v>
      </c>
    </row>
    <row r="102" spans="1:39" x14ac:dyDescent="0.25">
      <c r="A102" t="s">
        <v>34</v>
      </c>
      <c r="B102" t="s">
        <v>81</v>
      </c>
      <c r="C102" t="str">
        <f>[1]High!B31</f>
        <v>Conventional Light</v>
      </c>
      <c r="D102">
        <f>[1]High!C31</f>
        <v>2990</v>
      </c>
      <c r="E102">
        <f>[1]High!D31</f>
        <v>2970</v>
      </c>
      <c r="F102">
        <f>[1]High!E31</f>
        <v>2790</v>
      </c>
      <c r="G102">
        <f>[1]High!F31</f>
        <v>2580</v>
      </c>
      <c r="H102">
        <f>[1]High!G31</f>
        <v>2470</v>
      </c>
      <c r="I102">
        <f>[1]High!H31</f>
        <v>2390</v>
      </c>
      <c r="J102">
        <f>[1]High!I31</f>
        <v>1670</v>
      </c>
      <c r="K102">
        <f>[1]High!J31</f>
        <v>2070</v>
      </c>
      <c r="L102">
        <f>[1]High!K31</f>
        <v>1960</v>
      </c>
      <c r="M102">
        <f>[1]High!L31</f>
        <v>1690</v>
      </c>
      <c r="N102">
        <f>[1]High!M31</f>
        <v>1576</v>
      </c>
      <c r="O102">
        <f>[1]High!N31</f>
        <v>1428</v>
      </c>
      <c r="P102">
        <f>[1]High!O31</f>
        <v>54</v>
      </c>
      <c r="Q102">
        <f>[1]High!P31</f>
        <v>100</v>
      </c>
      <c r="R102">
        <f>[1]High!Q31</f>
        <v>1334.2153846153844</v>
      </c>
      <c r="S102">
        <f>[1]High!R31</f>
        <v>1462.5414492753625</v>
      </c>
      <c r="T102">
        <f>[1]High!S31</f>
        <v>1506.845317460904</v>
      </c>
      <c r="U102">
        <f>[1]High!T31</f>
        <v>1487.2827642166747</v>
      </c>
      <c r="V102">
        <f>[1]High!U31</f>
        <v>1467.537803381384</v>
      </c>
      <c r="W102">
        <f>[1]High!V31</f>
        <v>1447.6389857084162</v>
      </c>
      <c r="X102">
        <f>[1]High!W31</f>
        <v>1427.6133130727831</v>
      </c>
      <c r="Y102">
        <f>[1]High!X31</f>
        <v>1393.3960011416343</v>
      </c>
      <c r="Z102">
        <f>[1]High!Y31</f>
        <v>1359.5094142175521</v>
      </c>
      <c r="AA102">
        <f>[1]High!Z31</f>
        <v>1312.3424107759145</v>
      </c>
      <c r="AB102">
        <f>[1]High!AA31</f>
        <v>1259.7120120104219</v>
      </c>
      <c r="AC102">
        <f>[1]High!AB31</f>
        <v>1209.0583290011605</v>
      </c>
      <c r="AD102">
        <f>[1]High!AC31</f>
        <v>1160.3101261616457</v>
      </c>
      <c r="AE102">
        <f>[1]High!AD31</f>
        <v>1113.3986629964006</v>
      </c>
      <c r="AF102">
        <f>[1]High!AE31</f>
        <v>1079.9967031065087</v>
      </c>
      <c r="AG102">
        <f>[1]High!AF31</f>
        <v>1036.2098802522992</v>
      </c>
      <c r="AH102">
        <f>[1]High!AG31</f>
        <v>994.07826973654642</v>
      </c>
      <c r="AI102">
        <f>[1]High!AH31</f>
        <v>964.25592164444981</v>
      </c>
      <c r="AJ102">
        <f>[1]High!AI31</f>
        <v>924.93570795072606</v>
      </c>
      <c r="AK102">
        <f>[1]High!AJ31</f>
        <v>887.10687674914595</v>
      </c>
      <c r="AL102">
        <f>[1]High!AK31</f>
        <v>860.49367044667144</v>
      </c>
      <c r="AM102">
        <f>[1]High!AL31</f>
        <v>825.0511932840293</v>
      </c>
    </row>
    <row r="103" spans="1:39" x14ac:dyDescent="0.25">
      <c r="A103" t="s">
        <v>34</v>
      </c>
      <c r="B103" t="s">
        <v>81</v>
      </c>
      <c r="C103" t="s">
        <v>23</v>
      </c>
      <c r="D103">
        <f>D102</f>
        <v>2990</v>
      </c>
      <c r="E103">
        <f t="shared" ref="E103:AM103" si="19">E102</f>
        <v>2970</v>
      </c>
      <c r="F103">
        <f t="shared" si="19"/>
        <v>2790</v>
      </c>
      <c r="G103">
        <f t="shared" si="19"/>
        <v>2580</v>
      </c>
      <c r="H103">
        <f t="shared" si="19"/>
        <v>2470</v>
      </c>
      <c r="I103">
        <f t="shared" si="19"/>
        <v>2390</v>
      </c>
      <c r="J103">
        <f t="shared" si="19"/>
        <v>1670</v>
      </c>
      <c r="K103">
        <f t="shared" si="19"/>
        <v>2070</v>
      </c>
      <c r="L103">
        <f t="shared" si="19"/>
        <v>1960</v>
      </c>
      <c r="M103">
        <f t="shared" si="19"/>
        <v>1690</v>
      </c>
      <c r="N103">
        <f t="shared" si="19"/>
        <v>1576</v>
      </c>
      <c r="O103">
        <f t="shared" si="19"/>
        <v>1428</v>
      </c>
      <c r="P103">
        <f t="shared" si="19"/>
        <v>54</v>
      </c>
      <c r="Q103">
        <f t="shared" si="19"/>
        <v>100</v>
      </c>
      <c r="R103">
        <f t="shared" si="19"/>
        <v>1334.2153846153844</v>
      </c>
      <c r="S103">
        <f t="shared" si="19"/>
        <v>1462.5414492753625</v>
      </c>
      <c r="T103">
        <f t="shared" si="19"/>
        <v>1506.845317460904</v>
      </c>
      <c r="U103">
        <f t="shared" si="19"/>
        <v>1487.2827642166747</v>
      </c>
      <c r="V103">
        <f t="shared" si="19"/>
        <v>1467.537803381384</v>
      </c>
      <c r="W103">
        <f t="shared" si="19"/>
        <v>1447.6389857084162</v>
      </c>
      <c r="X103">
        <f t="shared" si="19"/>
        <v>1427.6133130727831</v>
      </c>
      <c r="Y103">
        <f t="shared" si="19"/>
        <v>1393.3960011416343</v>
      </c>
      <c r="Z103">
        <f t="shared" si="19"/>
        <v>1359.5094142175521</v>
      </c>
      <c r="AA103">
        <f t="shared" si="19"/>
        <v>1312.3424107759145</v>
      </c>
      <c r="AB103">
        <f t="shared" si="19"/>
        <v>1259.7120120104219</v>
      </c>
      <c r="AC103">
        <f t="shared" si="19"/>
        <v>1209.0583290011605</v>
      </c>
      <c r="AD103">
        <f t="shared" si="19"/>
        <v>1160.3101261616457</v>
      </c>
      <c r="AE103">
        <f t="shared" si="19"/>
        <v>1113.3986629964006</v>
      </c>
      <c r="AF103">
        <f t="shared" si="19"/>
        <v>1079.9967031065087</v>
      </c>
      <c r="AG103">
        <f t="shared" si="19"/>
        <v>1036.2098802522992</v>
      </c>
      <c r="AH103">
        <f t="shared" si="19"/>
        <v>994.07826973654642</v>
      </c>
      <c r="AI103">
        <f t="shared" si="19"/>
        <v>964.25592164444981</v>
      </c>
      <c r="AJ103">
        <f t="shared" si="19"/>
        <v>924.93570795072606</v>
      </c>
      <c r="AK103">
        <f t="shared" si="19"/>
        <v>887.10687674914595</v>
      </c>
      <c r="AL103">
        <f t="shared" si="19"/>
        <v>860.49367044667144</v>
      </c>
      <c r="AM103">
        <f t="shared" si="19"/>
        <v>825.0511932840293</v>
      </c>
    </row>
    <row r="104" spans="1:39" x14ac:dyDescent="0.25">
      <c r="A104" t="s">
        <v>34</v>
      </c>
      <c r="B104" t="s">
        <v>82</v>
      </c>
      <c r="C104" t="s">
        <v>1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</row>
    <row r="105" spans="1:39" x14ac:dyDescent="0.25">
      <c r="A105" t="s">
        <v>34</v>
      </c>
      <c r="B105" t="s">
        <v>82</v>
      </c>
      <c r="C105" t="s">
        <v>2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</row>
    <row r="106" spans="1:39" x14ac:dyDescent="0.25">
      <c r="A106" t="s">
        <v>34</v>
      </c>
      <c r="B106" t="s">
        <v>82</v>
      </c>
      <c r="C106" t="s">
        <v>3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</row>
    <row r="107" spans="1:39" x14ac:dyDescent="0.25">
      <c r="A107" t="s">
        <v>34</v>
      </c>
      <c r="B107" t="s">
        <v>82</v>
      </c>
      <c r="C107" t="s">
        <v>4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</row>
    <row r="108" spans="1:39" x14ac:dyDescent="0.25">
      <c r="A108" t="s">
        <v>34</v>
      </c>
      <c r="B108" t="s">
        <v>82</v>
      </c>
      <c r="C108" t="s">
        <v>5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</row>
    <row r="109" spans="1:39" x14ac:dyDescent="0.25">
      <c r="A109" t="s">
        <v>34</v>
      </c>
      <c r="B109" t="s">
        <v>82</v>
      </c>
      <c r="C109" t="s">
        <v>6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</row>
    <row r="110" spans="1:39" x14ac:dyDescent="0.25">
      <c r="A110" t="s">
        <v>34</v>
      </c>
      <c r="B110" t="s">
        <v>82</v>
      </c>
      <c r="C110" t="s">
        <v>23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</row>
    <row r="111" spans="1:39" x14ac:dyDescent="0.25">
      <c r="A111" t="s">
        <v>34</v>
      </c>
      <c r="B111" t="s">
        <v>83</v>
      </c>
      <c r="C111" t="s">
        <v>1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</row>
    <row r="112" spans="1:39" x14ac:dyDescent="0.25">
      <c r="A112" t="s">
        <v>34</v>
      </c>
      <c r="B112" t="s">
        <v>83</v>
      </c>
      <c r="C112" t="s">
        <v>2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</row>
    <row r="113" spans="1:39" x14ac:dyDescent="0.25">
      <c r="A113" t="s">
        <v>34</v>
      </c>
      <c r="B113" t="s">
        <v>83</v>
      </c>
      <c r="C113" t="s">
        <v>3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</row>
    <row r="114" spans="1:39" x14ac:dyDescent="0.25">
      <c r="A114" t="s">
        <v>34</v>
      </c>
      <c r="B114" t="s">
        <v>83</v>
      </c>
      <c r="C114" t="s">
        <v>4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</row>
    <row r="115" spans="1:39" x14ac:dyDescent="0.25">
      <c r="A115" t="s">
        <v>34</v>
      </c>
      <c r="B115" t="s">
        <v>83</v>
      </c>
      <c r="C115" t="s">
        <v>5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</row>
    <row r="116" spans="1:39" x14ac:dyDescent="0.25">
      <c r="A116" t="s">
        <v>34</v>
      </c>
      <c r="B116" t="s">
        <v>83</v>
      </c>
      <c r="C116" t="s">
        <v>6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</row>
    <row r="117" spans="1:39" x14ac:dyDescent="0.25">
      <c r="A117" t="s">
        <v>34</v>
      </c>
      <c r="B117" t="s">
        <v>83</v>
      </c>
      <c r="C117" t="s">
        <v>23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</row>
    <row r="118" spans="1:39" x14ac:dyDescent="0.25">
      <c r="A118" t="s">
        <v>34</v>
      </c>
      <c r="B118" t="s">
        <v>84</v>
      </c>
      <c r="C118" t="s">
        <v>1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</row>
    <row r="119" spans="1:39" x14ac:dyDescent="0.25">
      <c r="A119" t="s">
        <v>34</v>
      </c>
      <c r="B119" t="s">
        <v>84</v>
      </c>
      <c r="C119" t="s">
        <v>2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</row>
    <row r="120" spans="1:39" x14ac:dyDescent="0.25">
      <c r="A120" t="s">
        <v>34</v>
      </c>
      <c r="B120" t="s">
        <v>84</v>
      </c>
      <c r="C120" t="s">
        <v>3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</row>
    <row r="121" spans="1:39" x14ac:dyDescent="0.25">
      <c r="A121" t="s">
        <v>34</v>
      </c>
      <c r="B121" t="s">
        <v>84</v>
      </c>
      <c r="C121" t="s">
        <v>4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</row>
    <row r="122" spans="1:39" x14ac:dyDescent="0.25">
      <c r="A122" t="s">
        <v>34</v>
      </c>
      <c r="B122" t="s">
        <v>84</v>
      </c>
      <c r="C122" t="s">
        <v>5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</row>
    <row r="123" spans="1:39" x14ac:dyDescent="0.25">
      <c r="A123" t="s">
        <v>34</v>
      </c>
      <c r="B123" t="s">
        <v>84</v>
      </c>
      <c r="C123" t="s">
        <v>6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</row>
    <row r="124" spans="1:39" x14ac:dyDescent="0.25">
      <c r="A124" t="s">
        <v>34</v>
      </c>
      <c r="B124" t="s">
        <v>84</v>
      </c>
      <c r="C124" t="s">
        <v>23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</row>
    <row r="125" spans="1:39" x14ac:dyDescent="0.25">
      <c r="A125" t="s">
        <v>34</v>
      </c>
      <c r="B125" t="s">
        <v>85</v>
      </c>
      <c r="C125" t="s">
        <v>1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</row>
    <row r="126" spans="1:39" x14ac:dyDescent="0.25">
      <c r="A126" t="s">
        <v>34</v>
      </c>
      <c r="B126" t="s">
        <v>85</v>
      </c>
      <c r="C126" t="s">
        <v>2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</row>
    <row r="127" spans="1:39" x14ac:dyDescent="0.25">
      <c r="A127" t="s">
        <v>34</v>
      </c>
      <c r="B127" t="s">
        <v>85</v>
      </c>
      <c r="C127" t="s">
        <v>3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</row>
    <row r="128" spans="1:39" x14ac:dyDescent="0.25">
      <c r="A128" t="s">
        <v>34</v>
      </c>
      <c r="B128" t="s">
        <v>85</v>
      </c>
      <c r="C128" t="s">
        <v>4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</row>
    <row r="129" spans="1:39" x14ac:dyDescent="0.25">
      <c r="A129" t="s">
        <v>34</v>
      </c>
      <c r="B129" t="s">
        <v>85</v>
      </c>
      <c r="C129" t="s">
        <v>5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</row>
    <row r="130" spans="1:39" x14ac:dyDescent="0.25">
      <c r="A130" t="s">
        <v>34</v>
      </c>
      <c r="B130" t="s">
        <v>85</v>
      </c>
      <c r="C130" t="s">
        <v>6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</row>
    <row r="131" spans="1:39" x14ac:dyDescent="0.25">
      <c r="A131" t="s">
        <v>34</v>
      </c>
      <c r="B131" t="s">
        <v>85</v>
      </c>
      <c r="C131" t="s">
        <v>23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</row>
    <row r="132" spans="1:39" x14ac:dyDescent="0.25">
      <c r="A132" t="s">
        <v>35</v>
      </c>
      <c r="B132" t="s">
        <v>0</v>
      </c>
      <c r="C132" t="str">
        <f>[1]Low!B2</f>
        <v>Conventional Light</v>
      </c>
      <c r="D132">
        <f>[1]Low!C2</f>
        <v>120393.94465812801</v>
      </c>
      <c r="E132">
        <f>[1]Low!D2</f>
        <v>119335.10154082894</v>
      </c>
      <c r="F132">
        <f>[1]Low!E2</f>
        <v>128495.40715258461</v>
      </c>
      <c r="G132">
        <f>[1]Low!F2</f>
        <v>126621.04200308448</v>
      </c>
      <c r="H132">
        <f>[1]Low!G2</f>
        <v>113421.70271813478</v>
      </c>
      <c r="I132">
        <f>[1]Low!H2</f>
        <v>115275.72885841444</v>
      </c>
      <c r="J132">
        <f>[1]Low!I2</f>
        <v>119783.42174049366</v>
      </c>
      <c r="K132">
        <f>[1]Low!J2</f>
        <v>121609.88327665607</v>
      </c>
      <c r="L132">
        <f>[1]Low!K2</f>
        <v>130779.05255603722</v>
      </c>
      <c r="M132">
        <f>[1]Low!L2</f>
        <v>130908.71006835497</v>
      </c>
      <c r="N132">
        <f>[1]Low!M2</f>
        <v>114675.48064994118</v>
      </c>
      <c r="O132">
        <f>[1]Low!N2</f>
        <v>107569.05421700577</v>
      </c>
      <c r="P132">
        <f>[1]Low!O2</f>
        <v>106408.59598512293</v>
      </c>
      <c r="Q132">
        <f>[1]Low!P2</f>
        <v>101212.2436954661</v>
      </c>
      <c r="R132">
        <f>[1]Low!Q2</f>
        <v>98711.240095526664</v>
      </c>
      <c r="S132">
        <f>[1]Low!R2</f>
        <v>86963.276578457706</v>
      </c>
      <c r="T132">
        <f>[1]Low!S2</f>
        <v>83586.071739343359</v>
      </c>
      <c r="U132">
        <f>[1]Low!T2</f>
        <v>78075.734535222437</v>
      </c>
      <c r="V132">
        <f>[1]Low!U2</f>
        <v>79925.73905560105</v>
      </c>
      <c r="W132">
        <f>[1]Low!V2</f>
        <v>77090.303706477061</v>
      </c>
      <c r="X132">
        <f>[1]Low!W2</f>
        <v>73770.200019659213</v>
      </c>
      <c r="Y132">
        <f>[1]Low!X2</f>
        <v>65734.014130782656</v>
      </c>
      <c r="Z132">
        <f>[1]Low!Y2</f>
        <v>62532.074910738957</v>
      </c>
      <c r="AA132">
        <f>[1]Low!Z2</f>
        <v>59461.328756797913</v>
      </c>
      <c r="AB132">
        <f>[1]Low!AA2</f>
        <v>57624.970230808918</v>
      </c>
      <c r="AC132">
        <f>[1]Low!AB2</f>
        <v>54243.367288252979</v>
      </c>
      <c r="AD132">
        <f>[1]Low!AC2</f>
        <v>50894.570998147668</v>
      </c>
      <c r="AE132">
        <f>[1]Low!AD2</f>
        <v>45382.753621864373</v>
      </c>
      <c r="AF132">
        <f>[1]Low!AE2</f>
        <v>43766.355681063498</v>
      </c>
      <c r="AG132">
        <f>[1]Low!AF2</f>
        <v>42387.821748536575</v>
      </c>
      <c r="AH132">
        <f>[1]Low!AG2</f>
        <v>41199.249329417871</v>
      </c>
      <c r="AI132">
        <f>[1]Low!AH2</f>
        <v>39917.484388230005</v>
      </c>
      <c r="AJ132">
        <f>[1]Low!AI2</f>
        <v>38625.371495566702</v>
      </c>
      <c r="AK132">
        <f>[1]Low!AJ2</f>
        <v>37153.360507142803</v>
      </c>
      <c r="AL132">
        <f>[1]Low!AK2</f>
        <v>35977.353672336467</v>
      </c>
      <c r="AM132">
        <f>[1]Low!AL2</f>
        <v>34686.064343202648</v>
      </c>
    </row>
    <row r="133" spans="1:39" x14ac:dyDescent="0.25">
      <c r="A133" t="s">
        <v>35</v>
      </c>
      <c r="B133" t="s">
        <v>0</v>
      </c>
      <c r="C133" t="str">
        <f>[1]Low!B3</f>
        <v>Conventional Heavy</v>
      </c>
      <c r="D133">
        <f>[1]Low!C3</f>
        <v>95714.371685317979</v>
      </c>
      <c r="E133">
        <f>[1]Low!D3</f>
        <v>94533.324805817247</v>
      </c>
      <c r="F133">
        <f>[1]Low!E3</f>
        <v>92093.948245520878</v>
      </c>
      <c r="G133">
        <f>[1]Low!F3</f>
        <v>87985.541330248874</v>
      </c>
      <c r="H133">
        <f>[1]Low!G3</f>
        <v>80184.157122495002</v>
      </c>
      <c r="I133">
        <f>[1]Low!H3</f>
        <v>79544.775663474953</v>
      </c>
      <c r="J133">
        <f>[1]Low!I3</f>
        <v>79770.543291508366</v>
      </c>
      <c r="K133">
        <f>[1]Low!J3</f>
        <v>86935.674939329067</v>
      </c>
      <c r="L133">
        <f>[1]Low!K3</f>
        <v>89225.079665544938</v>
      </c>
      <c r="M133">
        <f>[1]Low!L3</f>
        <v>98750.054845239487</v>
      </c>
      <c r="N133">
        <f>[1]Low!M3</f>
        <v>86709.106279142259</v>
      </c>
      <c r="O133">
        <f>[1]Low!N3</f>
        <v>81282.378465617643</v>
      </c>
      <c r="P133">
        <f>[1]Low!O3</f>
        <v>85919.878422883514</v>
      </c>
      <c r="Q133">
        <f>[1]Low!P3</f>
        <v>96132.676737281741</v>
      </c>
      <c r="R133">
        <f>[1]Low!Q3</f>
        <v>100285.43759145023</v>
      </c>
      <c r="S133">
        <f>[1]Low!R3</f>
        <v>102991.59483652886</v>
      </c>
      <c r="T133">
        <f>[1]Low!S3</f>
        <v>103252.93279015934</v>
      </c>
      <c r="U133">
        <f>[1]Low!T3</f>
        <v>100633.79105958068</v>
      </c>
      <c r="V133">
        <f>[1]Low!U3</f>
        <v>97677.069125809838</v>
      </c>
      <c r="W133">
        <f>[1]Low!V3</f>
        <v>95578.49730673086</v>
      </c>
      <c r="X133">
        <f>[1]Low!W3</f>
        <v>92590.12213591265</v>
      </c>
      <c r="Y133">
        <f>[1]Low!X3</f>
        <v>88042.867037182994</v>
      </c>
      <c r="Z133">
        <f>[1]Low!Y3</f>
        <v>83833.978280474999</v>
      </c>
      <c r="AA133">
        <f>[1]Low!Z3</f>
        <v>79458.947809711302</v>
      </c>
      <c r="AB133">
        <f>[1]Low!AA3</f>
        <v>75296.340432256999</v>
      </c>
      <c r="AC133">
        <f>[1]Low!AB3</f>
        <v>71669.458402966848</v>
      </c>
      <c r="AD133">
        <f>[1]Low!AC3</f>
        <v>68651.458556008176</v>
      </c>
      <c r="AE133">
        <f>[1]Low!AD3</f>
        <v>65676.372037970039</v>
      </c>
      <c r="AF133">
        <f>[1]Low!AE3</f>
        <v>62910.992951884051</v>
      </c>
      <c r="AG133">
        <f>[1]Low!AF3</f>
        <v>60362.741067094517</v>
      </c>
      <c r="AH133">
        <f>[1]Low!AG3</f>
        <v>58263.069099559834</v>
      </c>
      <c r="AI133">
        <f>[1]Low!AH3</f>
        <v>56033.37622071962</v>
      </c>
      <c r="AJ133">
        <f>[1]Low!AI3</f>
        <v>54667.04610335621</v>
      </c>
      <c r="AK133">
        <f>[1]Low!AJ3</f>
        <v>53083.953379305392</v>
      </c>
      <c r="AL133">
        <f>[1]Low!AK3</f>
        <v>51459.987239663067</v>
      </c>
      <c r="AM133">
        <f>[1]Low!AL3</f>
        <v>49930.383873494655</v>
      </c>
    </row>
    <row r="134" spans="1:39" x14ac:dyDescent="0.25">
      <c r="A134" t="s">
        <v>35</v>
      </c>
      <c r="B134" t="s">
        <v>0</v>
      </c>
      <c r="C134" t="str">
        <f>[1]Low!B4</f>
        <v>C5+</v>
      </c>
      <c r="D134">
        <f>[1]Low!C4</f>
        <v>24140</v>
      </c>
      <c r="E134">
        <f>[1]Low!D4</f>
        <v>24810</v>
      </c>
      <c r="F134">
        <f>[1]Low!E4</f>
        <v>24540</v>
      </c>
      <c r="G134">
        <f>[1]Low!F4</f>
        <v>23110</v>
      </c>
      <c r="H134">
        <f>[1]Low!G4</f>
        <v>21400</v>
      </c>
      <c r="I134">
        <f>[1]Low!H4</f>
        <v>20920</v>
      </c>
      <c r="J134">
        <f>[1]Low!I4</f>
        <v>20460</v>
      </c>
      <c r="K134">
        <f>[1]Low!J4</f>
        <v>20000</v>
      </c>
      <c r="L134">
        <f>[1]Low!K4</f>
        <v>21050</v>
      </c>
      <c r="M134">
        <f>[1]Low!L4</f>
        <v>24800</v>
      </c>
      <c r="N134">
        <f>[1]Low!M4</f>
        <v>30699.223013698629</v>
      </c>
      <c r="O134">
        <f>[1]Low!N4</f>
        <v>32409.198894809721</v>
      </c>
      <c r="P134">
        <f>[1]Low!O4</f>
        <v>39484.485890410957</v>
      </c>
      <c r="Q134">
        <f>[1]Low!P4</f>
        <v>39674.071419852662</v>
      </c>
      <c r="R134">
        <f>[1]Low!Q4</f>
        <v>37709.156677084116</v>
      </c>
      <c r="S134">
        <f>[1]Low!R4</f>
        <v>35812.5345440901</v>
      </c>
      <c r="T134">
        <f>[1]Low!S4</f>
        <v>34212.063916353742</v>
      </c>
      <c r="U134">
        <f>[1]Low!T4</f>
        <v>32674.420549228282</v>
      </c>
      <c r="V134">
        <f>[1]Low!U4</f>
        <v>31483.904280938743</v>
      </c>
      <c r="W134">
        <f>[1]Low!V4</f>
        <v>30512.587485526969</v>
      </c>
      <c r="X134">
        <f>[1]Low!W4</f>
        <v>29752.490494472899</v>
      </c>
      <c r="Y134">
        <f>[1]Low!X4</f>
        <v>29081.199846868745</v>
      </c>
      <c r="Z134">
        <f>[1]Low!Y4</f>
        <v>28398.967084474902</v>
      </c>
      <c r="AA134">
        <f>[1]Low!Z4</f>
        <v>27747.724447652916</v>
      </c>
      <c r="AB134">
        <f>[1]Low!AA4</f>
        <v>27147.042873759925</v>
      </c>
      <c r="AC134">
        <f>[1]Low!AB4</f>
        <v>26592.971926866667</v>
      </c>
      <c r="AD134">
        <f>[1]Low!AC4</f>
        <v>26101.526226733309</v>
      </c>
      <c r="AE134">
        <f>[1]Low!AD4</f>
        <v>25659.529010857888</v>
      </c>
      <c r="AF134">
        <f>[1]Low!AE4</f>
        <v>25234.002166637874</v>
      </c>
      <c r="AG134">
        <f>[1]Low!AF4</f>
        <v>24862.791009417146</v>
      </c>
      <c r="AH134">
        <f>[1]Low!AG4</f>
        <v>24525.905345274776</v>
      </c>
      <c r="AI134">
        <f>[1]Low!AH4</f>
        <v>24244.97138209856</v>
      </c>
      <c r="AJ134">
        <f>[1]Low!AI4</f>
        <v>23988.926039193488</v>
      </c>
      <c r="AK134">
        <f>[1]Low!AJ4</f>
        <v>23684.258745529882</v>
      </c>
      <c r="AL134">
        <f>[1]Low!AK4</f>
        <v>23402.313784090056</v>
      </c>
      <c r="AM134">
        <f>[1]Low!AL4</f>
        <v>23201.558808511061</v>
      </c>
    </row>
    <row r="135" spans="1:39" x14ac:dyDescent="0.25">
      <c r="A135" t="s">
        <v>35</v>
      </c>
      <c r="B135" t="s">
        <v>0</v>
      </c>
      <c r="C135" t="str">
        <f>[1]Low!B5</f>
        <v>Field Condensate</v>
      </c>
      <c r="D135">
        <f>[1]Low!C5</f>
        <v>2090</v>
      </c>
      <c r="E135">
        <f>[1]Low!D5</f>
        <v>2350</v>
      </c>
      <c r="F135">
        <f>[1]Low!E5</f>
        <v>2750</v>
      </c>
      <c r="G135">
        <f>[1]Low!F5</f>
        <v>3130</v>
      </c>
      <c r="H135">
        <f>[1]Low!G5</f>
        <v>2900</v>
      </c>
      <c r="I135">
        <f>[1]Low!H5</f>
        <v>2710</v>
      </c>
      <c r="J135">
        <f>[1]Low!I5</f>
        <v>2820</v>
      </c>
      <c r="K135">
        <f>[1]Low!J5</f>
        <v>2900</v>
      </c>
      <c r="L135">
        <f>[1]Low!K5</f>
        <v>3550</v>
      </c>
      <c r="M135">
        <f>[1]Low!L5</f>
        <v>5210</v>
      </c>
      <c r="N135">
        <f>[1]Low!M5</f>
        <v>5570</v>
      </c>
      <c r="O135">
        <f>[1]Low!N5</f>
        <v>10168.111506849318</v>
      </c>
      <c r="P135">
        <f>[1]Low!O5</f>
        <v>12126.514109589039</v>
      </c>
      <c r="Q135">
        <f>[1]Low!P5</f>
        <v>12370.496179843112</v>
      </c>
      <c r="R135">
        <f>[1]Low!Q5</f>
        <v>11898.832950844162</v>
      </c>
      <c r="S135">
        <f>[1]Low!R5</f>
        <v>11425.812748769778</v>
      </c>
      <c r="T135">
        <f>[1]Low!S5</f>
        <v>11046.078176455412</v>
      </c>
      <c r="U135">
        <f>[1]Low!T5</f>
        <v>10727.537251085101</v>
      </c>
      <c r="V135">
        <f>[1]Low!U5</f>
        <v>10459.878982069014</v>
      </c>
      <c r="W135">
        <f>[1]Low!V5</f>
        <v>10258.220614268397</v>
      </c>
      <c r="X135">
        <f>[1]Low!W5</f>
        <v>10122.062980071119</v>
      </c>
      <c r="Y135">
        <f>[1]Low!X5</f>
        <v>10011.793592546333</v>
      </c>
      <c r="Z135">
        <f>[1]Low!Y5</f>
        <v>9893.1766872302505</v>
      </c>
      <c r="AA135">
        <f>[1]Low!Z5</f>
        <v>9780.6382270697904</v>
      </c>
      <c r="AB135">
        <f>[1]Low!AA5</f>
        <v>9681.504280066747</v>
      </c>
      <c r="AC135">
        <f>[1]Low!AB5</f>
        <v>9595.2327787361537</v>
      </c>
      <c r="AD135">
        <f>[1]Low!AC5</f>
        <v>9527.5072359025726</v>
      </c>
      <c r="AE135">
        <f>[1]Low!AD5</f>
        <v>9475.1720235586763</v>
      </c>
      <c r="AF135">
        <f>[1]Low!AE5</f>
        <v>9425.9459892908726</v>
      </c>
      <c r="AG135">
        <f>[1]Low!AF5</f>
        <v>9394.2229483724041</v>
      </c>
      <c r="AH135">
        <f>[1]Low!AG5</f>
        <v>9373.1516739411527</v>
      </c>
      <c r="AI135">
        <f>[1]Low!AH5</f>
        <v>9370.8365341960634</v>
      </c>
      <c r="AJ135">
        <f>[1]Low!AI5</f>
        <v>9377.4193972761441</v>
      </c>
      <c r="AK135">
        <f>[1]Low!AJ5</f>
        <v>9363.1257514838162</v>
      </c>
      <c r="AL135">
        <f>[1]Low!AK5</f>
        <v>9355.5571095705454</v>
      </c>
      <c r="AM135">
        <f>[1]Low!AL5</f>
        <v>9378.9375843374692</v>
      </c>
    </row>
    <row r="136" spans="1:39" x14ac:dyDescent="0.25">
      <c r="A136" t="s">
        <v>35</v>
      </c>
      <c r="B136" t="s">
        <v>0</v>
      </c>
      <c r="C136" t="str">
        <f>[1]Low!B6</f>
        <v xml:space="preserve">Mined Bitumen </v>
      </c>
      <c r="D136">
        <f>[1]Low!C6</f>
        <v>99600</v>
      </c>
      <c r="E136">
        <f>[1]Low!D6</f>
        <v>120900</v>
      </c>
      <c r="F136">
        <f>[1]Low!E6</f>
        <v>124700</v>
      </c>
      <c r="G136">
        <f>[1]Low!F6</f>
        <v>114700</v>
      </c>
      <c r="H136">
        <f>[1]Low!G6</f>
        <v>131200</v>
      </c>
      <c r="I136">
        <f>[1]Low!H6</f>
        <v>136242.99205479454</v>
      </c>
      <c r="J136">
        <f>[1]Low!I6</f>
        <v>141899.05890410958</v>
      </c>
      <c r="K136">
        <f>[1]Low!J6</f>
        <v>148216.19643835619</v>
      </c>
      <c r="L136">
        <f>[1]Low!K6</f>
        <v>155178.08602739728</v>
      </c>
      <c r="M136">
        <f>[1]Low!L6</f>
        <v>152653.42301369866</v>
      </c>
      <c r="N136">
        <f>[1]Low!M6</f>
        <v>184650.64986301371</v>
      </c>
      <c r="O136">
        <f>[1]Low!N6</f>
        <v>182833.43972602743</v>
      </c>
      <c r="P136">
        <f>[1]Low!O6</f>
        <v>202815.78219178083</v>
      </c>
      <c r="Q136">
        <f>[1]Low!P6</f>
        <v>230827.34128777066</v>
      </c>
      <c r="R136">
        <f>[1]Low!Q6</f>
        <v>252610.17220383271</v>
      </c>
      <c r="S136">
        <f>[1]Low!R6</f>
        <v>255214.62797112894</v>
      </c>
      <c r="T136">
        <f>[1]Low!S6</f>
        <v>255219.26784659942</v>
      </c>
      <c r="U136">
        <f>[1]Low!T6</f>
        <v>255218.37891407206</v>
      </c>
      <c r="V136">
        <f>[1]Low!U6</f>
        <v>255218.34310268139</v>
      </c>
      <c r="W136">
        <f>[1]Low!V6</f>
        <v>255218.3540049924</v>
      </c>
      <c r="X136">
        <f>[1]Low!W6</f>
        <v>255218.35460781632</v>
      </c>
      <c r="Y136">
        <f>[1]Low!X6</f>
        <v>254754.52785425811</v>
      </c>
      <c r="Z136">
        <f>[1]Low!Y6</f>
        <v>253905.33573839106</v>
      </c>
      <c r="AA136">
        <f>[1]Low!Z6</f>
        <v>253066.2780788033</v>
      </c>
      <c r="AB136">
        <f>[1]Low!AA6</f>
        <v>252237.23391600058</v>
      </c>
      <c r="AC136">
        <f>[1]Low!AB6</f>
        <v>251418.08374805184</v>
      </c>
      <c r="AD136">
        <f>[1]Low!AC6</f>
        <v>250099.36226325965</v>
      </c>
      <c r="AE136">
        <f>[1]Low!AD6</f>
        <v>248367.11421334581</v>
      </c>
      <c r="AF136">
        <f>[1]Low!AE6</f>
        <v>246655.53919189793</v>
      </c>
      <c r="AG136">
        <f>[1]Low!AF6</f>
        <v>244964.39048245654</v>
      </c>
      <c r="AH136">
        <f>[1]Low!AG6</f>
        <v>243293.4243129307</v>
      </c>
      <c r="AI136">
        <f>[1]Low!AH6</f>
        <v>241642.39982045861</v>
      </c>
      <c r="AJ136">
        <f>[1]Low!AI6</f>
        <v>240011.07901668912</v>
      </c>
      <c r="AK136">
        <f>[1]Low!AJ6</f>
        <v>238399.22675347622</v>
      </c>
      <c r="AL136">
        <f>[1]Low!AK6</f>
        <v>236806.61068898335</v>
      </c>
      <c r="AM136">
        <f>[1]Low!AL6</f>
        <v>235233.00125419264</v>
      </c>
    </row>
    <row r="137" spans="1:39" x14ac:dyDescent="0.25">
      <c r="A137" t="s">
        <v>35</v>
      </c>
      <c r="B137" t="s">
        <v>0</v>
      </c>
      <c r="C137" t="str">
        <f>[1]Low!B7</f>
        <v xml:space="preserve">In Situ Bitumen </v>
      </c>
      <c r="D137">
        <f>[1]Low!C7</f>
        <v>69700</v>
      </c>
      <c r="E137">
        <f>[1]Low!D7</f>
        <v>78500</v>
      </c>
      <c r="F137">
        <f>[1]Low!E7</f>
        <v>85200</v>
      </c>
      <c r="G137">
        <f>[1]Low!F7</f>
        <v>92700</v>
      </c>
      <c r="H137">
        <f>[1]Low!G7</f>
        <v>105500</v>
      </c>
      <c r="I137">
        <f>[1]Low!H7</f>
        <v>119629.14712328766</v>
      </c>
      <c r="J137">
        <f>[1]Low!I7</f>
        <v>134719.58268493149</v>
      </c>
      <c r="K137">
        <f>[1]Low!J7</f>
        <v>157385.20219178079</v>
      </c>
      <c r="L137">
        <f>[1]Low!K7</f>
        <v>175859.07172602741</v>
      </c>
      <c r="M137">
        <f>[1]Low!L7</f>
        <v>200748.64076712329</v>
      </c>
      <c r="N137">
        <f>[1]Low!M7</f>
        <v>216516.94391559192</v>
      </c>
      <c r="O137">
        <f>[1]Low!N7</f>
        <v>222306.83333061248</v>
      </c>
      <c r="P137">
        <f>[1]Low!O7</f>
        <v>245914.92329379948</v>
      </c>
      <c r="Q137">
        <f>[1]Low!P7</f>
        <v>262105.56735817689</v>
      </c>
      <c r="R137">
        <f>[1]Low!Q7</f>
        <v>266200.64083449525</v>
      </c>
      <c r="S137">
        <f>[1]Low!R7</f>
        <v>272369.90019026212</v>
      </c>
      <c r="T137">
        <f>[1]Low!S7</f>
        <v>277891.72130446549</v>
      </c>
      <c r="U137">
        <f>[1]Low!T7</f>
        <v>277332.06605173368</v>
      </c>
      <c r="V137">
        <f>[1]Low!U7</f>
        <v>276737.26567004743</v>
      </c>
      <c r="W137">
        <f>[1]Low!V7</f>
        <v>275953.35921430634</v>
      </c>
      <c r="X137">
        <f>[1]Low!W7</f>
        <v>274494.12952158827</v>
      </c>
      <c r="Y137">
        <f>[1]Low!X7</f>
        <v>272761.42658576596</v>
      </c>
      <c r="Z137">
        <f>[1]Low!Y7</f>
        <v>271172.25668488018</v>
      </c>
      <c r="AA137">
        <f>[1]Low!Z7</f>
        <v>269672.16622057935</v>
      </c>
      <c r="AB137">
        <f>[1]Low!AA7</f>
        <v>268254.44145089231</v>
      </c>
      <c r="AC137">
        <f>[1]Low!AB7</f>
        <v>265307.69298158528</v>
      </c>
      <c r="AD137">
        <f>[1]Low!AC7</f>
        <v>261225.38814195938</v>
      </c>
      <c r="AE137">
        <f>[1]Low!AD7</f>
        <v>257323.68785441664</v>
      </c>
      <c r="AF137">
        <f>[1]Low!AE7</f>
        <v>253551.04782070307</v>
      </c>
      <c r="AG137">
        <f>[1]Low!AF7</f>
        <v>249897.80777760805</v>
      </c>
      <c r="AH137">
        <f>[1]Low!AG7</f>
        <v>244007.25400471312</v>
      </c>
      <c r="AI137">
        <f>[1]Low!AH7</f>
        <v>236537.13605194734</v>
      </c>
      <c r="AJ137">
        <f>[1]Low!AI7</f>
        <v>229494.98215298148</v>
      </c>
      <c r="AK137">
        <f>[1]Low!AJ7</f>
        <v>221539.68759833139</v>
      </c>
      <c r="AL137">
        <f>[1]Low!AK7</f>
        <v>212960.40922699627</v>
      </c>
      <c r="AM137">
        <f>[1]Low!AL7</f>
        <v>204900.99519514298</v>
      </c>
    </row>
    <row r="138" spans="1:39" x14ac:dyDescent="0.25">
      <c r="A138" t="s">
        <v>35</v>
      </c>
      <c r="B138" t="s">
        <v>0</v>
      </c>
      <c r="C138" t="s">
        <v>23</v>
      </c>
      <c r="D138">
        <f>SUM(D132:D137)</f>
        <v>411638.31634344597</v>
      </c>
      <c r="E138">
        <f t="shared" ref="E138:AM138" si="20">SUM(E132:E137)</f>
        <v>440428.42634664616</v>
      </c>
      <c r="F138">
        <f t="shared" si="20"/>
        <v>457779.35539810546</v>
      </c>
      <c r="G138">
        <f t="shared" si="20"/>
        <v>448246.58333333337</v>
      </c>
      <c r="H138">
        <f t="shared" si="20"/>
        <v>454605.8598406298</v>
      </c>
      <c r="I138">
        <f t="shared" si="20"/>
        <v>474322.64369997161</v>
      </c>
      <c r="J138">
        <f t="shared" si="20"/>
        <v>499452.60662104306</v>
      </c>
      <c r="K138">
        <f t="shared" si="20"/>
        <v>537046.95684612216</v>
      </c>
      <c r="L138">
        <f t="shared" si="20"/>
        <v>575641.28997500683</v>
      </c>
      <c r="M138">
        <f t="shared" si="20"/>
        <v>613070.82869441644</v>
      </c>
      <c r="N138">
        <f t="shared" si="20"/>
        <v>638821.40372138773</v>
      </c>
      <c r="O138">
        <f t="shared" si="20"/>
        <v>636569.01614092244</v>
      </c>
      <c r="P138">
        <f t="shared" si="20"/>
        <v>692670.17989358678</v>
      </c>
      <c r="Q138">
        <f t="shared" si="20"/>
        <v>742322.39667839115</v>
      </c>
      <c r="R138">
        <f t="shared" si="20"/>
        <v>767415.48035323317</v>
      </c>
      <c r="S138">
        <f t="shared" si="20"/>
        <v>764777.74686923751</v>
      </c>
      <c r="T138">
        <f t="shared" si="20"/>
        <v>765208.13577337679</v>
      </c>
      <c r="U138">
        <f t="shared" si="20"/>
        <v>754661.92836092226</v>
      </c>
      <c r="V138">
        <f t="shared" si="20"/>
        <v>751502.20021714747</v>
      </c>
      <c r="W138">
        <f t="shared" si="20"/>
        <v>744611.32233230211</v>
      </c>
      <c r="X138">
        <f t="shared" si="20"/>
        <v>735947.35975952051</v>
      </c>
      <c r="Y138">
        <f t="shared" si="20"/>
        <v>720385.82904740481</v>
      </c>
      <c r="Z138">
        <f t="shared" si="20"/>
        <v>709735.78938619024</v>
      </c>
      <c r="AA138">
        <f t="shared" si="20"/>
        <v>699187.08354061458</v>
      </c>
      <c r="AB138">
        <f t="shared" si="20"/>
        <v>690241.5331837855</v>
      </c>
      <c r="AC138">
        <f t="shared" si="20"/>
        <v>678826.80712645978</v>
      </c>
      <c r="AD138">
        <f t="shared" si="20"/>
        <v>666499.81342201075</v>
      </c>
      <c r="AE138">
        <f t="shared" si="20"/>
        <v>651884.6287620134</v>
      </c>
      <c r="AF138">
        <f t="shared" si="20"/>
        <v>641543.88380147726</v>
      </c>
      <c r="AG138">
        <f t="shared" si="20"/>
        <v>631869.77503348526</v>
      </c>
      <c r="AH138">
        <f t="shared" si="20"/>
        <v>620662.05376583745</v>
      </c>
      <c r="AI138">
        <f t="shared" si="20"/>
        <v>607746.2043976502</v>
      </c>
      <c r="AJ138">
        <f t="shared" si="20"/>
        <v>596164.82420506317</v>
      </c>
      <c r="AK138">
        <f t="shared" si="20"/>
        <v>583223.61273526947</v>
      </c>
      <c r="AL138">
        <f t="shared" si="20"/>
        <v>569962.23172163975</v>
      </c>
      <c r="AM138">
        <f t="shared" si="20"/>
        <v>557330.94105888146</v>
      </c>
    </row>
    <row r="139" spans="1:39" x14ac:dyDescent="0.25">
      <c r="A139" t="s">
        <v>35</v>
      </c>
      <c r="B139" t="s">
        <v>73</v>
      </c>
      <c r="C139" t="str">
        <f>[1]Low!B10</f>
        <v>Conventional Light</v>
      </c>
      <c r="D139">
        <f>[1]Low!C10</f>
        <v>4645.0814215309774</v>
      </c>
      <c r="E139">
        <f>[1]Low!D10</f>
        <v>4506.6333115719408</v>
      </c>
      <c r="F139">
        <f>[1]Low!E10</f>
        <v>4045.0273214285717</v>
      </c>
      <c r="G139">
        <f>[1]Low!F10</f>
        <v>3676.5833333333326</v>
      </c>
      <c r="H139">
        <f>[1]Low!G10</f>
        <v>3498.2216820276499</v>
      </c>
      <c r="I139">
        <f>[1]Low!H10</f>
        <v>3464.9128584229393</v>
      </c>
      <c r="J139">
        <f>[1]Low!I10</f>
        <v>3237.5430209933434</v>
      </c>
      <c r="K139">
        <f>[1]Low!J10</f>
        <v>3325.7563966135208</v>
      </c>
      <c r="L139">
        <f>[1]Low!K10</f>
        <v>3123.6676024065546</v>
      </c>
      <c r="M139">
        <f>[1]Low!L10</f>
        <v>3412.9239823348694</v>
      </c>
      <c r="N139">
        <f>[1]Low!M10</f>
        <v>3376.5470302099329</v>
      </c>
      <c r="O139">
        <f>[1]Low!N10</f>
        <v>3694.2616858237539</v>
      </c>
      <c r="P139">
        <f>[1]Low!O10</f>
        <v>3350.1810418182517</v>
      </c>
      <c r="Q139">
        <f>[1]Low!P10</f>
        <v>3193.7103885634206</v>
      </c>
      <c r="R139">
        <f>[1]Low!Q10</f>
        <v>2945.2426805345417</v>
      </c>
      <c r="S139">
        <f>[1]Low!R10</f>
        <v>2623.0590390534671</v>
      </c>
      <c r="T139">
        <f>[1]Low!S10</f>
        <v>2380.6574350443557</v>
      </c>
      <c r="U139">
        <f>[1]Low!T10</f>
        <v>2188.250886059257</v>
      </c>
      <c r="V139">
        <f>[1]Low!U10</f>
        <v>2056.1339152242099</v>
      </c>
      <c r="W139">
        <f>[1]Low!V10</f>
        <v>1980.8565770867169</v>
      </c>
      <c r="X139">
        <f>[1]Low!W10</f>
        <v>1941.8145226235265</v>
      </c>
      <c r="Y139">
        <f>[1]Low!X10</f>
        <v>1909.275043037796</v>
      </c>
      <c r="Z139">
        <f>[1]Low!Y10</f>
        <v>1890.127959342992</v>
      </c>
      <c r="AA139">
        <f>[1]Low!Z10</f>
        <v>1882.5255605867826</v>
      </c>
      <c r="AB139">
        <f>[1]Low!AA10</f>
        <v>1880.9252437210739</v>
      </c>
      <c r="AC139">
        <f>[1]Low!AB10</f>
        <v>1883.239166183901</v>
      </c>
      <c r="AD139">
        <f>[1]Low!AC10</f>
        <v>1889.2907699247216</v>
      </c>
      <c r="AE139">
        <f>[1]Low!AD10</f>
        <v>1900.2380151539787</v>
      </c>
      <c r="AF139">
        <f>[1]Low!AE10</f>
        <v>1915.8450262998026</v>
      </c>
      <c r="AG139">
        <f>[1]Low!AF10</f>
        <v>1935.8967264631342</v>
      </c>
      <c r="AH139">
        <f>[1]Low!AG10</f>
        <v>1956.3420160638423</v>
      </c>
      <c r="AI139">
        <f>[1]Low!AH10</f>
        <v>1977.342150315686</v>
      </c>
      <c r="AJ139">
        <f>[1]Low!AI10</f>
        <v>2005.6976573321042</v>
      </c>
      <c r="AK139">
        <f>[1]Low!AJ10</f>
        <v>2037.6106780987093</v>
      </c>
      <c r="AL139">
        <f>[1]Low!AK10</f>
        <v>2072.3911904374609</v>
      </c>
      <c r="AM139">
        <f>[1]Low!AL10</f>
        <v>2111.007285839657</v>
      </c>
    </row>
    <row r="140" spans="1:39" x14ac:dyDescent="0.25">
      <c r="A140" t="s">
        <v>35</v>
      </c>
      <c r="B140" t="s">
        <v>73</v>
      </c>
      <c r="C140" t="str">
        <f>[1]Low!B11</f>
        <v>Conventional Heavy</v>
      </c>
      <c r="D140">
        <f>[1]Low!C11</f>
        <v>0</v>
      </c>
      <c r="E140">
        <f>[1]Low!D11</f>
        <v>0</v>
      </c>
      <c r="F140">
        <f>[1]Low!E11</f>
        <v>0</v>
      </c>
      <c r="G140">
        <f>[1]Low!F11</f>
        <v>0</v>
      </c>
      <c r="H140">
        <f>[1]Low!G11</f>
        <v>0</v>
      </c>
      <c r="I140">
        <f>[1]Low!H11</f>
        <v>0</v>
      </c>
      <c r="J140">
        <f>[1]Low!I11</f>
        <v>0</v>
      </c>
      <c r="K140">
        <f>[1]Low!J11</f>
        <v>0</v>
      </c>
      <c r="L140">
        <f>[1]Low!K11</f>
        <v>0</v>
      </c>
      <c r="M140">
        <f>[1]Low!L11</f>
        <v>0</v>
      </c>
      <c r="N140">
        <f>[1]Low!M11</f>
        <v>0</v>
      </c>
      <c r="O140">
        <f>[1]Low!N11</f>
        <v>0</v>
      </c>
      <c r="P140">
        <f>[1]Low!O11</f>
        <v>0</v>
      </c>
      <c r="Q140">
        <f>[1]Low!P11</f>
        <v>0</v>
      </c>
      <c r="R140">
        <f>[1]Low!Q11</f>
        <v>0</v>
      </c>
      <c r="S140">
        <f>[1]Low!R11</f>
        <v>0</v>
      </c>
      <c r="T140">
        <f>[1]Low!S11</f>
        <v>0</v>
      </c>
      <c r="U140">
        <f>[1]Low!T11</f>
        <v>0</v>
      </c>
      <c r="V140">
        <f>[1]Low!U11</f>
        <v>0</v>
      </c>
      <c r="W140">
        <f>[1]Low!V11</f>
        <v>0</v>
      </c>
      <c r="X140">
        <f>[1]Low!W11</f>
        <v>0</v>
      </c>
      <c r="Y140">
        <f>[1]Low!X11</f>
        <v>0</v>
      </c>
      <c r="Z140">
        <f>[1]Low!Y11</f>
        <v>0</v>
      </c>
      <c r="AA140">
        <f>[1]Low!Z11</f>
        <v>0</v>
      </c>
      <c r="AB140">
        <f>[1]Low!AA11</f>
        <v>0</v>
      </c>
      <c r="AC140">
        <f>[1]Low!AB11</f>
        <v>0</v>
      </c>
      <c r="AD140">
        <f>[1]Low!AC11</f>
        <v>0</v>
      </c>
      <c r="AE140">
        <f>[1]Low!AD11</f>
        <v>0</v>
      </c>
      <c r="AF140">
        <f>[1]Low!AE11</f>
        <v>0</v>
      </c>
      <c r="AG140">
        <f>[1]Low!AF11</f>
        <v>0</v>
      </c>
      <c r="AH140">
        <f>[1]Low!AG11</f>
        <v>0</v>
      </c>
      <c r="AI140">
        <f>[1]Low!AH11</f>
        <v>0</v>
      </c>
      <c r="AJ140">
        <f>[1]Low!AI11</f>
        <v>0</v>
      </c>
      <c r="AK140">
        <f>[1]Low!AJ11</f>
        <v>0</v>
      </c>
      <c r="AL140">
        <f>[1]Low!AK11</f>
        <v>0</v>
      </c>
      <c r="AM140">
        <f>[1]Low!AL11</f>
        <v>0</v>
      </c>
    </row>
    <row r="141" spans="1:39" x14ac:dyDescent="0.25">
      <c r="A141" t="s">
        <v>35</v>
      </c>
      <c r="B141" t="s">
        <v>73</v>
      </c>
      <c r="C141" t="str">
        <f>[1]Low!B12</f>
        <v>C5+</v>
      </c>
      <c r="D141">
        <f>[1]Low!C12</f>
        <v>1430</v>
      </c>
      <c r="E141">
        <f>[1]Low!D12</f>
        <v>1450</v>
      </c>
      <c r="F141">
        <f>[1]Low!E12</f>
        <v>1290</v>
      </c>
      <c r="G141">
        <f>[1]Low!F12</f>
        <v>1170</v>
      </c>
      <c r="H141">
        <f>[1]Low!G12</f>
        <v>1260</v>
      </c>
      <c r="I141">
        <f>[1]Low!H12</f>
        <v>1420</v>
      </c>
      <c r="J141">
        <f>[1]Low!I12</f>
        <v>1780</v>
      </c>
      <c r="K141">
        <f>[1]Low!J12</f>
        <v>2029.9999999999998</v>
      </c>
      <c r="L141">
        <f>[1]Low!K12</f>
        <v>2460</v>
      </c>
      <c r="M141">
        <f>[1]Low!L12</f>
        <v>3010</v>
      </c>
      <c r="N141">
        <f>[1]Low!M12</f>
        <v>3470</v>
      </c>
      <c r="O141">
        <f>[1]Low!N12</f>
        <v>4181.2090410958917</v>
      </c>
      <c r="P141">
        <f>[1]Low!O12</f>
        <v>5720.4719178082196</v>
      </c>
      <c r="Q141">
        <f>[1]Low!P12</f>
        <v>6056.643083689075</v>
      </c>
      <c r="R141">
        <f>[1]Low!Q12</f>
        <v>5821.2363518751208</v>
      </c>
      <c r="S141">
        <f>[1]Low!R12</f>
        <v>5604.0127298370098</v>
      </c>
      <c r="T141">
        <f>[1]Low!S12</f>
        <v>5460.9687710819344</v>
      </c>
      <c r="U141">
        <f>[1]Low!T12</f>
        <v>5359.7786809852323</v>
      </c>
      <c r="V141">
        <f>[1]Low!U12</f>
        <v>5284.2623955197241</v>
      </c>
      <c r="W141">
        <f>[1]Low!V12</f>
        <v>5237.9427220909374</v>
      </c>
      <c r="X141">
        <f>[1]Low!W12</f>
        <v>5220.3516022125468</v>
      </c>
      <c r="Y141">
        <f>[1]Low!X12</f>
        <v>5212.9703954793258</v>
      </c>
      <c r="Z141">
        <f>[1]Low!Y12</f>
        <v>5196.5222406163966</v>
      </c>
      <c r="AA141">
        <f>[1]Low!Z12</f>
        <v>5177.8102819961323</v>
      </c>
      <c r="AB141">
        <f>[1]Low!AA12</f>
        <v>5161.0597900928697</v>
      </c>
      <c r="AC141">
        <f>[1]Low!AB12</f>
        <v>5147.7823748652454</v>
      </c>
      <c r="AD141">
        <f>[1]Low!AC12</f>
        <v>5138.0924315713801</v>
      </c>
      <c r="AE141">
        <f>[1]Low!AD12</f>
        <v>5135.0486069733115</v>
      </c>
      <c r="AF141">
        <f>[1]Low!AE12</f>
        <v>5129.9444480886959</v>
      </c>
      <c r="AG141">
        <f>[1]Low!AF12</f>
        <v>5130.2267213134674</v>
      </c>
      <c r="AH141">
        <f>[1]Low!AG12</f>
        <v>5133.032665732555</v>
      </c>
      <c r="AI141">
        <f>[1]Low!AH12</f>
        <v>5139.9737019324521</v>
      </c>
      <c r="AJ141">
        <f>[1]Low!AI12</f>
        <v>5152.7241429500518</v>
      </c>
      <c r="AK141">
        <f>[1]Low!AJ12</f>
        <v>5151.162711391582</v>
      </c>
      <c r="AL141">
        <f>[1]Low!AK12</f>
        <v>5149.0547787876467</v>
      </c>
      <c r="AM141">
        <f>[1]Low!AL12</f>
        <v>5160.7249182556507</v>
      </c>
    </row>
    <row r="142" spans="1:39" x14ac:dyDescent="0.25">
      <c r="A142" t="s">
        <v>35</v>
      </c>
      <c r="B142" t="s">
        <v>73</v>
      </c>
      <c r="C142" t="str">
        <f>[1]Low!B13</f>
        <v>Field Condensate</v>
      </c>
      <c r="D142">
        <f>[1]Low!C13</f>
        <v>550</v>
      </c>
      <c r="E142">
        <f>[1]Low!D13</f>
        <v>600</v>
      </c>
      <c r="F142">
        <f>[1]Low!E13</f>
        <v>660</v>
      </c>
      <c r="G142">
        <f>[1]Low!F13</f>
        <v>720</v>
      </c>
      <c r="H142">
        <f>[1]Low!G13</f>
        <v>720</v>
      </c>
      <c r="I142">
        <f>[1]Low!H13</f>
        <v>790</v>
      </c>
      <c r="J142">
        <f>[1]Low!I13</f>
        <v>880</v>
      </c>
      <c r="K142">
        <f>[1]Low!J13</f>
        <v>900</v>
      </c>
      <c r="L142">
        <f>[1]Low!K13</f>
        <v>960</v>
      </c>
      <c r="M142">
        <f>[1]Low!L13</f>
        <v>1430</v>
      </c>
      <c r="N142">
        <f>[1]Low!M13</f>
        <v>1840</v>
      </c>
      <c r="O142">
        <f>[1]Low!N13</f>
        <v>2536.7909589041078</v>
      </c>
      <c r="P142">
        <f>[1]Low!O13</f>
        <v>2619.52808219178</v>
      </c>
      <c r="Q142">
        <f>[1]Low!P13</f>
        <v>2800.9282261957851</v>
      </c>
      <c r="R142">
        <f>[1]Low!Q13</f>
        <v>2718.7171657303047</v>
      </c>
      <c r="S142">
        <f>[1]Low!R13</f>
        <v>2643.1798064675409</v>
      </c>
      <c r="T142">
        <f>[1]Low!S13</f>
        <v>2601.2140166681402</v>
      </c>
      <c r="U142">
        <f>[1]Low!T13</f>
        <v>2578.2916816588718</v>
      </c>
      <c r="V142">
        <f>[1]Low!U13</f>
        <v>2567.1329633745249</v>
      </c>
      <c r="W142">
        <f>[1]Low!V13</f>
        <v>2569.8248920609849</v>
      </c>
      <c r="X142">
        <f>[1]Low!W13</f>
        <v>2586.5527460004901</v>
      </c>
      <c r="Y142">
        <f>[1]Low!X13</f>
        <v>2608.4687671650249</v>
      </c>
      <c r="Z142">
        <f>[1]Low!Y13</f>
        <v>2625.9833660641712</v>
      </c>
      <c r="AA142">
        <f>[1]Low!Z13</f>
        <v>2642.4337762701107</v>
      </c>
      <c r="AB142">
        <f>[1]Low!AA13</f>
        <v>2659.9634352281678</v>
      </c>
      <c r="AC142">
        <f>[1]Low!AB13</f>
        <v>2679.388894340208</v>
      </c>
      <c r="AD142">
        <f>[1]Low!AC13</f>
        <v>2700.8240054949292</v>
      </c>
      <c r="AE142">
        <f>[1]Low!AD13</f>
        <v>2725.9490179269987</v>
      </c>
      <c r="AF142">
        <f>[1]Low!AE13</f>
        <v>2750.2022337668195</v>
      </c>
      <c r="AG142">
        <f>[1]Low!AF13</f>
        <v>2777.5847859813875</v>
      </c>
      <c r="AH142">
        <f>[1]Low!AG13</f>
        <v>2806.6198489386779</v>
      </c>
      <c r="AI142">
        <f>[1]Low!AH13</f>
        <v>2838.240933507765</v>
      </c>
      <c r="AJ142">
        <f>[1]Low!AI13</f>
        <v>2873.4527016107832</v>
      </c>
      <c r="AK142">
        <f>[1]Low!AJ13</f>
        <v>2901.0233638962654</v>
      </c>
      <c r="AL142">
        <f>[1]Low!AK13</f>
        <v>2928.5474715925225</v>
      </c>
      <c r="AM142">
        <f>[1]Low!AL13</f>
        <v>2964.2461513381227</v>
      </c>
    </row>
    <row r="143" spans="1:39" x14ac:dyDescent="0.25">
      <c r="A143" t="s">
        <v>35</v>
      </c>
      <c r="B143" t="s">
        <v>73</v>
      </c>
      <c r="C143" t="s">
        <v>23</v>
      </c>
      <c r="D143">
        <f>SUM(D139:D142)</f>
        <v>6625.0814215309774</v>
      </c>
      <c r="E143">
        <f t="shared" ref="E143:AM143" si="21">SUM(E139:E142)</f>
        <v>6556.6333115719408</v>
      </c>
      <c r="F143">
        <f t="shared" si="21"/>
        <v>5995.0273214285717</v>
      </c>
      <c r="G143">
        <f t="shared" si="21"/>
        <v>5566.5833333333321</v>
      </c>
      <c r="H143">
        <f t="shared" si="21"/>
        <v>5478.2216820276499</v>
      </c>
      <c r="I143">
        <f t="shared" si="21"/>
        <v>5674.9128584229393</v>
      </c>
      <c r="J143">
        <f t="shared" si="21"/>
        <v>5897.5430209933438</v>
      </c>
      <c r="K143">
        <f t="shared" si="21"/>
        <v>6255.7563966135203</v>
      </c>
      <c r="L143">
        <f t="shared" si="21"/>
        <v>6543.6676024065546</v>
      </c>
      <c r="M143">
        <f t="shared" si="21"/>
        <v>7852.9239823348689</v>
      </c>
      <c r="N143">
        <f t="shared" si="21"/>
        <v>8686.5470302099329</v>
      </c>
      <c r="O143">
        <f t="shared" si="21"/>
        <v>10412.261685823754</v>
      </c>
      <c r="P143">
        <f t="shared" si="21"/>
        <v>11690.181041818252</v>
      </c>
      <c r="Q143">
        <f t="shared" si="21"/>
        <v>12051.281698448282</v>
      </c>
      <c r="R143">
        <f t="shared" si="21"/>
        <v>11485.196198139967</v>
      </c>
      <c r="S143">
        <f t="shared" si="21"/>
        <v>10870.251575358017</v>
      </c>
      <c r="T143">
        <f t="shared" si="21"/>
        <v>10442.84022279443</v>
      </c>
      <c r="U143">
        <f t="shared" si="21"/>
        <v>10126.321248703362</v>
      </c>
      <c r="V143">
        <f t="shared" si="21"/>
        <v>9907.5292741184585</v>
      </c>
      <c r="W143">
        <f t="shared" si="21"/>
        <v>9788.6241912386395</v>
      </c>
      <c r="X143">
        <f t="shared" si="21"/>
        <v>9748.7188708365629</v>
      </c>
      <c r="Y143">
        <f t="shared" si="21"/>
        <v>9730.7142056821467</v>
      </c>
      <c r="Z143">
        <f t="shared" si="21"/>
        <v>9712.63356602356</v>
      </c>
      <c r="AA143">
        <f t="shared" si="21"/>
        <v>9702.7696188530244</v>
      </c>
      <c r="AB143">
        <f t="shared" si="21"/>
        <v>9701.9484690421123</v>
      </c>
      <c r="AC143">
        <f t="shared" si="21"/>
        <v>9710.4104353893545</v>
      </c>
      <c r="AD143">
        <f t="shared" si="21"/>
        <v>9728.2072069910319</v>
      </c>
      <c r="AE143">
        <f t="shared" si="21"/>
        <v>9761.2356400542885</v>
      </c>
      <c r="AF143">
        <f t="shared" si="21"/>
        <v>9795.9917081553176</v>
      </c>
      <c r="AG143">
        <f t="shared" si="21"/>
        <v>9843.7082337579886</v>
      </c>
      <c r="AH143">
        <f t="shared" si="21"/>
        <v>9895.9945307350754</v>
      </c>
      <c r="AI143">
        <f t="shared" si="21"/>
        <v>9955.5567857559035</v>
      </c>
      <c r="AJ143">
        <f t="shared" si="21"/>
        <v>10031.87450189294</v>
      </c>
      <c r="AK143">
        <f t="shared" si="21"/>
        <v>10089.796753386556</v>
      </c>
      <c r="AL143">
        <f t="shared" si="21"/>
        <v>10149.99344081763</v>
      </c>
      <c r="AM143">
        <f t="shared" si="21"/>
        <v>10235.97835543343</v>
      </c>
    </row>
    <row r="144" spans="1:39" x14ac:dyDescent="0.25">
      <c r="A144" t="s">
        <v>35</v>
      </c>
      <c r="B144" t="s">
        <v>74</v>
      </c>
      <c r="C144" t="str">
        <f>[1]Low!B14</f>
        <v>Conventional Light</v>
      </c>
      <c r="D144">
        <f>[1]Low!C14</f>
        <v>61608.885781863297</v>
      </c>
      <c r="E144">
        <f>[1]Low!D14</f>
        <v>59160.558397498877</v>
      </c>
      <c r="F144">
        <f>[1]Low!E14</f>
        <v>57156.982398125292</v>
      </c>
      <c r="G144">
        <f>[1]Low!F14</f>
        <v>55079.4261325193</v>
      </c>
      <c r="H144">
        <f>[1]Low!G14</f>
        <v>50836.217720381457</v>
      </c>
      <c r="I144">
        <f>[1]Low!H14</f>
        <v>51338.873677928677</v>
      </c>
      <c r="J144">
        <f>[1]Low!I14</f>
        <v>56341.617267120324</v>
      </c>
      <c r="K144">
        <f>[1]Low!J14</f>
        <v>65504.216617338796</v>
      </c>
      <c r="L144">
        <f>[1]Low!K14</f>
        <v>69200.576338328712</v>
      </c>
      <c r="M144">
        <f>[1]Low!L14</f>
        <v>71051.166299791337</v>
      </c>
      <c r="N144">
        <f>[1]Low!M14</f>
        <v>64074.35544146796</v>
      </c>
      <c r="O144">
        <f>[1]Low!N14</f>
        <v>53323.447957963377</v>
      </c>
      <c r="P144">
        <f>[1]Low!O14</f>
        <v>53315.231226348718</v>
      </c>
      <c r="Q144">
        <f>[1]Low!P14</f>
        <v>54340.060093030908</v>
      </c>
      <c r="R144">
        <f>[1]Low!Q14</f>
        <v>53043.212526924304</v>
      </c>
      <c r="S144">
        <f>[1]Low!R14</f>
        <v>49782.105713326382</v>
      </c>
      <c r="T144">
        <f>[1]Low!S14</f>
        <v>47099.862052231285</v>
      </c>
      <c r="U144">
        <f>[1]Low!T14</f>
        <v>44700.532217056782</v>
      </c>
      <c r="V144">
        <f>[1]Low!U14</f>
        <v>42681.698902536475</v>
      </c>
      <c r="W144">
        <f>[1]Low!V14</f>
        <v>40985.171126611996</v>
      </c>
      <c r="X144">
        <f>[1]Low!W14</f>
        <v>39515.694641813949</v>
      </c>
      <c r="Y144">
        <f>[1]Low!X14</f>
        <v>38221.891762197331</v>
      </c>
      <c r="Z144">
        <f>[1]Low!Y14</f>
        <v>37000.153773363869</v>
      </c>
      <c r="AA144">
        <f>[1]Low!Z14</f>
        <v>35810.974518579904</v>
      </c>
      <c r="AB144">
        <f>[1]Low!AA14</f>
        <v>34663.495296012385</v>
      </c>
      <c r="AC144">
        <f>[1]Low!AB14</f>
        <v>33542.720432271417</v>
      </c>
      <c r="AD144">
        <f>[1]Low!AC14</f>
        <v>32442.349551822452</v>
      </c>
      <c r="AE144">
        <f>[1]Low!AD14</f>
        <v>31358.224309576035</v>
      </c>
      <c r="AF144">
        <f>[1]Low!AE14</f>
        <v>30326.674941078043</v>
      </c>
      <c r="AG144">
        <f>[1]Low!AF14</f>
        <v>29351.349623712129</v>
      </c>
      <c r="AH144">
        <f>[1]Low!AG14</f>
        <v>28410.451099825827</v>
      </c>
      <c r="AI144">
        <f>[1]Low!AH14</f>
        <v>27504.028291011728</v>
      </c>
      <c r="AJ144">
        <f>[1]Low!AI14</f>
        <v>26627.805376090222</v>
      </c>
      <c r="AK144">
        <f>[1]Low!AJ14</f>
        <v>25771.621247085244</v>
      </c>
      <c r="AL144">
        <f>[1]Low!AK14</f>
        <v>24917.375838572581</v>
      </c>
      <c r="AM144">
        <f>[1]Low!AL14</f>
        <v>24091.349486463521</v>
      </c>
    </row>
    <row r="145" spans="1:39" x14ac:dyDescent="0.25">
      <c r="A145" t="s">
        <v>35</v>
      </c>
      <c r="B145" t="s">
        <v>74</v>
      </c>
      <c r="C145" t="str">
        <f>[1]Low!B15</f>
        <v>Conventional Heavy</v>
      </c>
      <c r="D145">
        <f>[1]Low!C15</f>
        <v>29193.593812990777</v>
      </c>
      <c r="E145">
        <f>[1]Low!D15</f>
        <v>27160.952141415612</v>
      </c>
      <c r="F145">
        <f>[1]Low!E15</f>
        <v>26214.863449288954</v>
      </c>
      <c r="G145">
        <f>[1]Low!F15</f>
        <v>24858.490534147371</v>
      </c>
      <c r="H145">
        <f>[1]Low!G15</f>
        <v>22446.045407498725</v>
      </c>
      <c r="I145">
        <f>[1]Low!H15</f>
        <v>21617.565081031888</v>
      </c>
      <c r="J145">
        <f>[1]Low!I15</f>
        <v>21535.350062628768</v>
      </c>
      <c r="K145">
        <f>[1]Low!J15</f>
        <v>22936.758509477593</v>
      </c>
      <c r="L145">
        <f>[1]Low!K15</f>
        <v>23326.349274190499</v>
      </c>
      <c r="M145">
        <f>[1]Low!L15</f>
        <v>22640.786462625441</v>
      </c>
      <c r="N145">
        <f>[1]Low!M15</f>
        <v>20228.204740943693</v>
      </c>
      <c r="O145">
        <f>[1]Low!N15</f>
        <v>17488.412924688299</v>
      </c>
      <c r="P145">
        <f>[1]Low!O15</f>
        <v>17204.000523056242</v>
      </c>
      <c r="Q145">
        <f>[1]Low!P15</f>
        <v>16180.838571060292</v>
      </c>
      <c r="R145">
        <f>[1]Low!Q15</f>
        <v>14714.363987135865</v>
      </c>
      <c r="S145">
        <f>[1]Low!R15</f>
        <v>12958.635248116228</v>
      </c>
      <c r="T145">
        <f>[1]Low!S15</f>
        <v>11550.067869321698</v>
      </c>
      <c r="U145">
        <f>[1]Low!T15</f>
        <v>10409.526272159615</v>
      </c>
      <c r="V145">
        <f>[1]Low!U15</f>
        <v>9507.1821526054391</v>
      </c>
      <c r="W145">
        <f>[1]Low!V15</f>
        <v>8805.283227761016</v>
      </c>
      <c r="X145">
        <f>[1]Low!W15</f>
        <v>8253.749811462676</v>
      </c>
      <c r="Y145">
        <f>[1]Low!X15</f>
        <v>7818.1309958607853</v>
      </c>
      <c r="Z145">
        <f>[1]Low!Y15</f>
        <v>7455.6271181843576</v>
      </c>
      <c r="AA145">
        <f>[1]Low!Z15</f>
        <v>7135.2600091473269</v>
      </c>
      <c r="AB145">
        <f>[1]Low!AA15</f>
        <v>6847.7007584127177</v>
      </c>
      <c r="AC145">
        <f>[1]Low!AB15</f>
        <v>6586.8810828913456</v>
      </c>
      <c r="AD145">
        <f>[1]Low!AC15</f>
        <v>6348.0216163349969</v>
      </c>
      <c r="AE145">
        <f>[1]Low!AD15</f>
        <v>6128.4810360953934</v>
      </c>
      <c r="AF145">
        <f>[1]Low!AE15</f>
        <v>5927.16843049208</v>
      </c>
      <c r="AG145">
        <f>[1]Low!AF15</f>
        <v>5740.3290482682523</v>
      </c>
      <c r="AH145">
        <f>[1]Low!AG15</f>
        <v>5564.9532593325566</v>
      </c>
      <c r="AI145">
        <f>[1]Low!AH15</f>
        <v>5399.9114113117639</v>
      </c>
      <c r="AJ145">
        <f>[1]Low!AI15</f>
        <v>5244.1589290827069</v>
      </c>
      <c r="AK145">
        <f>[1]Low!AJ15</f>
        <v>5092.4453320374714</v>
      </c>
      <c r="AL145">
        <f>[1]Low!AK15</f>
        <v>4937.6583687169559</v>
      </c>
      <c r="AM145">
        <f>[1]Low!AL15</f>
        <v>4787.1802411163198</v>
      </c>
    </row>
    <row r="146" spans="1:39" x14ac:dyDescent="0.25">
      <c r="A146" t="s">
        <v>35</v>
      </c>
      <c r="B146" t="s">
        <v>74</v>
      </c>
      <c r="C146" t="str">
        <f>[1]Low!B16</f>
        <v>C5+</v>
      </c>
      <c r="D146">
        <f>[1]Low!C16</f>
        <v>20570</v>
      </c>
      <c r="E146">
        <f>[1]Low!D16</f>
        <v>21350</v>
      </c>
      <c r="F146">
        <f>[1]Low!E16</f>
        <v>21260</v>
      </c>
      <c r="G146">
        <f>[1]Low!F16</f>
        <v>20070</v>
      </c>
      <c r="H146">
        <f>[1]Low!G16</f>
        <v>18840</v>
      </c>
      <c r="I146">
        <f>[1]Low!H16</f>
        <v>18330</v>
      </c>
      <c r="J146">
        <f>[1]Low!I16</f>
        <v>17720</v>
      </c>
      <c r="K146">
        <f>[1]Low!J16</f>
        <v>17290</v>
      </c>
      <c r="L146">
        <f>[1]Low!K16</f>
        <v>18160</v>
      </c>
      <c r="M146">
        <f>[1]Low!L16</f>
        <v>21230</v>
      </c>
      <c r="N146">
        <f>[1]Low!M16</f>
        <v>26690</v>
      </c>
      <c r="O146">
        <f>[1]Low!N16</f>
        <v>27711.679452054788</v>
      </c>
      <c r="P146">
        <f>[1]Low!O16</f>
        <v>33352.013972602741</v>
      </c>
      <c r="Q146">
        <f>[1]Low!P16</f>
        <v>33242.42833616359</v>
      </c>
      <c r="R146">
        <f>[1]Low!Q16</f>
        <v>31576.920325208997</v>
      </c>
      <c r="S146">
        <f>[1]Low!R16</f>
        <v>29913.521814253087</v>
      </c>
      <c r="T146">
        <f>[1]Low!S16</f>
        <v>28481.095145271804</v>
      </c>
      <c r="U146">
        <f>[1]Low!T16</f>
        <v>27214.641868243049</v>
      </c>
      <c r="V146">
        <f>[1]Low!U16</f>
        <v>26099.64188541902</v>
      </c>
      <c r="W146">
        <f>[1]Low!V16</f>
        <v>25174.64476343603</v>
      </c>
      <c r="X146">
        <f>[1]Low!W16</f>
        <v>24432.138892260351</v>
      </c>
      <c r="Y146">
        <f>[1]Low!X16</f>
        <v>23768.229451389419</v>
      </c>
      <c r="Z146">
        <f>[1]Low!Y16</f>
        <v>23102.444843858506</v>
      </c>
      <c r="AA146">
        <f>[1]Low!Z16</f>
        <v>22469.914165656784</v>
      </c>
      <c r="AB146">
        <f>[1]Low!AA16</f>
        <v>21885.983083667055</v>
      </c>
      <c r="AC146">
        <f>[1]Low!AB16</f>
        <v>21345.189552001422</v>
      </c>
      <c r="AD146">
        <f>[1]Low!AC16</f>
        <v>20863.433795161927</v>
      </c>
      <c r="AE146">
        <f>[1]Low!AD16</f>
        <v>20424.480403884576</v>
      </c>
      <c r="AF146">
        <f>[1]Low!AE16</f>
        <v>20004.057718549178</v>
      </c>
      <c r="AG146">
        <f>[1]Low!AF16</f>
        <v>19632.56428810368</v>
      </c>
      <c r="AH146">
        <f>[1]Low!AG16</f>
        <v>19292.872679542223</v>
      </c>
      <c r="AI146">
        <f>[1]Low!AH16</f>
        <v>19004.997680166107</v>
      </c>
      <c r="AJ146">
        <f>[1]Low!AI16</f>
        <v>18736.201896243438</v>
      </c>
      <c r="AK146">
        <f>[1]Low!AJ16</f>
        <v>18433.0960341383</v>
      </c>
      <c r="AL146">
        <f>[1]Low!AK16</f>
        <v>18153.259005302411</v>
      </c>
      <c r="AM146">
        <f>[1]Low!AL16</f>
        <v>17940.83389025541</v>
      </c>
    </row>
    <row r="147" spans="1:39" x14ac:dyDescent="0.25">
      <c r="A147" t="s">
        <v>35</v>
      </c>
      <c r="B147" t="s">
        <v>74</v>
      </c>
      <c r="C147" t="str">
        <f>[1]Low!B17</f>
        <v>Field Condensate</v>
      </c>
      <c r="D147">
        <f>[1]Low!C17</f>
        <v>1540</v>
      </c>
      <c r="E147">
        <f>[1]Low!D17</f>
        <v>1750</v>
      </c>
      <c r="F147">
        <f>[1]Low!E17</f>
        <v>2090</v>
      </c>
      <c r="G147">
        <f>[1]Low!F17</f>
        <v>2410</v>
      </c>
      <c r="H147">
        <f>[1]Low!G17</f>
        <v>2180</v>
      </c>
      <c r="I147">
        <f>[1]Low!H17</f>
        <v>1920</v>
      </c>
      <c r="J147">
        <f>[1]Low!I17</f>
        <v>1940</v>
      </c>
      <c r="K147">
        <f>[1]Low!J17</f>
        <v>2000</v>
      </c>
      <c r="L147">
        <f>[1]Low!K17</f>
        <v>2590</v>
      </c>
      <c r="M147">
        <f>[1]Low!L17</f>
        <v>3780</v>
      </c>
      <c r="N147">
        <f>[1]Low!M17</f>
        <v>3730</v>
      </c>
      <c r="O147">
        <f>[1]Low!N17</f>
        <v>7631.3205479452108</v>
      </c>
      <c r="P147">
        <f>[1]Low!O17</f>
        <v>9506.986027397259</v>
      </c>
      <c r="Q147">
        <f>[1]Low!P17</f>
        <v>9569.5679536473272</v>
      </c>
      <c r="R147">
        <f>[1]Low!Q17</f>
        <v>9180.1157851138578</v>
      </c>
      <c r="S147">
        <f>[1]Low!R17</f>
        <v>8782.632942302238</v>
      </c>
      <c r="T147">
        <f>[1]Low!S17</f>
        <v>8444.864159787272</v>
      </c>
      <c r="U147">
        <f>[1]Low!T17</f>
        <v>8149.2455694262298</v>
      </c>
      <c r="V147">
        <f>[1]Low!U17</f>
        <v>7892.74601869449</v>
      </c>
      <c r="W147">
        <f>[1]Low!V17</f>
        <v>7688.3957222074114</v>
      </c>
      <c r="X147">
        <f>[1]Low!W17</f>
        <v>7535.5102340706289</v>
      </c>
      <c r="Y147">
        <f>[1]Low!X17</f>
        <v>7403.3248253813081</v>
      </c>
      <c r="Z147">
        <f>[1]Low!Y17</f>
        <v>7267.1933211660789</v>
      </c>
      <c r="AA147">
        <f>[1]Low!Z17</f>
        <v>7138.2044507996807</v>
      </c>
      <c r="AB147">
        <f>[1]Low!AA17</f>
        <v>7021.5408448385797</v>
      </c>
      <c r="AC147">
        <f>[1]Low!AB17</f>
        <v>6915.8438843959466</v>
      </c>
      <c r="AD147">
        <f>[1]Low!AC17</f>
        <v>6826.6832304076434</v>
      </c>
      <c r="AE147">
        <f>[1]Low!AD17</f>
        <v>6749.2230056316785</v>
      </c>
      <c r="AF147">
        <f>[1]Low!AE17</f>
        <v>6675.7437555240531</v>
      </c>
      <c r="AG147">
        <f>[1]Low!AF17</f>
        <v>6616.6381623910165</v>
      </c>
      <c r="AH147">
        <f>[1]Low!AG17</f>
        <v>6566.5318250024757</v>
      </c>
      <c r="AI147">
        <f>[1]Low!AH17</f>
        <v>6532.5956006882989</v>
      </c>
      <c r="AJ147">
        <f>[1]Low!AI17</f>
        <v>6503.9666956653609</v>
      </c>
      <c r="AK147">
        <f>[1]Low!AJ17</f>
        <v>6462.1023875875508</v>
      </c>
      <c r="AL147">
        <f>[1]Low!AK17</f>
        <v>6427.0096379780225</v>
      </c>
      <c r="AM147">
        <f>[1]Low!AL17</f>
        <v>6414.6914329993469</v>
      </c>
    </row>
    <row r="148" spans="1:39" x14ac:dyDescent="0.25">
      <c r="A148" t="s">
        <v>35</v>
      </c>
      <c r="B148" t="s">
        <v>74</v>
      </c>
      <c r="C148" t="str">
        <f>[1]Low!B18</f>
        <v xml:space="preserve">Mined Bitumen </v>
      </c>
      <c r="D148">
        <f>[1]Low!C18</f>
        <v>99600</v>
      </c>
      <c r="E148">
        <f>[1]Low!D18</f>
        <v>120900</v>
      </c>
      <c r="F148">
        <f>[1]Low!E18</f>
        <v>124700</v>
      </c>
      <c r="G148">
        <f>[1]Low!F18</f>
        <v>114700</v>
      </c>
      <c r="H148">
        <f>[1]Low!G18</f>
        <v>131200</v>
      </c>
      <c r="I148">
        <f>[1]Low!H18</f>
        <v>136242.99205479454</v>
      </c>
      <c r="J148">
        <f>[1]Low!I18</f>
        <v>141899.05890410958</v>
      </c>
      <c r="K148">
        <f>[1]Low!J18</f>
        <v>148216.19643835619</v>
      </c>
      <c r="L148">
        <f>[1]Low!K18</f>
        <v>155178.08602739728</v>
      </c>
      <c r="M148">
        <f>[1]Low!L18</f>
        <v>152653.42301369866</v>
      </c>
      <c r="N148">
        <f>[1]Low!M18</f>
        <v>184650.64986301371</v>
      </c>
      <c r="O148">
        <f>[1]Low!N18</f>
        <v>182833.43972602743</v>
      </c>
      <c r="P148">
        <f>[1]Low!O18</f>
        <v>202815.78219178083</v>
      </c>
      <c r="Q148">
        <f>[1]Low!P18</f>
        <v>230827.34128777066</v>
      </c>
      <c r="R148">
        <f>[1]Low!Q18</f>
        <v>252610.17220383271</v>
      </c>
      <c r="S148">
        <f>[1]Low!R18</f>
        <v>255214.62797112894</v>
      </c>
      <c r="T148">
        <f>[1]Low!S18</f>
        <v>255219.26784659942</v>
      </c>
      <c r="U148">
        <f>[1]Low!T18</f>
        <v>255218.37891407206</v>
      </c>
      <c r="V148">
        <f>[1]Low!U18</f>
        <v>255218.34310268139</v>
      </c>
      <c r="W148">
        <f>[1]Low!V18</f>
        <v>255218.3540049924</v>
      </c>
      <c r="X148">
        <f>[1]Low!W18</f>
        <v>255218.35460781632</v>
      </c>
      <c r="Y148">
        <f>[1]Low!X18</f>
        <v>254754.52785425811</v>
      </c>
      <c r="Z148">
        <f>[1]Low!Y18</f>
        <v>253905.33573839106</v>
      </c>
      <c r="AA148">
        <f>[1]Low!Z18</f>
        <v>253066.2780788033</v>
      </c>
      <c r="AB148">
        <f>[1]Low!AA18</f>
        <v>252237.23391600058</v>
      </c>
      <c r="AC148">
        <f>[1]Low!AB18</f>
        <v>251418.08374805184</v>
      </c>
      <c r="AD148">
        <f>[1]Low!AC18</f>
        <v>250099.36226325965</v>
      </c>
      <c r="AE148">
        <f>[1]Low!AD18</f>
        <v>248367.11421334581</v>
      </c>
      <c r="AF148">
        <f>[1]Low!AE18</f>
        <v>246655.53919189793</v>
      </c>
      <c r="AG148">
        <f>[1]Low!AF18</f>
        <v>244964.39048245654</v>
      </c>
      <c r="AH148">
        <f>[1]Low!AG18</f>
        <v>243293.4243129307</v>
      </c>
      <c r="AI148">
        <f>[1]Low!AH18</f>
        <v>241642.39982045861</v>
      </c>
      <c r="AJ148">
        <f>[1]Low!AI18</f>
        <v>240011.07901668912</v>
      </c>
      <c r="AK148">
        <f>[1]Low!AJ18</f>
        <v>238399.22675347622</v>
      </c>
      <c r="AL148">
        <f>[1]Low!AK18</f>
        <v>236806.61068898335</v>
      </c>
      <c r="AM148">
        <f>[1]Low!AL18</f>
        <v>235233.00125419264</v>
      </c>
    </row>
    <row r="149" spans="1:39" x14ac:dyDescent="0.25">
      <c r="A149" t="s">
        <v>35</v>
      </c>
      <c r="B149" t="s">
        <v>74</v>
      </c>
      <c r="C149" t="str">
        <f>[1]Low!B19</f>
        <v xml:space="preserve">In Situ Bitumen </v>
      </c>
      <c r="D149">
        <f>[1]Low!C19</f>
        <v>69700</v>
      </c>
      <c r="E149">
        <f>[1]Low!D19</f>
        <v>78500</v>
      </c>
      <c r="F149">
        <f>[1]Low!E19</f>
        <v>85200</v>
      </c>
      <c r="G149">
        <f>[1]Low!F19</f>
        <v>92700</v>
      </c>
      <c r="H149">
        <f>[1]Low!G19</f>
        <v>105500</v>
      </c>
      <c r="I149">
        <f>[1]Low!H19</f>
        <v>119629.14712328766</v>
      </c>
      <c r="J149">
        <f>[1]Low!I19</f>
        <v>134719.58268493149</v>
      </c>
      <c r="K149">
        <f>[1]Low!J19</f>
        <v>157385.20219178079</v>
      </c>
      <c r="L149">
        <f>[1]Low!K19</f>
        <v>175859.07172602741</v>
      </c>
      <c r="M149">
        <f>[1]Low!L19</f>
        <v>200748.64076712329</v>
      </c>
      <c r="N149">
        <f>[1]Low!M19</f>
        <v>216516.94391559192</v>
      </c>
      <c r="O149">
        <f>[1]Low!N19</f>
        <v>222306.83333061248</v>
      </c>
      <c r="P149">
        <f>[1]Low!O19</f>
        <v>245914.92329379948</v>
      </c>
      <c r="Q149">
        <f>[1]Low!P19</f>
        <v>262105.56735817689</v>
      </c>
      <c r="R149">
        <f>[1]Low!Q19</f>
        <v>266200.64083449525</v>
      </c>
      <c r="S149">
        <f>[1]Low!R19</f>
        <v>272369.90019026212</v>
      </c>
      <c r="T149">
        <f>[1]Low!S19</f>
        <v>277891.72130446549</v>
      </c>
      <c r="U149">
        <f>[1]Low!T19</f>
        <v>277332.06605173368</v>
      </c>
      <c r="V149">
        <f>[1]Low!U19</f>
        <v>276737.26567004743</v>
      </c>
      <c r="W149">
        <f>[1]Low!V19</f>
        <v>275953.35921430634</v>
      </c>
      <c r="X149">
        <f>[1]Low!W19</f>
        <v>274494.12952158827</v>
      </c>
      <c r="Y149">
        <f>[1]Low!X19</f>
        <v>272761.42658576596</v>
      </c>
      <c r="Z149">
        <f>[1]Low!Y19</f>
        <v>271172.25668488018</v>
      </c>
      <c r="AA149">
        <f>[1]Low!Z19</f>
        <v>269672.16622057935</v>
      </c>
      <c r="AB149">
        <f>[1]Low!AA19</f>
        <v>268254.44145089231</v>
      </c>
      <c r="AC149">
        <f>[1]Low!AB19</f>
        <v>265307.69298158528</v>
      </c>
      <c r="AD149">
        <f>[1]Low!AC19</f>
        <v>261225.38814195938</v>
      </c>
      <c r="AE149">
        <f>[1]Low!AD19</f>
        <v>257323.68785441664</v>
      </c>
      <c r="AF149">
        <f>[1]Low!AE19</f>
        <v>253551.04782070307</v>
      </c>
      <c r="AG149">
        <f>[1]Low!AF19</f>
        <v>249897.80777760805</v>
      </c>
      <c r="AH149">
        <f>[1]Low!AG19</f>
        <v>244007.25400471312</v>
      </c>
      <c r="AI149">
        <f>[1]Low!AH19</f>
        <v>236537.13605194734</v>
      </c>
      <c r="AJ149">
        <f>[1]Low!AI19</f>
        <v>229494.98215298148</v>
      </c>
      <c r="AK149">
        <f>[1]Low!AJ19</f>
        <v>221539.68759833139</v>
      </c>
      <c r="AL149">
        <f>[1]Low!AK19</f>
        <v>212960.40922699627</v>
      </c>
      <c r="AM149">
        <f>[1]Low!AL19</f>
        <v>204900.99519514298</v>
      </c>
    </row>
    <row r="150" spans="1:39" x14ac:dyDescent="0.25">
      <c r="A150" t="s">
        <v>35</v>
      </c>
      <c r="B150" t="s">
        <v>74</v>
      </c>
      <c r="C150" t="s">
        <v>23</v>
      </c>
      <c r="D150">
        <f t="shared" ref="D150:AM150" si="22">SUM(D144:D149)</f>
        <v>282212.47959485406</v>
      </c>
      <c r="E150">
        <f t="shared" si="22"/>
        <v>308821.51053891447</v>
      </c>
      <c r="F150">
        <f t="shared" si="22"/>
        <v>316621.84584741422</v>
      </c>
      <c r="G150">
        <f t="shared" si="22"/>
        <v>309817.91666666669</v>
      </c>
      <c r="H150">
        <f t="shared" si="22"/>
        <v>331002.26312788017</v>
      </c>
      <c r="I150">
        <f t="shared" si="22"/>
        <v>349078.57793704275</v>
      </c>
      <c r="J150">
        <f t="shared" si="22"/>
        <v>374155.60891879012</v>
      </c>
      <c r="K150">
        <f t="shared" si="22"/>
        <v>413332.3737569534</v>
      </c>
      <c r="L150">
        <f t="shared" si="22"/>
        <v>444314.08336594386</v>
      </c>
      <c r="M150">
        <f t="shared" si="22"/>
        <v>472104.01654323877</v>
      </c>
      <c r="N150">
        <f t="shared" si="22"/>
        <v>515890.15396101726</v>
      </c>
      <c r="O150">
        <f t="shared" si="22"/>
        <v>511295.13393929158</v>
      </c>
      <c r="P150">
        <f t="shared" si="22"/>
        <v>562108.93723498529</v>
      </c>
      <c r="Q150">
        <f t="shared" si="22"/>
        <v>606265.80359984969</v>
      </c>
      <c r="R150">
        <f t="shared" si="22"/>
        <v>627325.42566271103</v>
      </c>
      <c r="S150">
        <f t="shared" si="22"/>
        <v>629021.42387938895</v>
      </c>
      <c r="T150">
        <f t="shared" si="22"/>
        <v>628686.87837767694</v>
      </c>
      <c r="U150">
        <f t="shared" si="22"/>
        <v>623024.39089269144</v>
      </c>
      <c r="V150">
        <f t="shared" si="22"/>
        <v>618136.87773198425</v>
      </c>
      <c r="W150">
        <f t="shared" si="22"/>
        <v>613825.20805931522</v>
      </c>
      <c r="X150">
        <f t="shared" si="22"/>
        <v>609449.5777090122</v>
      </c>
      <c r="Y150">
        <f t="shared" si="22"/>
        <v>604727.53147485293</v>
      </c>
      <c r="Z150">
        <f t="shared" si="22"/>
        <v>599903.01147984411</v>
      </c>
      <c r="AA150">
        <f t="shared" si="22"/>
        <v>595292.79744356638</v>
      </c>
      <c r="AB150">
        <f t="shared" si="22"/>
        <v>590910.39534982364</v>
      </c>
      <c r="AC150">
        <f t="shared" si="22"/>
        <v>585116.41168119723</v>
      </c>
      <c r="AD150">
        <f t="shared" si="22"/>
        <v>577805.23859894602</v>
      </c>
      <c r="AE150">
        <f t="shared" si="22"/>
        <v>570351.21082295012</v>
      </c>
      <c r="AF150">
        <f t="shared" si="22"/>
        <v>563140.2318582444</v>
      </c>
      <c r="AG150">
        <f t="shared" si="22"/>
        <v>556203.07938253973</v>
      </c>
      <c r="AH150">
        <f t="shared" si="22"/>
        <v>547135.48718134686</v>
      </c>
      <c r="AI150">
        <f t="shared" si="22"/>
        <v>536621.0688555839</v>
      </c>
      <c r="AJ150">
        <f t="shared" si="22"/>
        <v>526618.19406675233</v>
      </c>
      <c r="AK150">
        <f t="shared" si="22"/>
        <v>515698.17935265612</v>
      </c>
      <c r="AL150">
        <f t="shared" si="22"/>
        <v>504202.32276654954</v>
      </c>
      <c r="AM150">
        <f t="shared" si="22"/>
        <v>493368.0515001702</v>
      </c>
    </row>
    <row r="151" spans="1:39" x14ac:dyDescent="0.25">
      <c r="A151" t="s">
        <v>35</v>
      </c>
      <c r="B151" t="s">
        <v>75</v>
      </c>
      <c r="C151" t="str">
        <f>[1]Low!B21</f>
        <v>Conventional Light</v>
      </c>
      <c r="D151">
        <f>[1]Low!C21</f>
        <v>96.492316484880945</v>
      </c>
      <c r="E151">
        <f>[1]Low!D21</f>
        <v>679.74809020666567</v>
      </c>
      <c r="F151">
        <f>[1]Low!E21</f>
        <v>2091.8865299329486</v>
      </c>
      <c r="G151">
        <f>[1]Low!F21</f>
        <v>6718.4492038985163</v>
      </c>
      <c r="H151">
        <f>[1]Low!G21</f>
        <v>9701.0385576611534</v>
      </c>
      <c r="I151">
        <f>[1]Low!H21</f>
        <v>9228.2576536040469</v>
      </c>
      <c r="J151">
        <f>[1]Low!I21</f>
        <v>9711.9899431634058</v>
      </c>
      <c r="K151">
        <f>[1]Low!J21</f>
        <v>10965.345709805462</v>
      </c>
      <c r="L151">
        <f>[1]Low!K21</f>
        <v>11162.071896151936</v>
      </c>
      <c r="M151">
        <f>[1]Low!L21</f>
        <v>12443.269117385948</v>
      </c>
      <c r="N151">
        <f>[1]Low!M21</f>
        <v>10860.397371171624</v>
      </c>
      <c r="O151">
        <f>[1]Low!N21</f>
        <v>9253.1959502336631</v>
      </c>
      <c r="P151">
        <f>[1]Low!O21</f>
        <v>9004.3643733022636</v>
      </c>
      <c r="Q151">
        <f>[1]Low!P21</f>
        <v>8738.465937597859</v>
      </c>
      <c r="R151">
        <f>[1]Low!Q21</f>
        <v>7894.7375032269329</v>
      </c>
      <c r="S151">
        <f>[1]Low!R21</f>
        <v>6843.5312742628821</v>
      </c>
      <c r="T151">
        <f>[1]Low!S21</f>
        <v>6048.514347285819</v>
      </c>
      <c r="U151">
        <f>[1]Low!T21</f>
        <v>5429.804501912583</v>
      </c>
      <c r="V151">
        <f>[1]Low!U21</f>
        <v>4971.0744732822559</v>
      </c>
      <c r="W151">
        <f>[1]Low!V21</f>
        <v>4633.670045908907</v>
      </c>
      <c r="X151">
        <f>[1]Low!W21</f>
        <v>4377.7259155746933</v>
      </c>
      <c r="Y151">
        <f>[1]Low!X21</f>
        <v>4180.7274839468537</v>
      </c>
      <c r="Z151">
        <f>[1]Low!Y21</f>
        <v>4017.68060019739</v>
      </c>
      <c r="AA151">
        <f>[1]Low!Z21</f>
        <v>3874.8466696119813</v>
      </c>
      <c r="AB151">
        <f>[1]Low!AA21</f>
        <v>3749.8929888669386</v>
      </c>
      <c r="AC151">
        <f>[1]Low!AB21</f>
        <v>3639.5252927212396</v>
      </c>
      <c r="AD151">
        <f>[1]Low!AC21</f>
        <v>3541.3123126382884</v>
      </c>
      <c r="AE151">
        <f>[1]Low!AD21</f>
        <v>3453.6269988315471</v>
      </c>
      <c r="AF151">
        <f>[1]Low!AE21</f>
        <v>3374.8570009824771</v>
      </c>
      <c r="AG151">
        <f>[1]Low!AF21</f>
        <v>3302.2444168992765</v>
      </c>
      <c r="AH151">
        <f>[1]Low!AG21</f>
        <v>3233.8509649683383</v>
      </c>
      <c r="AI151">
        <f>[1]Low!AH21</f>
        <v>3168.7417978995054</v>
      </c>
      <c r="AJ151">
        <f>[1]Low!AI21</f>
        <v>3109.1156209402434</v>
      </c>
      <c r="AK151">
        <f>[1]Low!AJ21</f>
        <v>3052.2561548593217</v>
      </c>
      <c r="AL151">
        <f>[1]Low!AK21</f>
        <v>2997.1067476801222</v>
      </c>
      <c r="AM151">
        <f>[1]Low!AL21</f>
        <v>2943.0157099061257</v>
      </c>
    </row>
    <row r="152" spans="1:39" x14ac:dyDescent="0.25">
      <c r="A152" t="s">
        <v>35</v>
      </c>
      <c r="B152" t="s">
        <v>75</v>
      </c>
      <c r="C152" t="str">
        <f>[1]Low!B22</f>
        <v>Conventional Heavy</v>
      </c>
      <c r="D152">
        <f>[1]Low!C22</f>
        <v>66520.777872327206</v>
      </c>
      <c r="E152">
        <f>[1]Low!D22</f>
        <v>67372.372664401628</v>
      </c>
      <c r="F152">
        <f>[1]Low!E22</f>
        <v>65879.084796231924</v>
      </c>
      <c r="G152">
        <f>[1]Low!F22</f>
        <v>63127.050796101496</v>
      </c>
      <c r="H152">
        <f>[1]Low!G22</f>
        <v>57738.111714996281</v>
      </c>
      <c r="I152">
        <f>[1]Low!H22</f>
        <v>57927.210582443062</v>
      </c>
      <c r="J152">
        <f>[1]Low!I22</f>
        <v>58235.193228879602</v>
      </c>
      <c r="K152">
        <f>[1]Low!J22</f>
        <v>63998.916429851473</v>
      </c>
      <c r="L152">
        <f>[1]Low!K22</f>
        <v>65898.730391354446</v>
      </c>
      <c r="M152">
        <f>[1]Low!L22</f>
        <v>76109.268382614042</v>
      </c>
      <c r="N152">
        <f>[1]Low!M22</f>
        <v>66480.901538198566</v>
      </c>
      <c r="O152">
        <f>[1]Low!N22</f>
        <v>63793.965540929341</v>
      </c>
      <c r="P152">
        <f>[1]Low!O22</f>
        <v>68379.877899827276</v>
      </c>
      <c r="Q152">
        <f>[1]Low!P22</f>
        <v>72332.06499138783</v>
      </c>
      <c r="R152">
        <f>[1]Low!Q22</f>
        <v>73558.29100391372</v>
      </c>
      <c r="S152">
        <f>[1]Low!R22</f>
        <v>71881.508031924343</v>
      </c>
      <c r="T152">
        <f>[1]Low!S22</f>
        <v>70212.833441299343</v>
      </c>
      <c r="U152">
        <f>[1]Low!T22</f>
        <v>68686.219062596749</v>
      </c>
      <c r="V152">
        <f>[1]Low!U22</f>
        <v>67221.685122589115</v>
      </c>
      <c r="W152">
        <f>[1]Low!V22</f>
        <v>65696.232298945033</v>
      </c>
      <c r="X152">
        <f>[1]Low!W22</f>
        <v>63974.83459670029</v>
      </c>
      <c r="Y152">
        <f>[1]Low!X22</f>
        <v>62238.472567125878</v>
      </c>
      <c r="Z152">
        <f>[1]Low!Y22</f>
        <v>60552.728725965171</v>
      </c>
      <c r="AA152">
        <f>[1]Low!Z22</f>
        <v>58873.339617791869</v>
      </c>
      <c r="AB152">
        <f>[1]Low!AA22</f>
        <v>57158.932528943005</v>
      </c>
      <c r="AC152">
        <f>[1]Low!AB22</f>
        <v>55481.318138543487</v>
      </c>
      <c r="AD152">
        <f>[1]Low!AC22</f>
        <v>53904.123765963355</v>
      </c>
      <c r="AE152">
        <f>[1]Low!AD22</f>
        <v>52399.015043974548</v>
      </c>
      <c r="AF152">
        <f>[1]Low!AE22</f>
        <v>50889.036133843882</v>
      </c>
      <c r="AG152">
        <f>[1]Low!AF22</f>
        <v>49419.543883114478</v>
      </c>
      <c r="AH152">
        <f>[1]Low!AG22</f>
        <v>48008.777546481848</v>
      </c>
      <c r="AI152">
        <f>[1]Low!AH22</f>
        <v>46576.102095172115</v>
      </c>
      <c r="AJ152">
        <f>[1]Low!AI22</f>
        <v>45360.47170447831</v>
      </c>
      <c r="AK152">
        <f>[1]Low!AJ22</f>
        <v>44196.191690322099</v>
      </c>
      <c r="AL152">
        <f>[1]Low!AK22</f>
        <v>43095.340970988931</v>
      </c>
      <c r="AM152">
        <f>[1]Low!AL22</f>
        <v>42040.669857076937</v>
      </c>
    </row>
    <row r="153" spans="1:39" x14ac:dyDescent="0.25">
      <c r="A153" t="s">
        <v>35</v>
      </c>
      <c r="B153" t="s">
        <v>75</v>
      </c>
      <c r="C153" t="str">
        <f>[1]Low!B23</f>
        <v>C5+</v>
      </c>
      <c r="D153">
        <f>[1]Low!C23</f>
        <v>90</v>
      </c>
      <c r="E153">
        <f>[1]Low!D23</f>
        <v>100</v>
      </c>
      <c r="F153">
        <f>[1]Low!E23</f>
        <v>100</v>
      </c>
      <c r="G153">
        <f>[1]Low!F23</f>
        <v>120</v>
      </c>
      <c r="H153">
        <f>[1]Low!G23</f>
        <v>170</v>
      </c>
      <c r="I153">
        <f>[1]Low!H23</f>
        <v>100</v>
      </c>
      <c r="J153">
        <f>[1]Low!I23</f>
        <v>100</v>
      </c>
      <c r="K153">
        <f>[1]Low!J23</f>
        <v>100</v>
      </c>
      <c r="L153">
        <f>[1]Low!K23</f>
        <v>100</v>
      </c>
      <c r="M153">
        <f>[1]Low!L23</f>
        <v>100</v>
      </c>
      <c r="N153">
        <f>[1]Low!M23</f>
        <v>100</v>
      </c>
      <c r="O153">
        <f>[1]Low!N23</f>
        <v>100</v>
      </c>
      <c r="P153">
        <f>[1]Low!O23</f>
        <v>100</v>
      </c>
      <c r="Q153">
        <f>[1]Low!P23</f>
        <v>100</v>
      </c>
      <c r="R153">
        <f>[1]Low!Q23</f>
        <v>100</v>
      </c>
      <c r="S153">
        <f>[1]Low!R23</f>
        <v>100</v>
      </c>
      <c r="T153">
        <f>[1]Low!S23</f>
        <v>100</v>
      </c>
      <c r="U153">
        <f>[1]Low!T23</f>
        <v>100</v>
      </c>
      <c r="V153">
        <f>[1]Low!U23</f>
        <v>100</v>
      </c>
      <c r="W153">
        <f>[1]Low!V23</f>
        <v>100</v>
      </c>
      <c r="X153">
        <f>[1]Low!W23</f>
        <v>100</v>
      </c>
      <c r="Y153">
        <f>[1]Low!X23</f>
        <v>100</v>
      </c>
      <c r="Z153">
        <f>[1]Low!Y23</f>
        <v>100</v>
      </c>
      <c r="AA153">
        <f>[1]Low!Z23</f>
        <v>100</v>
      </c>
      <c r="AB153">
        <f>[1]Low!AA23</f>
        <v>100</v>
      </c>
      <c r="AC153">
        <f>[1]Low!AB23</f>
        <v>100</v>
      </c>
      <c r="AD153">
        <f>[1]Low!AC23</f>
        <v>100</v>
      </c>
      <c r="AE153">
        <f>[1]Low!AD23</f>
        <v>100</v>
      </c>
      <c r="AF153">
        <f>[1]Low!AE23</f>
        <v>100</v>
      </c>
      <c r="AG153">
        <f>[1]Low!AF23</f>
        <v>100</v>
      </c>
      <c r="AH153">
        <f>[1]Low!AG23</f>
        <v>100</v>
      </c>
      <c r="AI153">
        <f>[1]Low!AH23</f>
        <v>100</v>
      </c>
      <c r="AJ153">
        <f>[1]Low!AI23</f>
        <v>100</v>
      </c>
      <c r="AK153">
        <f>[1]Low!AJ23</f>
        <v>100</v>
      </c>
      <c r="AL153">
        <f>[1]Low!AK23</f>
        <v>100</v>
      </c>
      <c r="AM153">
        <f>[1]Low!AL23</f>
        <v>100</v>
      </c>
    </row>
    <row r="154" spans="1:39" x14ac:dyDescent="0.25">
      <c r="A154" t="s">
        <v>35</v>
      </c>
      <c r="B154" t="s">
        <v>75</v>
      </c>
      <c r="C154" t="s">
        <v>23</v>
      </c>
      <c r="D154">
        <f>SUM(D151:D153)</f>
        <v>66707.270188812094</v>
      </c>
      <c r="E154">
        <f t="shared" ref="E154:AM154" si="23">SUM(E151:E153)</f>
        <v>68152.120754608288</v>
      </c>
      <c r="F154">
        <f t="shared" si="23"/>
        <v>68070.971326164872</v>
      </c>
      <c r="G154">
        <f t="shared" si="23"/>
        <v>69965.500000000015</v>
      </c>
      <c r="H154">
        <f t="shared" si="23"/>
        <v>67609.15027265744</v>
      </c>
      <c r="I154">
        <f t="shared" si="23"/>
        <v>67255.468236047105</v>
      </c>
      <c r="J154">
        <f t="shared" si="23"/>
        <v>68047.183172043005</v>
      </c>
      <c r="K154">
        <f t="shared" si="23"/>
        <v>75064.26213965693</v>
      </c>
      <c r="L154">
        <f t="shared" si="23"/>
        <v>77160.802287506376</v>
      </c>
      <c r="M154">
        <f t="shared" si="23"/>
        <v>88652.537499999991</v>
      </c>
      <c r="N154">
        <f t="shared" si="23"/>
        <v>77441.298909370191</v>
      </c>
      <c r="O154">
        <f t="shared" si="23"/>
        <v>73147.161491163002</v>
      </c>
      <c r="P154">
        <f t="shared" si="23"/>
        <v>77484.242273129537</v>
      </c>
      <c r="Q154">
        <f t="shared" si="23"/>
        <v>81170.530928985681</v>
      </c>
      <c r="R154">
        <f t="shared" si="23"/>
        <v>81553.028507140654</v>
      </c>
      <c r="S154">
        <f t="shared" si="23"/>
        <v>78825.039306187231</v>
      </c>
      <c r="T154">
        <f t="shared" si="23"/>
        <v>76361.347788585161</v>
      </c>
      <c r="U154">
        <f t="shared" si="23"/>
        <v>74216.023564509334</v>
      </c>
      <c r="V154">
        <f t="shared" si="23"/>
        <v>72292.759595871365</v>
      </c>
      <c r="W154">
        <f t="shared" si="23"/>
        <v>70429.902344853937</v>
      </c>
      <c r="X154">
        <f t="shared" si="23"/>
        <v>68452.560512274984</v>
      </c>
      <c r="Y154">
        <f t="shared" si="23"/>
        <v>66519.200051072738</v>
      </c>
      <c r="Z154">
        <f t="shared" si="23"/>
        <v>64670.40932616256</v>
      </c>
      <c r="AA154">
        <f t="shared" si="23"/>
        <v>62848.186287403849</v>
      </c>
      <c r="AB154">
        <f t="shared" si="23"/>
        <v>61008.825517809943</v>
      </c>
      <c r="AC154">
        <f t="shared" si="23"/>
        <v>59220.84343126473</v>
      </c>
      <c r="AD154">
        <f t="shared" si="23"/>
        <v>57545.43607860164</v>
      </c>
      <c r="AE154">
        <f t="shared" si="23"/>
        <v>55952.642042806096</v>
      </c>
      <c r="AF154">
        <f t="shared" si="23"/>
        <v>54363.893134826358</v>
      </c>
      <c r="AG154">
        <f t="shared" si="23"/>
        <v>52821.788300013752</v>
      </c>
      <c r="AH154">
        <f t="shared" si="23"/>
        <v>51342.628511450188</v>
      </c>
      <c r="AI154">
        <f t="shared" si="23"/>
        <v>49844.843893071622</v>
      </c>
      <c r="AJ154">
        <f t="shared" si="23"/>
        <v>48569.587325418557</v>
      </c>
      <c r="AK154">
        <f t="shared" si="23"/>
        <v>47348.447845181421</v>
      </c>
      <c r="AL154">
        <f t="shared" si="23"/>
        <v>46192.447718669056</v>
      </c>
      <c r="AM154">
        <f t="shared" si="23"/>
        <v>45083.685566983062</v>
      </c>
    </row>
    <row r="155" spans="1:39" x14ac:dyDescent="0.25">
      <c r="A155" t="s">
        <v>35</v>
      </c>
      <c r="B155" t="s">
        <v>76</v>
      </c>
      <c r="C155" t="str">
        <f>[1]Low!B24</f>
        <v>Conventional Light</v>
      </c>
      <c r="D155">
        <f>[1]Low!C24</f>
        <v>2203.4851382488482</v>
      </c>
      <c r="E155">
        <f>[1]Low!D24</f>
        <v>3398.1617415514593</v>
      </c>
      <c r="F155">
        <f>[1]Low!E24</f>
        <v>3531.5109030977987</v>
      </c>
      <c r="G155">
        <f>[1]Low!F24</f>
        <v>3746.5833333333339</v>
      </c>
      <c r="H155">
        <f>[1]Low!G24</f>
        <v>4116.2247580645162</v>
      </c>
      <c r="I155">
        <f>[1]Low!H24</f>
        <v>4763.6846684587817</v>
      </c>
      <c r="J155">
        <f>[1]Low!I24</f>
        <v>6462.2715092165899</v>
      </c>
      <c r="K155">
        <f>[1]Low!J24</f>
        <v>8094.5645528982814</v>
      </c>
      <c r="L155">
        <f>[1]Low!K24</f>
        <v>8262.7367191500271</v>
      </c>
      <c r="M155">
        <f>[1]Low!L24</f>
        <v>7781.3506688428042</v>
      </c>
      <c r="N155">
        <f>[1]Low!M24</f>
        <v>7282.7969105222728</v>
      </c>
      <c r="O155">
        <f>[1]Low!N24</f>
        <v>6380.9985653812873</v>
      </c>
      <c r="P155">
        <f>[1]Low!O24</f>
        <v>5830.8193436537013</v>
      </c>
      <c r="Q155">
        <f>[1]Low!P24</f>
        <v>5369.865258996082</v>
      </c>
      <c r="R155">
        <f>[1]Low!Q24</f>
        <v>4826.200514756646</v>
      </c>
      <c r="S155">
        <f>[1]Low!R24</f>
        <v>4267.6017782455583</v>
      </c>
      <c r="T155">
        <f>[1]Low!S24</f>
        <v>3797.378295239665</v>
      </c>
      <c r="U155">
        <f>[1]Low!T24</f>
        <v>3399.8378073104177</v>
      </c>
      <c r="V155">
        <f>[1]Low!U24</f>
        <v>3065.0307733479453</v>
      </c>
      <c r="W155">
        <f>[1]Low!V24</f>
        <v>2768.2390913435229</v>
      </c>
      <c r="X155">
        <f>[1]Low!W24</f>
        <v>2495.7500226776319</v>
      </c>
      <c r="Y155">
        <f>[1]Low!X24</f>
        <v>2266.0725639206576</v>
      </c>
      <c r="Z155">
        <f>[1]Low!Y24</f>
        <v>2073.8518187363525</v>
      </c>
      <c r="AA155">
        <f>[1]Low!Z24</f>
        <v>1904.0265262321277</v>
      </c>
      <c r="AB155">
        <f>[1]Low!AA24</f>
        <v>1753.2272247578774</v>
      </c>
      <c r="AC155">
        <f>[1]Low!AB24</f>
        <v>1618.4977142543837</v>
      </c>
      <c r="AD155">
        <f>[1]Low!AC24</f>
        <v>1497.3150864770485</v>
      </c>
      <c r="AE155">
        <f>[1]Low!AD24</f>
        <v>1388.2489355591995</v>
      </c>
      <c r="AF155">
        <f>[1]Low!AE24</f>
        <v>1290.1444688857778</v>
      </c>
      <c r="AG155">
        <f>[1]Low!AF24</f>
        <v>1201.6723132268414</v>
      </c>
      <c r="AH155">
        <f>[1]Low!AG24</f>
        <v>1121.7904641232358</v>
      </c>
      <c r="AI155">
        <f>[1]Low!AH24</f>
        <v>1046.5511629260316</v>
      </c>
      <c r="AJ155">
        <f>[1]Low!AI24</f>
        <v>962.39270006440984</v>
      </c>
      <c r="AK155">
        <f>[1]Low!AJ24</f>
        <v>882.76610947739414</v>
      </c>
      <c r="AL155">
        <f>[1]Low!AK24</f>
        <v>818.24779277914524</v>
      </c>
      <c r="AM155">
        <f>[1]Low!AL24</f>
        <v>761.54052909836571</v>
      </c>
    </row>
    <row r="156" spans="1:39" x14ac:dyDescent="0.25">
      <c r="A156" t="s">
        <v>35</v>
      </c>
      <c r="B156" t="s">
        <v>76</v>
      </c>
      <c r="C156" t="s">
        <v>23</v>
      </c>
      <c r="D156">
        <f>D155</f>
        <v>2203.4851382488482</v>
      </c>
      <c r="E156">
        <f t="shared" ref="E156:AM156" si="24">E155</f>
        <v>3398.1617415514593</v>
      </c>
      <c r="F156">
        <f t="shared" si="24"/>
        <v>3531.5109030977987</v>
      </c>
      <c r="G156">
        <f t="shared" si="24"/>
        <v>3746.5833333333339</v>
      </c>
      <c r="H156">
        <f t="shared" si="24"/>
        <v>4116.2247580645162</v>
      </c>
      <c r="I156">
        <f t="shared" si="24"/>
        <v>4763.6846684587817</v>
      </c>
      <c r="J156">
        <f t="shared" si="24"/>
        <v>6462.2715092165899</v>
      </c>
      <c r="K156">
        <f t="shared" si="24"/>
        <v>8094.5645528982814</v>
      </c>
      <c r="L156">
        <f t="shared" si="24"/>
        <v>8262.7367191500271</v>
      </c>
      <c r="M156">
        <f t="shared" si="24"/>
        <v>7781.3506688428042</v>
      </c>
      <c r="N156">
        <f t="shared" si="24"/>
        <v>7282.7969105222728</v>
      </c>
      <c r="O156">
        <f t="shared" si="24"/>
        <v>6380.9985653812873</v>
      </c>
      <c r="P156">
        <f t="shared" si="24"/>
        <v>5830.8193436537013</v>
      </c>
      <c r="Q156">
        <f t="shared" si="24"/>
        <v>5369.865258996082</v>
      </c>
      <c r="R156">
        <f t="shared" si="24"/>
        <v>4826.200514756646</v>
      </c>
      <c r="S156">
        <f t="shared" si="24"/>
        <v>4267.6017782455583</v>
      </c>
      <c r="T156">
        <f t="shared" si="24"/>
        <v>3797.378295239665</v>
      </c>
      <c r="U156">
        <f t="shared" si="24"/>
        <v>3399.8378073104177</v>
      </c>
      <c r="V156">
        <f t="shared" si="24"/>
        <v>3065.0307733479453</v>
      </c>
      <c r="W156">
        <f t="shared" si="24"/>
        <v>2768.2390913435229</v>
      </c>
      <c r="X156">
        <f t="shared" si="24"/>
        <v>2495.7500226776319</v>
      </c>
      <c r="Y156">
        <f t="shared" si="24"/>
        <v>2266.0725639206576</v>
      </c>
      <c r="Z156">
        <f t="shared" si="24"/>
        <v>2073.8518187363525</v>
      </c>
      <c r="AA156">
        <f t="shared" si="24"/>
        <v>1904.0265262321277</v>
      </c>
      <c r="AB156">
        <f t="shared" si="24"/>
        <v>1753.2272247578774</v>
      </c>
      <c r="AC156">
        <f t="shared" si="24"/>
        <v>1618.4977142543837</v>
      </c>
      <c r="AD156">
        <f t="shared" si="24"/>
        <v>1497.3150864770485</v>
      </c>
      <c r="AE156">
        <f t="shared" si="24"/>
        <v>1388.2489355591995</v>
      </c>
      <c r="AF156">
        <f t="shared" si="24"/>
        <v>1290.1444688857778</v>
      </c>
      <c r="AG156">
        <f t="shared" si="24"/>
        <v>1201.6723132268414</v>
      </c>
      <c r="AH156">
        <f t="shared" si="24"/>
        <v>1121.7904641232358</v>
      </c>
      <c r="AI156">
        <f t="shared" si="24"/>
        <v>1046.5511629260316</v>
      </c>
      <c r="AJ156">
        <f t="shared" si="24"/>
        <v>962.39270006440984</v>
      </c>
      <c r="AK156">
        <f t="shared" si="24"/>
        <v>882.76610947739414</v>
      </c>
      <c r="AL156">
        <f t="shared" si="24"/>
        <v>818.24779277914524</v>
      </c>
      <c r="AM156">
        <f t="shared" si="24"/>
        <v>761.54052909836571</v>
      </c>
    </row>
    <row r="157" spans="1:39" x14ac:dyDescent="0.25">
      <c r="A157" t="s">
        <v>35</v>
      </c>
      <c r="B157" t="s">
        <v>77</v>
      </c>
      <c r="C157" t="str">
        <f>[1]Low!B25</f>
        <v>Conventional Light</v>
      </c>
      <c r="D157">
        <f>[1]Low!C25</f>
        <v>380</v>
      </c>
      <c r="E157">
        <f>[1]Low!D25</f>
        <v>340</v>
      </c>
      <c r="F157">
        <f>[1]Low!E25</f>
        <v>300</v>
      </c>
      <c r="G157">
        <f>[1]Low!F25</f>
        <v>270</v>
      </c>
      <c r="H157">
        <f>[1]Low!G25</f>
        <v>250</v>
      </c>
      <c r="I157">
        <f>[1]Low!H25</f>
        <v>240</v>
      </c>
      <c r="J157">
        <f>[1]Low!I25</f>
        <v>220</v>
      </c>
      <c r="K157">
        <f>[1]Low!J25</f>
        <v>220</v>
      </c>
      <c r="L157">
        <f>[1]Low!K25</f>
        <v>200</v>
      </c>
      <c r="M157">
        <f>[1]Low!L25</f>
        <v>190</v>
      </c>
      <c r="N157">
        <f>[1]Low!M25</f>
        <v>157.3838965693806</v>
      </c>
      <c r="O157">
        <f>[1]Low!N25</f>
        <v>155.15005760368666</v>
      </c>
      <c r="P157">
        <f>[1]Low!O25</f>
        <v>94</v>
      </c>
      <c r="Q157">
        <f>[1]Low!P25</f>
        <v>120</v>
      </c>
      <c r="R157">
        <f>[1]Low!Q25</f>
        <v>117</v>
      </c>
      <c r="S157">
        <f>[1]Low!R25</f>
        <v>109</v>
      </c>
      <c r="T157">
        <f>[1]Low!S25</f>
        <v>105</v>
      </c>
      <c r="U157">
        <f>[1]Low!T25</f>
        <v>100</v>
      </c>
      <c r="V157">
        <f>[1]Low!U25</f>
        <v>100</v>
      </c>
      <c r="W157">
        <f>[1]Low!V25</f>
        <v>103</v>
      </c>
      <c r="X157">
        <f>[1]Low!W25</f>
        <v>105</v>
      </c>
      <c r="Y157">
        <f>[1]Low!X25</f>
        <v>104</v>
      </c>
      <c r="Z157">
        <f>[1]Low!Y25</f>
        <v>102</v>
      </c>
      <c r="AA157">
        <f>[1]Low!Z25</f>
        <v>98</v>
      </c>
      <c r="AB157">
        <f>[1]Low!AA25</f>
        <v>98</v>
      </c>
      <c r="AC157">
        <f>[1]Low!AB25</f>
        <v>102</v>
      </c>
      <c r="AD157">
        <f>[1]Low!AC25</f>
        <v>100</v>
      </c>
      <c r="AE157">
        <f>[1]Low!AD25</f>
        <v>101</v>
      </c>
      <c r="AF157">
        <f>[1]Low!AE25</f>
        <v>97</v>
      </c>
      <c r="AG157">
        <f>[1]Low!AF25</f>
        <v>96</v>
      </c>
      <c r="AH157">
        <f>[1]Low!AG25</f>
        <v>97</v>
      </c>
      <c r="AI157">
        <f>[1]Low!AH25</f>
        <v>93</v>
      </c>
      <c r="AJ157">
        <f>[1]Low!AI25</f>
        <v>90</v>
      </c>
      <c r="AK157">
        <f>[1]Low!AJ25</f>
        <v>88</v>
      </c>
      <c r="AL157">
        <f>[1]Low!AK25</f>
        <v>85</v>
      </c>
      <c r="AM157">
        <f>[1]Low!AL25</f>
        <v>81</v>
      </c>
    </row>
    <row r="158" spans="1:39" x14ac:dyDescent="0.25">
      <c r="A158" t="s">
        <v>35</v>
      </c>
      <c r="B158" t="s">
        <v>77</v>
      </c>
      <c r="C158" t="s">
        <v>23</v>
      </c>
      <c r="D158">
        <f>D157</f>
        <v>380</v>
      </c>
      <c r="E158">
        <f t="shared" ref="E158:AM158" si="25">E157</f>
        <v>340</v>
      </c>
      <c r="F158">
        <f t="shared" si="25"/>
        <v>300</v>
      </c>
      <c r="G158">
        <f t="shared" si="25"/>
        <v>270</v>
      </c>
      <c r="H158">
        <f t="shared" si="25"/>
        <v>250</v>
      </c>
      <c r="I158">
        <f t="shared" si="25"/>
        <v>240</v>
      </c>
      <c r="J158">
        <f t="shared" si="25"/>
        <v>220</v>
      </c>
      <c r="K158">
        <f t="shared" si="25"/>
        <v>220</v>
      </c>
      <c r="L158">
        <f t="shared" si="25"/>
        <v>200</v>
      </c>
      <c r="M158">
        <f t="shared" si="25"/>
        <v>190</v>
      </c>
      <c r="N158">
        <f t="shared" si="25"/>
        <v>157.3838965693806</v>
      </c>
      <c r="O158">
        <f t="shared" si="25"/>
        <v>155.15005760368666</v>
      </c>
      <c r="P158">
        <f t="shared" si="25"/>
        <v>94</v>
      </c>
      <c r="Q158">
        <f t="shared" si="25"/>
        <v>120</v>
      </c>
      <c r="R158">
        <f t="shared" si="25"/>
        <v>117</v>
      </c>
      <c r="S158">
        <f t="shared" si="25"/>
        <v>109</v>
      </c>
      <c r="T158">
        <f t="shared" si="25"/>
        <v>105</v>
      </c>
      <c r="U158">
        <f t="shared" si="25"/>
        <v>100</v>
      </c>
      <c r="V158">
        <f t="shared" si="25"/>
        <v>100</v>
      </c>
      <c r="W158">
        <f t="shared" si="25"/>
        <v>103</v>
      </c>
      <c r="X158">
        <f t="shared" si="25"/>
        <v>105</v>
      </c>
      <c r="Y158">
        <f t="shared" si="25"/>
        <v>104</v>
      </c>
      <c r="Z158">
        <f t="shared" si="25"/>
        <v>102</v>
      </c>
      <c r="AA158">
        <f t="shared" si="25"/>
        <v>98</v>
      </c>
      <c r="AB158">
        <f t="shared" si="25"/>
        <v>98</v>
      </c>
      <c r="AC158">
        <f t="shared" si="25"/>
        <v>102</v>
      </c>
      <c r="AD158">
        <f t="shared" si="25"/>
        <v>100</v>
      </c>
      <c r="AE158">
        <f t="shared" si="25"/>
        <v>101</v>
      </c>
      <c r="AF158">
        <f t="shared" si="25"/>
        <v>97</v>
      </c>
      <c r="AG158">
        <f t="shared" si="25"/>
        <v>96</v>
      </c>
      <c r="AH158">
        <f t="shared" si="25"/>
        <v>97</v>
      </c>
      <c r="AI158">
        <f t="shared" si="25"/>
        <v>93</v>
      </c>
      <c r="AJ158">
        <f t="shared" si="25"/>
        <v>90</v>
      </c>
      <c r="AK158">
        <f t="shared" si="25"/>
        <v>88</v>
      </c>
      <c r="AL158">
        <f t="shared" si="25"/>
        <v>85</v>
      </c>
      <c r="AM158">
        <f t="shared" si="25"/>
        <v>81</v>
      </c>
    </row>
    <row r="159" spans="1:39" x14ac:dyDescent="0.25">
      <c r="A159" t="s">
        <v>35</v>
      </c>
      <c r="B159" t="s">
        <v>78</v>
      </c>
      <c r="C159" t="str">
        <f>[1]Low!B26</f>
        <v>Conventional Light</v>
      </c>
      <c r="D159">
        <f>[1]Low!C26</f>
        <v>0</v>
      </c>
      <c r="E159">
        <f>[1]Low!D26</f>
        <v>0</v>
      </c>
      <c r="F159">
        <f>[1]Low!E26</f>
        <v>0</v>
      </c>
      <c r="G159">
        <f>[1]Low!F26</f>
        <v>0</v>
      </c>
      <c r="H159">
        <f>[1]Low!G26</f>
        <v>0</v>
      </c>
      <c r="I159">
        <f>[1]Low!H26</f>
        <v>0</v>
      </c>
      <c r="J159">
        <f>[1]Low!I26</f>
        <v>0</v>
      </c>
      <c r="K159">
        <f>[1]Low!J26</f>
        <v>0</v>
      </c>
      <c r="L159">
        <f>[1]Low!K26</f>
        <v>0</v>
      </c>
      <c r="M159">
        <f>[1]Low!L26</f>
        <v>0</v>
      </c>
      <c r="N159">
        <f>[1]Low!M26</f>
        <v>0</v>
      </c>
      <c r="O159">
        <f>[1]Low!N26</f>
        <v>0</v>
      </c>
      <c r="P159">
        <f>[1]Low!O26</f>
        <v>0</v>
      </c>
      <c r="Q159">
        <f>[1]Low!P26</f>
        <v>0</v>
      </c>
      <c r="R159">
        <f>[1]Low!Q26</f>
        <v>0</v>
      </c>
      <c r="S159">
        <f>[1]Low!R26</f>
        <v>0</v>
      </c>
      <c r="T159">
        <f>[1]Low!S26</f>
        <v>0</v>
      </c>
      <c r="U159">
        <f>[1]Low!T26</f>
        <v>0</v>
      </c>
      <c r="V159">
        <f>[1]Low!U26</f>
        <v>0</v>
      </c>
      <c r="W159">
        <f>[1]Low!V26</f>
        <v>0</v>
      </c>
      <c r="X159">
        <f>[1]Low!W26</f>
        <v>0</v>
      </c>
      <c r="Y159">
        <f>[1]Low!X26</f>
        <v>0</v>
      </c>
      <c r="Z159">
        <f>[1]Low!Y26</f>
        <v>0</v>
      </c>
      <c r="AA159">
        <f>[1]Low!Z26</f>
        <v>0</v>
      </c>
      <c r="AB159">
        <f>[1]Low!AA26</f>
        <v>0</v>
      </c>
      <c r="AC159">
        <f>[1]Low!AB26</f>
        <v>0</v>
      </c>
      <c r="AD159">
        <f>[1]Low!AC26</f>
        <v>0</v>
      </c>
      <c r="AE159">
        <f>[1]Low!AD26</f>
        <v>0</v>
      </c>
      <c r="AF159">
        <f>[1]Low!AE26</f>
        <v>0</v>
      </c>
      <c r="AG159">
        <f>[1]Low!AF26</f>
        <v>0</v>
      </c>
      <c r="AH159">
        <f>[1]Low!AG26</f>
        <v>0</v>
      </c>
      <c r="AI159">
        <f>[1]Low!AH26</f>
        <v>0</v>
      </c>
      <c r="AJ159">
        <f>[1]Low!AI26</f>
        <v>0</v>
      </c>
      <c r="AK159">
        <f>[1]Low!AJ26</f>
        <v>0</v>
      </c>
      <c r="AL159">
        <f>[1]Low!AK26</f>
        <v>0</v>
      </c>
      <c r="AM159">
        <f>[1]Low!AL26</f>
        <v>0</v>
      </c>
    </row>
    <row r="160" spans="1:39" x14ac:dyDescent="0.25">
      <c r="A160" t="s">
        <v>35</v>
      </c>
      <c r="B160" t="s">
        <v>78</v>
      </c>
      <c r="C160" t="s">
        <v>23</v>
      </c>
      <c r="D160">
        <f>D159</f>
        <v>0</v>
      </c>
      <c r="E160">
        <f t="shared" ref="E160:AM160" si="26">E159</f>
        <v>0</v>
      </c>
      <c r="F160">
        <f t="shared" si="26"/>
        <v>0</v>
      </c>
      <c r="G160">
        <f t="shared" si="26"/>
        <v>0</v>
      </c>
      <c r="H160">
        <f t="shared" si="26"/>
        <v>0</v>
      </c>
      <c r="I160">
        <f t="shared" si="26"/>
        <v>0</v>
      </c>
      <c r="J160">
        <f t="shared" si="26"/>
        <v>0</v>
      </c>
      <c r="K160">
        <f t="shared" si="26"/>
        <v>0</v>
      </c>
      <c r="L160">
        <f t="shared" si="26"/>
        <v>0</v>
      </c>
      <c r="M160">
        <f t="shared" si="26"/>
        <v>0</v>
      </c>
      <c r="N160">
        <f t="shared" si="26"/>
        <v>0</v>
      </c>
      <c r="O160">
        <f t="shared" si="26"/>
        <v>0</v>
      </c>
      <c r="P160">
        <f t="shared" si="26"/>
        <v>0</v>
      </c>
      <c r="Q160">
        <f t="shared" si="26"/>
        <v>0</v>
      </c>
      <c r="R160">
        <f t="shared" si="26"/>
        <v>0</v>
      </c>
      <c r="S160">
        <f t="shared" si="26"/>
        <v>0</v>
      </c>
      <c r="T160">
        <f t="shared" si="26"/>
        <v>0</v>
      </c>
      <c r="U160">
        <f t="shared" si="26"/>
        <v>0</v>
      </c>
      <c r="V160">
        <f t="shared" si="26"/>
        <v>0</v>
      </c>
      <c r="W160">
        <f t="shared" si="26"/>
        <v>0</v>
      </c>
      <c r="X160">
        <f t="shared" si="26"/>
        <v>0</v>
      </c>
      <c r="Y160">
        <f t="shared" si="26"/>
        <v>0</v>
      </c>
      <c r="Z160">
        <f t="shared" si="26"/>
        <v>0</v>
      </c>
      <c r="AA160">
        <f t="shared" si="26"/>
        <v>0</v>
      </c>
      <c r="AB160">
        <f t="shared" si="26"/>
        <v>0</v>
      </c>
      <c r="AC160">
        <f t="shared" si="26"/>
        <v>0</v>
      </c>
      <c r="AD160">
        <f t="shared" si="26"/>
        <v>0</v>
      </c>
      <c r="AE160">
        <f t="shared" si="26"/>
        <v>0</v>
      </c>
      <c r="AF160">
        <f t="shared" si="26"/>
        <v>0</v>
      </c>
      <c r="AG160">
        <f t="shared" si="26"/>
        <v>0</v>
      </c>
      <c r="AH160">
        <f t="shared" si="26"/>
        <v>0</v>
      </c>
      <c r="AI160">
        <f t="shared" si="26"/>
        <v>0</v>
      </c>
      <c r="AJ160">
        <f t="shared" si="26"/>
        <v>0</v>
      </c>
      <c r="AK160">
        <f t="shared" si="26"/>
        <v>0</v>
      </c>
      <c r="AL160">
        <f t="shared" si="26"/>
        <v>0</v>
      </c>
      <c r="AM160">
        <f t="shared" si="26"/>
        <v>0</v>
      </c>
    </row>
    <row r="161" spans="1:39" x14ac:dyDescent="0.25">
      <c r="A161" t="s">
        <v>35</v>
      </c>
      <c r="B161" t="s">
        <v>79</v>
      </c>
      <c r="C161" t="str">
        <f>[1]Low!B27</f>
        <v>Conventional Light</v>
      </c>
      <c r="D161">
        <f>[1]Low!C27</f>
        <v>0</v>
      </c>
      <c r="E161">
        <f>[1]Low!D27</f>
        <v>0</v>
      </c>
      <c r="F161">
        <f>[1]Low!E27</f>
        <v>0</v>
      </c>
      <c r="G161">
        <f>[1]Low!F27</f>
        <v>0</v>
      </c>
      <c r="H161">
        <f>[1]Low!G27</f>
        <v>0</v>
      </c>
      <c r="I161">
        <f>[1]Low!H27</f>
        <v>0</v>
      </c>
      <c r="J161">
        <f>[1]Low!I27</f>
        <v>0</v>
      </c>
      <c r="K161">
        <f>[1]Low!J27</f>
        <v>0</v>
      </c>
      <c r="L161">
        <f>[1]Low!K27</f>
        <v>0</v>
      </c>
      <c r="M161">
        <f>[1]Low!L27</f>
        <v>0</v>
      </c>
      <c r="N161">
        <f>[1]Low!M27</f>
        <v>0</v>
      </c>
      <c r="O161">
        <f>[1]Low!N27</f>
        <v>0</v>
      </c>
      <c r="P161">
        <f>[1]Low!O27</f>
        <v>0</v>
      </c>
      <c r="Q161">
        <f>[1]Low!P27</f>
        <v>0</v>
      </c>
      <c r="R161">
        <f>[1]Low!Q27</f>
        <v>0</v>
      </c>
      <c r="S161">
        <f>[1]Low!R27</f>
        <v>0</v>
      </c>
      <c r="T161">
        <f>[1]Low!S27</f>
        <v>0</v>
      </c>
      <c r="U161">
        <f>[1]Low!T27</f>
        <v>0</v>
      </c>
      <c r="V161">
        <f>[1]Low!U27</f>
        <v>0</v>
      </c>
      <c r="W161">
        <f>[1]Low!V27</f>
        <v>0</v>
      </c>
      <c r="X161">
        <f>[1]Low!W27</f>
        <v>0</v>
      </c>
      <c r="Y161">
        <f>[1]Low!X27</f>
        <v>0</v>
      </c>
      <c r="Z161">
        <f>[1]Low!Y27</f>
        <v>0</v>
      </c>
      <c r="AA161">
        <f>[1]Low!Z27</f>
        <v>0</v>
      </c>
      <c r="AB161">
        <f>[1]Low!AA27</f>
        <v>0</v>
      </c>
      <c r="AC161">
        <f>[1]Low!AB27</f>
        <v>0</v>
      </c>
      <c r="AD161">
        <f>[1]Low!AC27</f>
        <v>0</v>
      </c>
      <c r="AE161">
        <f>[1]Low!AD27</f>
        <v>0</v>
      </c>
      <c r="AF161">
        <f>[1]Low!AE27</f>
        <v>0</v>
      </c>
      <c r="AG161">
        <f>[1]Low!AF27</f>
        <v>0</v>
      </c>
      <c r="AH161">
        <f>[1]Low!AG27</f>
        <v>0</v>
      </c>
      <c r="AI161">
        <f>[1]Low!AH27</f>
        <v>0</v>
      </c>
      <c r="AJ161">
        <f>[1]Low!AI27</f>
        <v>0</v>
      </c>
      <c r="AK161">
        <f>[1]Low!AJ27</f>
        <v>0</v>
      </c>
      <c r="AL161">
        <f>[1]Low!AK27</f>
        <v>0</v>
      </c>
      <c r="AM161">
        <f>[1]Low!AL27</f>
        <v>0</v>
      </c>
    </row>
    <row r="162" spans="1:39" x14ac:dyDescent="0.25">
      <c r="A162" t="s">
        <v>35</v>
      </c>
      <c r="B162" t="s">
        <v>79</v>
      </c>
      <c r="C162" t="str">
        <f>[1]Low!B28</f>
        <v>C5+</v>
      </c>
      <c r="D162">
        <f>[1]Low!C28</f>
        <v>2050</v>
      </c>
      <c r="E162">
        <f>[1]Low!D28</f>
        <v>1910</v>
      </c>
      <c r="F162">
        <f>[1]Low!E28</f>
        <v>1890</v>
      </c>
      <c r="G162">
        <f>[1]Low!F28</f>
        <v>1750</v>
      </c>
      <c r="H162">
        <f>[1]Low!G28</f>
        <v>1130</v>
      </c>
      <c r="I162">
        <f>[1]Low!H28</f>
        <v>1070</v>
      </c>
      <c r="J162">
        <f>[1]Low!I28</f>
        <v>860</v>
      </c>
      <c r="K162">
        <f>[1]Low!J28</f>
        <v>580</v>
      </c>
      <c r="L162">
        <f>[1]Low!K28</f>
        <v>330</v>
      </c>
      <c r="M162">
        <f>[1]Low!L28</f>
        <v>460</v>
      </c>
      <c r="N162">
        <f>[1]Low!M28</f>
        <v>439.2230136986301</v>
      </c>
      <c r="O162">
        <f>[1]Low!N28</f>
        <v>416.31040165903886</v>
      </c>
      <c r="P162">
        <f>[1]Low!O28</f>
        <v>312</v>
      </c>
      <c r="Q162">
        <f>[1]Low!P28</f>
        <v>275</v>
      </c>
      <c r="R162">
        <f>[1]Low!Q28</f>
        <v>211</v>
      </c>
      <c r="S162">
        <f>[1]Low!R28</f>
        <v>195</v>
      </c>
      <c r="T162">
        <f>[1]Low!S28</f>
        <v>170</v>
      </c>
      <c r="U162">
        <f>[1]Low!T28</f>
        <v>0</v>
      </c>
      <c r="V162">
        <f>[1]Low!U28</f>
        <v>0</v>
      </c>
      <c r="W162">
        <f>[1]Low!V28</f>
        <v>0</v>
      </c>
      <c r="X162">
        <f>[1]Low!W28</f>
        <v>0</v>
      </c>
      <c r="Y162">
        <f>[1]Low!X28</f>
        <v>0</v>
      </c>
      <c r="Z162">
        <f>[1]Low!Y28</f>
        <v>0</v>
      </c>
      <c r="AA162">
        <f>[1]Low!Z28</f>
        <v>0</v>
      </c>
      <c r="AB162">
        <f>[1]Low!AA28</f>
        <v>0</v>
      </c>
      <c r="AC162">
        <f>[1]Low!AB28</f>
        <v>0</v>
      </c>
      <c r="AD162">
        <f>[1]Low!AC28</f>
        <v>0</v>
      </c>
      <c r="AE162">
        <f>[1]Low!AD28</f>
        <v>0</v>
      </c>
      <c r="AF162">
        <f>[1]Low!AE28</f>
        <v>0</v>
      </c>
      <c r="AG162">
        <f>[1]Low!AF28</f>
        <v>0</v>
      </c>
      <c r="AH162">
        <f>[1]Low!AG28</f>
        <v>0</v>
      </c>
      <c r="AI162">
        <f>[1]Low!AH28</f>
        <v>0</v>
      </c>
      <c r="AJ162">
        <f>[1]Low!AI28</f>
        <v>0</v>
      </c>
      <c r="AK162">
        <f>[1]Low!AJ28</f>
        <v>0</v>
      </c>
      <c r="AL162">
        <f>[1]Low!AK28</f>
        <v>0</v>
      </c>
      <c r="AM162">
        <f>[1]Low!AL28</f>
        <v>0</v>
      </c>
    </row>
    <row r="163" spans="1:39" x14ac:dyDescent="0.25">
      <c r="A163" t="s">
        <v>35</v>
      </c>
      <c r="B163" t="s">
        <v>79</v>
      </c>
      <c r="C163" t="s">
        <v>23</v>
      </c>
      <c r="D163">
        <f>D162+D161</f>
        <v>2050</v>
      </c>
      <c r="E163">
        <f t="shared" ref="E163:AM163" si="27">E162+E161</f>
        <v>1910</v>
      </c>
      <c r="F163">
        <f t="shared" si="27"/>
        <v>1890</v>
      </c>
      <c r="G163">
        <f t="shared" si="27"/>
        <v>1750</v>
      </c>
      <c r="H163">
        <f t="shared" si="27"/>
        <v>1130</v>
      </c>
      <c r="I163">
        <f t="shared" si="27"/>
        <v>1070</v>
      </c>
      <c r="J163">
        <f t="shared" si="27"/>
        <v>860</v>
      </c>
      <c r="K163">
        <f t="shared" si="27"/>
        <v>580</v>
      </c>
      <c r="L163">
        <f t="shared" si="27"/>
        <v>330</v>
      </c>
      <c r="M163">
        <f t="shared" si="27"/>
        <v>460</v>
      </c>
      <c r="N163">
        <f t="shared" si="27"/>
        <v>439.2230136986301</v>
      </c>
      <c r="O163">
        <f t="shared" si="27"/>
        <v>416.31040165903886</v>
      </c>
      <c r="P163">
        <f t="shared" si="27"/>
        <v>312</v>
      </c>
      <c r="Q163">
        <f t="shared" si="27"/>
        <v>275</v>
      </c>
      <c r="R163">
        <f t="shared" si="27"/>
        <v>211</v>
      </c>
      <c r="S163">
        <f t="shared" si="27"/>
        <v>195</v>
      </c>
      <c r="T163">
        <f t="shared" si="27"/>
        <v>170</v>
      </c>
      <c r="U163">
        <f t="shared" si="27"/>
        <v>0</v>
      </c>
      <c r="V163">
        <f t="shared" si="27"/>
        <v>0</v>
      </c>
      <c r="W163">
        <f t="shared" si="27"/>
        <v>0</v>
      </c>
      <c r="X163">
        <f t="shared" si="27"/>
        <v>0</v>
      </c>
      <c r="Y163">
        <f t="shared" si="27"/>
        <v>0</v>
      </c>
      <c r="Z163">
        <f t="shared" si="27"/>
        <v>0</v>
      </c>
      <c r="AA163">
        <f t="shared" si="27"/>
        <v>0</v>
      </c>
      <c r="AB163">
        <f t="shared" si="27"/>
        <v>0</v>
      </c>
      <c r="AC163">
        <f t="shared" si="27"/>
        <v>0</v>
      </c>
      <c r="AD163">
        <f t="shared" si="27"/>
        <v>0</v>
      </c>
      <c r="AE163">
        <f t="shared" si="27"/>
        <v>0</v>
      </c>
      <c r="AF163">
        <f t="shared" si="27"/>
        <v>0</v>
      </c>
      <c r="AG163">
        <f t="shared" si="27"/>
        <v>0</v>
      </c>
      <c r="AH163">
        <f t="shared" si="27"/>
        <v>0</v>
      </c>
      <c r="AI163">
        <f t="shared" si="27"/>
        <v>0</v>
      </c>
      <c r="AJ163">
        <f t="shared" si="27"/>
        <v>0</v>
      </c>
      <c r="AK163">
        <f t="shared" si="27"/>
        <v>0</v>
      </c>
      <c r="AL163">
        <f t="shared" si="27"/>
        <v>0</v>
      </c>
      <c r="AM163">
        <f t="shared" si="27"/>
        <v>0</v>
      </c>
    </row>
    <row r="164" spans="1:39" x14ac:dyDescent="0.25">
      <c r="A164" t="s">
        <v>35</v>
      </c>
      <c r="B164" t="s">
        <v>80</v>
      </c>
      <c r="C164" t="str">
        <f>[1]Low!B29</f>
        <v>Conventional Light</v>
      </c>
      <c r="D164">
        <f>[1]Low!C29</f>
        <v>48470</v>
      </c>
      <c r="E164">
        <f>[1]Low!D29</f>
        <v>48280</v>
      </c>
      <c r="F164">
        <f>[1]Low!E29</f>
        <v>58580</v>
      </c>
      <c r="G164">
        <f>[1]Low!F29</f>
        <v>54550</v>
      </c>
      <c r="H164">
        <f>[1]Low!G29</f>
        <v>42550</v>
      </c>
      <c r="I164">
        <f>[1]Low!H29</f>
        <v>43850</v>
      </c>
      <c r="J164">
        <f>[1]Low!I29</f>
        <v>42140</v>
      </c>
      <c r="K164">
        <f>[1]Low!J29</f>
        <v>31430</v>
      </c>
      <c r="L164">
        <f>[1]Low!K29</f>
        <v>36870</v>
      </c>
      <c r="M164">
        <f>[1]Low!L29</f>
        <v>34340</v>
      </c>
      <c r="N164">
        <f>[1]Low!M29</f>
        <v>27348</v>
      </c>
      <c r="O164">
        <f>[1]Low!N29</f>
        <v>33334</v>
      </c>
      <c r="P164">
        <f>[1]Low!O29</f>
        <v>34760</v>
      </c>
      <c r="Q164">
        <f>[1]Low!P29</f>
        <v>29350.14201727782</v>
      </c>
      <c r="R164">
        <f>[1]Low!Q29</f>
        <v>28793.216100853464</v>
      </c>
      <c r="S164">
        <f>[1]Low!R29</f>
        <v>22228.014280815787</v>
      </c>
      <c r="T164">
        <f>[1]Low!S29</f>
        <v>23097.224299043348</v>
      </c>
      <c r="U164">
        <f>[1]Low!T29</f>
        <v>21295.703887398471</v>
      </c>
      <c r="V164">
        <f>[1]Low!U29</f>
        <v>26119.043912789803</v>
      </c>
      <c r="W164">
        <f>[1]Low!V29</f>
        <v>25714.592499458166</v>
      </c>
      <c r="X164">
        <f>[1]Low!W29</f>
        <v>24456.583781883681</v>
      </c>
      <c r="Y164">
        <f>[1]Low!X29</f>
        <v>18209.267438279836</v>
      </c>
      <c r="Z164">
        <f>[1]Low!Y29</f>
        <v>16639.028964921243</v>
      </c>
      <c r="AA164">
        <f>[1]Low!Z29</f>
        <v>15122.004850473104</v>
      </c>
      <c r="AB164">
        <f>[1]Low!AA29</f>
        <v>14741.316970413283</v>
      </c>
      <c r="AC164">
        <f>[1]Low!AB29</f>
        <v>12748.952068172917</v>
      </c>
      <c r="AD164">
        <f>[1]Low!AC29</f>
        <v>10744.434062737317</v>
      </c>
      <c r="AE164">
        <f>[1]Low!AD29</f>
        <v>6529.0333336441581</v>
      </c>
      <c r="AF164">
        <f>[1]Low!AE29</f>
        <v>6129.0236755909236</v>
      </c>
      <c r="AG164">
        <f>[1]Low!AF29</f>
        <v>5893.5044415248685</v>
      </c>
      <c r="AH164">
        <f>[1]Low!AG29</f>
        <v>5797.3470482628654</v>
      </c>
      <c r="AI164">
        <f>[1]Low!AH29</f>
        <v>5562.8272819885151</v>
      </c>
      <c r="AJ164">
        <f>[1]Low!AI29</f>
        <v>5288.4056247623357</v>
      </c>
      <c r="AK164">
        <f>[1]Low!AJ29</f>
        <v>4801.3171320269284</v>
      </c>
      <c r="AL164">
        <f>[1]Low!AK29</f>
        <v>4583.0365928398096</v>
      </c>
      <c r="AM164">
        <f>[1]Low!AL29</f>
        <v>4214.7228983301156</v>
      </c>
    </row>
    <row r="165" spans="1:39" x14ac:dyDescent="0.25">
      <c r="A165" t="s">
        <v>35</v>
      </c>
      <c r="B165" t="s">
        <v>80</v>
      </c>
      <c r="C165" t="str">
        <f>[1]Low!B30</f>
        <v>Conventional Heavy</v>
      </c>
      <c r="D165">
        <f>[1]Low!C30</f>
        <v>0</v>
      </c>
      <c r="E165">
        <f>[1]Low!D30</f>
        <v>0</v>
      </c>
      <c r="F165">
        <f>[1]Low!E30</f>
        <v>0</v>
      </c>
      <c r="G165">
        <f>[1]Low!F30</f>
        <v>0</v>
      </c>
      <c r="H165">
        <f>[1]Low!G30</f>
        <v>0</v>
      </c>
      <c r="I165">
        <f>[1]Low!H30</f>
        <v>0</v>
      </c>
      <c r="J165">
        <f>[1]Low!I30</f>
        <v>0</v>
      </c>
      <c r="K165">
        <f>[1]Low!J30</f>
        <v>0</v>
      </c>
      <c r="L165">
        <f>[1]Low!K30</f>
        <v>0</v>
      </c>
      <c r="M165">
        <f>[1]Low!L30</f>
        <v>0</v>
      </c>
      <c r="N165">
        <f>[1]Low!M30</f>
        <v>0</v>
      </c>
      <c r="O165">
        <f>[1]Low!N30</f>
        <v>0</v>
      </c>
      <c r="P165">
        <f>[1]Low!O30</f>
        <v>336</v>
      </c>
      <c r="Q165">
        <f>[1]Low!P30</f>
        <v>7619.77317483362</v>
      </c>
      <c r="R165">
        <f>[1]Low!Q30</f>
        <v>12012.782600400646</v>
      </c>
      <c r="S165">
        <f>[1]Low!R30</f>
        <v>18151.451556488286</v>
      </c>
      <c r="T165">
        <f>[1]Low!S30</f>
        <v>21490.031479538306</v>
      </c>
      <c r="U165">
        <f>[1]Low!T30</f>
        <v>21538.045724824318</v>
      </c>
      <c r="V165">
        <f>[1]Low!U30</f>
        <v>20948.201850615285</v>
      </c>
      <c r="W165">
        <f>[1]Low!V30</f>
        <v>21076.981780024806</v>
      </c>
      <c r="X165">
        <f>[1]Low!W30</f>
        <v>20361.537727749695</v>
      </c>
      <c r="Y165">
        <f>[1]Low!X30</f>
        <v>17986.263474196319</v>
      </c>
      <c r="Z165">
        <f>[1]Low!Y30</f>
        <v>15825.622436325479</v>
      </c>
      <c r="AA165">
        <f>[1]Low!Z30</f>
        <v>13450.34818277211</v>
      </c>
      <c r="AB165">
        <f>[1]Low!AA30</f>
        <v>11289.707144901271</v>
      </c>
      <c r="AC165">
        <f>[1]Low!AB30</f>
        <v>9601.2591815320066</v>
      </c>
      <c r="AD165">
        <f>[1]Low!AC30</f>
        <v>8399.3131737098156</v>
      </c>
      <c r="AE165">
        <f>[1]Low!AD30</f>
        <v>7148.8759579000925</v>
      </c>
      <c r="AF165">
        <f>[1]Low!AE30</f>
        <v>6094.7883875480939</v>
      </c>
      <c r="AG165">
        <f>[1]Low!AF30</f>
        <v>5202.8681357117875</v>
      </c>
      <c r="AH165">
        <f>[1]Low!AG30</f>
        <v>4689.3382937454298</v>
      </c>
      <c r="AI165">
        <f>[1]Low!AH30</f>
        <v>4057.3627142357468</v>
      </c>
      <c r="AJ165">
        <f>[1]Low!AI30</f>
        <v>4062.4154697951944</v>
      </c>
      <c r="AK165">
        <f>[1]Low!AJ30</f>
        <v>3795.3163569458188</v>
      </c>
      <c r="AL165">
        <f>[1]Low!AK30</f>
        <v>3426.9878999571829</v>
      </c>
      <c r="AM165">
        <f>[1]Low!AL30</f>
        <v>3102.5337753013951</v>
      </c>
    </row>
    <row r="166" spans="1:39" x14ac:dyDescent="0.25">
      <c r="A166" t="s">
        <v>35</v>
      </c>
      <c r="B166" t="s">
        <v>80</v>
      </c>
      <c r="C166" t="s">
        <v>23</v>
      </c>
      <c r="D166">
        <f>SUM(D164:D165)</f>
        <v>48470</v>
      </c>
      <c r="E166">
        <f t="shared" ref="E166:AM166" si="28">SUM(E164:E165)</f>
        <v>48280</v>
      </c>
      <c r="F166">
        <f t="shared" si="28"/>
        <v>58580</v>
      </c>
      <c r="G166">
        <f t="shared" si="28"/>
        <v>54550</v>
      </c>
      <c r="H166">
        <f t="shared" si="28"/>
        <v>42550</v>
      </c>
      <c r="I166">
        <f t="shared" si="28"/>
        <v>43850</v>
      </c>
      <c r="J166">
        <f t="shared" si="28"/>
        <v>42140</v>
      </c>
      <c r="K166">
        <f t="shared" si="28"/>
        <v>31430</v>
      </c>
      <c r="L166">
        <f t="shared" si="28"/>
        <v>36870</v>
      </c>
      <c r="M166">
        <f t="shared" si="28"/>
        <v>34340</v>
      </c>
      <c r="N166">
        <f t="shared" si="28"/>
        <v>27348</v>
      </c>
      <c r="O166">
        <f t="shared" si="28"/>
        <v>33334</v>
      </c>
      <c r="P166">
        <f t="shared" si="28"/>
        <v>35096</v>
      </c>
      <c r="Q166">
        <f t="shared" si="28"/>
        <v>36969.915192111439</v>
      </c>
      <c r="R166">
        <f t="shared" si="28"/>
        <v>40805.99870125411</v>
      </c>
      <c r="S166">
        <f t="shared" si="28"/>
        <v>40379.465837304073</v>
      </c>
      <c r="T166">
        <f t="shared" si="28"/>
        <v>44587.255778581653</v>
      </c>
      <c r="U166">
        <f t="shared" si="28"/>
        <v>42833.749612222789</v>
      </c>
      <c r="V166">
        <f t="shared" si="28"/>
        <v>47067.245763405088</v>
      </c>
      <c r="W166">
        <f t="shared" si="28"/>
        <v>46791.574279482971</v>
      </c>
      <c r="X166">
        <f t="shared" si="28"/>
        <v>44818.121509633376</v>
      </c>
      <c r="Y166">
        <f t="shared" si="28"/>
        <v>36195.530912476155</v>
      </c>
      <c r="Z166">
        <f t="shared" si="28"/>
        <v>32464.651401246723</v>
      </c>
      <c r="AA166">
        <f t="shared" si="28"/>
        <v>28572.353033245214</v>
      </c>
      <c r="AB166">
        <f t="shared" si="28"/>
        <v>26031.024115314554</v>
      </c>
      <c r="AC166">
        <f t="shared" si="28"/>
        <v>22350.211249704924</v>
      </c>
      <c r="AD166">
        <f t="shared" si="28"/>
        <v>19143.747236447132</v>
      </c>
      <c r="AE166">
        <f t="shared" si="28"/>
        <v>13677.909291544251</v>
      </c>
      <c r="AF166">
        <f t="shared" si="28"/>
        <v>12223.812063139017</v>
      </c>
      <c r="AG166">
        <f t="shared" si="28"/>
        <v>11096.372577236656</v>
      </c>
      <c r="AH166">
        <f t="shared" si="28"/>
        <v>10486.685342008295</v>
      </c>
      <c r="AI166">
        <f t="shared" si="28"/>
        <v>9620.1899962242624</v>
      </c>
      <c r="AJ166">
        <f t="shared" si="28"/>
        <v>9350.8210945575302</v>
      </c>
      <c r="AK166">
        <f t="shared" si="28"/>
        <v>8596.6334889727477</v>
      </c>
      <c r="AL166">
        <f t="shared" si="28"/>
        <v>8010.0244927969925</v>
      </c>
      <c r="AM166">
        <f t="shared" si="28"/>
        <v>7317.2566736315111</v>
      </c>
    </row>
    <row r="167" spans="1:39" x14ac:dyDescent="0.25">
      <c r="A167" t="s">
        <v>35</v>
      </c>
      <c r="B167" t="s">
        <v>81</v>
      </c>
      <c r="C167" t="str">
        <f>[1]Low!B31</f>
        <v>Conventional Light</v>
      </c>
      <c r="D167">
        <f>[1]Low!C31</f>
        <v>2990</v>
      </c>
      <c r="E167">
        <f>[1]Low!D31</f>
        <v>2970</v>
      </c>
      <c r="F167">
        <f>[1]Low!E31</f>
        <v>2790</v>
      </c>
      <c r="G167">
        <f>[1]Low!F31</f>
        <v>2580</v>
      </c>
      <c r="H167">
        <f>[1]Low!G31</f>
        <v>2470</v>
      </c>
      <c r="I167">
        <f>[1]Low!H31</f>
        <v>2390</v>
      </c>
      <c r="J167">
        <f>[1]Low!I31</f>
        <v>1670</v>
      </c>
      <c r="K167">
        <f>[1]Low!J31</f>
        <v>2070</v>
      </c>
      <c r="L167">
        <f>[1]Low!K31</f>
        <v>1960</v>
      </c>
      <c r="M167">
        <f>[1]Low!L31</f>
        <v>1690</v>
      </c>
      <c r="N167">
        <f>[1]Low!M31</f>
        <v>1576</v>
      </c>
      <c r="O167">
        <f>[1]Low!N31</f>
        <v>1428</v>
      </c>
      <c r="P167">
        <f>[1]Low!O31</f>
        <v>54</v>
      </c>
      <c r="Q167">
        <f>[1]Low!P31</f>
        <v>100</v>
      </c>
      <c r="R167">
        <f>[1]Low!Q31</f>
        <v>1091.6307692307691</v>
      </c>
      <c r="S167">
        <f>[1]Low!R31</f>
        <v>1109.9644927536233</v>
      </c>
      <c r="T167">
        <f>[1]Low!S31</f>
        <v>1057.4353104988802</v>
      </c>
      <c r="U167">
        <f>[1]Low!T31</f>
        <v>961.60523548491892</v>
      </c>
      <c r="V167">
        <f>[1]Low!U31</f>
        <v>932.75707842037127</v>
      </c>
      <c r="W167">
        <f>[1]Low!V31</f>
        <v>904.77436606776018</v>
      </c>
      <c r="X167">
        <f>[1]Low!W31</f>
        <v>877.63113508572735</v>
      </c>
      <c r="Y167">
        <f>[1]Low!X31</f>
        <v>842.77983940018203</v>
      </c>
      <c r="Z167">
        <f>[1]Low!Y31</f>
        <v>809.23179417711435</v>
      </c>
      <c r="AA167">
        <f>[1]Low!Z31</f>
        <v>768.9506313140123</v>
      </c>
      <c r="AB167">
        <f>[1]Low!AA31</f>
        <v>738.11250703735652</v>
      </c>
      <c r="AC167">
        <f>[1]Low!AB31</f>
        <v>708.43261464911745</v>
      </c>
      <c r="AD167">
        <f>[1]Low!AC31</f>
        <v>679.86921454783931</v>
      </c>
      <c r="AE167">
        <f>[1]Low!AD31</f>
        <v>652.38202909945358</v>
      </c>
      <c r="AF167">
        <f>[1]Low!AE31</f>
        <v>632.81056822646997</v>
      </c>
      <c r="AG167">
        <f>[1]Low!AF31</f>
        <v>607.15422671033161</v>
      </c>
      <c r="AH167">
        <f>[1]Low!AG31</f>
        <v>582.46773617375766</v>
      </c>
      <c r="AI167">
        <f>[1]Low!AH31</f>
        <v>564.99370408854486</v>
      </c>
      <c r="AJ167">
        <f>[1]Low!AI31</f>
        <v>541.95451637737858</v>
      </c>
      <c r="AK167">
        <f>[1]Low!AJ31</f>
        <v>519.78918559520264</v>
      </c>
      <c r="AL167">
        <f>[1]Low!AK31</f>
        <v>504.19551002734659</v>
      </c>
      <c r="AM167">
        <f>[1]Low!AL31</f>
        <v>483.42843356486094</v>
      </c>
    </row>
    <row r="168" spans="1:39" x14ac:dyDescent="0.25">
      <c r="A168" t="s">
        <v>35</v>
      </c>
      <c r="B168" t="s">
        <v>81</v>
      </c>
      <c r="C168" t="s">
        <v>23</v>
      </c>
      <c r="D168">
        <f>D167</f>
        <v>2990</v>
      </c>
      <c r="E168">
        <f t="shared" ref="E168:AM168" si="29">E167</f>
        <v>2970</v>
      </c>
      <c r="F168">
        <f t="shared" si="29"/>
        <v>2790</v>
      </c>
      <c r="G168">
        <f t="shared" si="29"/>
        <v>2580</v>
      </c>
      <c r="H168">
        <f t="shared" si="29"/>
        <v>2470</v>
      </c>
      <c r="I168">
        <f t="shared" si="29"/>
        <v>2390</v>
      </c>
      <c r="J168">
        <f t="shared" si="29"/>
        <v>1670</v>
      </c>
      <c r="K168">
        <f t="shared" si="29"/>
        <v>2070</v>
      </c>
      <c r="L168">
        <f t="shared" si="29"/>
        <v>1960</v>
      </c>
      <c r="M168">
        <f t="shared" si="29"/>
        <v>1690</v>
      </c>
      <c r="N168">
        <f t="shared" si="29"/>
        <v>1576</v>
      </c>
      <c r="O168">
        <f t="shared" si="29"/>
        <v>1428</v>
      </c>
      <c r="P168">
        <f t="shared" si="29"/>
        <v>54</v>
      </c>
      <c r="Q168">
        <f t="shared" si="29"/>
        <v>100</v>
      </c>
      <c r="R168">
        <f t="shared" si="29"/>
        <v>1091.6307692307691</v>
      </c>
      <c r="S168">
        <f t="shared" si="29"/>
        <v>1109.9644927536233</v>
      </c>
      <c r="T168">
        <f t="shared" si="29"/>
        <v>1057.4353104988802</v>
      </c>
      <c r="U168">
        <f t="shared" si="29"/>
        <v>961.60523548491892</v>
      </c>
      <c r="V168">
        <f t="shared" si="29"/>
        <v>932.75707842037127</v>
      </c>
      <c r="W168">
        <f t="shared" si="29"/>
        <v>904.77436606776018</v>
      </c>
      <c r="X168">
        <f t="shared" si="29"/>
        <v>877.63113508572735</v>
      </c>
      <c r="Y168">
        <f t="shared" si="29"/>
        <v>842.77983940018203</v>
      </c>
      <c r="Z168">
        <f t="shared" si="29"/>
        <v>809.23179417711435</v>
      </c>
      <c r="AA168">
        <f t="shared" si="29"/>
        <v>768.9506313140123</v>
      </c>
      <c r="AB168">
        <f t="shared" si="29"/>
        <v>738.11250703735652</v>
      </c>
      <c r="AC168">
        <f t="shared" si="29"/>
        <v>708.43261464911745</v>
      </c>
      <c r="AD168">
        <f t="shared" si="29"/>
        <v>679.86921454783931</v>
      </c>
      <c r="AE168">
        <f t="shared" si="29"/>
        <v>652.38202909945358</v>
      </c>
      <c r="AF168">
        <f t="shared" si="29"/>
        <v>632.81056822646997</v>
      </c>
      <c r="AG168">
        <f t="shared" si="29"/>
        <v>607.15422671033161</v>
      </c>
      <c r="AH168">
        <f t="shared" si="29"/>
        <v>582.46773617375766</v>
      </c>
      <c r="AI168">
        <f t="shared" si="29"/>
        <v>564.99370408854486</v>
      </c>
      <c r="AJ168">
        <f t="shared" si="29"/>
        <v>541.95451637737858</v>
      </c>
      <c r="AK168">
        <f t="shared" si="29"/>
        <v>519.78918559520264</v>
      </c>
      <c r="AL168">
        <f t="shared" si="29"/>
        <v>504.19551002734659</v>
      </c>
      <c r="AM168">
        <f t="shared" si="29"/>
        <v>483.42843356486094</v>
      </c>
    </row>
    <row r="169" spans="1:39" x14ac:dyDescent="0.25">
      <c r="A169" t="s">
        <v>35</v>
      </c>
      <c r="B169" t="s">
        <v>82</v>
      </c>
      <c r="C169" t="s">
        <v>1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</row>
    <row r="170" spans="1:39" x14ac:dyDescent="0.25">
      <c r="A170" t="s">
        <v>35</v>
      </c>
      <c r="B170" t="s">
        <v>82</v>
      </c>
      <c r="C170" t="s">
        <v>2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</row>
    <row r="171" spans="1:39" x14ac:dyDescent="0.25">
      <c r="A171" t="s">
        <v>35</v>
      </c>
      <c r="B171" t="s">
        <v>82</v>
      </c>
      <c r="C171" t="s">
        <v>3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</row>
    <row r="172" spans="1:39" x14ac:dyDescent="0.25">
      <c r="A172" t="s">
        <v>35</v>
      </c>
      <c r="B172" t="s">
        <v>82</v>
      </c>
      <c r="C172" t="s">
        <v>4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</row>
    <row r="173" spans="1:39" x14ac:dyDescent="0.25">
      <c r="A173" t="s">
        <v>35</v>
      </c>
      <c r="B173" t="s">
        <v>82</v>
      </c>
      <c r="C173" t="s">
        <v>5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</row>
    <row r="174" spans="1:39" x14ac:dyDescent="0.25">
      <c r="A174" t="s">
        <v>35</v>
      </c>
      <c r="B174" t="s">
        <v>82</v>
      </c>
      <c r="C174" t="s">
        <v>6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</row>
    <row r="175" spans="1:39" x14ac:dyDescent="0.25">
      <c r="A175" t="s">
        <v>35</v>
      </c>
      <c r="B175" t="s">
        <v>82</v>
      </c>
      <c r="C175" t="s">
        <v>23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</row>
    <row r="176" spans="1:39" x14ac:dyDescent="0.25">
      <c r="A176" t="s">
        <v>35</v>
      </c>
      <c r="B176" t="s">
        <v>83</v>
      </c>
      <c r="C176" t="s">
        <v>1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</row>
    <row r="177" spans="1:39" x14ac:dyDescent="0.25">
      <c r="A177" t="s">
        <v>35</v>
      </c>
      <c r="B177" t="s">
        <v>83</v>
      </c>
      <c r="C177" t="s">
        <v>2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</row>
    <row r="178" spans="1:39" x14ac:dyDescent="0.25">
      <c r="A178" t="s">
        <v>35</v>
      </c>
      <c r="B178" t="s">
        <v>83</v>
      </c>
      <c r="C178" t="s">
        <v>3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</row>
    <row r="179" spans="1:39" x14ac:dyDescent="0.25">
      <c r="A179" t="s">
        <v>35</v>
      </c>
      <c r="B179" t="s">
        <v>83</v>
      </c>
      <c r="C179" t="s">
        <v>4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</row>
    <row r="180" spans="1:39" x14ac:dyDescent="0.25">
      <c r="A180" t="s">
        <v>35</v>
      </c>
      <c r="B180" t="s">
        <v>83</v>
      </c>
      <c r="C180" t="s">
        <v>5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</row>
    <row r="181" spans="1:39" x14ac:dyDescent="0.25">
      <c r="A181" t="s">
        <v>35</v>
      </c>
      <c r="B181" t="s">
        <v>83</v>
      </c>
      <c r="C181" t="s">
        <v>6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</row>
    <row r="182" spans="1:39" x14ac:dyDescent="0.25">
      <c r="A182" t="s">
        <v>35</v>
      </c>
      <c r="B182" t="s">
        <v>83</v>
      </c>
      <c r="C182" t="s">
        <v>23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</row>
    <row r="183" spans="1:39" x14ac:dyDescent="0.25">
      <c r="A183" t="s">
        <v>35</v>
      </c>
      <c r="B183" t="s">
        <v>84</v>
      </c>
      <c r="C183" t="s">
        <v>1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</row>
    <row r="184" spans="1:39" x14ac:dyDescent="0.25">
      <c r="A184" t="s">
        <v>35</v>
      </c>
      <c r="B184" t="s">
        <v>84</v>
      </c>
      <c r="C184" t="s">
        <v>2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</row>
    <row r="185" spans="1:39" x14ac:dyDescent="0.25">
      <c r="A185" t="s">
        <v>35</v>
      </c>
      <c r="B185" t="s">
        <v>84</v>
      </c>
      <c r="C185" t="s">
        <v>3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</row>
    <row r="186" spans="1:39" x14ac:dyDescent="0.25">
      <c r="A186" t="s">
        <v>35</v>
      </c>
      <c r="B186" t="s">
        <v>84</v>
      </c>
      <c r="C186" t="s">
        <v>4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</row>
    <row r="187" spans="1:39" x14ac:dyDescent="0.25">
      <c r="A187" t="s">
        <v>35</v>
      </c>
      <c r="B187" t="s">
        <v>84</v>
      </c>
      <c r="C187" t="s">
        <v>5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</row>
    <row r="188" spans="1:39" x14ac:dyDescent="0.25">
      <c r="A188" t="s">
        <v>35</v>
      </c>
      <c r="B188" t="s">
        <v>84</v>
      </c>
      <c r="C188" t="s">
        <v>6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</row>
    <row r="189" spans="1:39" x14ac:dyDescent="0.25">
      <c r="A189" t="s">
        <v>35</v>
      </c>
      <c r="B189" t="s">
        <v>84</v>
      </c>
      <c r="C189" t="s">
        <v>23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</row>
    <row r="190" spans="1:39" x14ac:dyDescent="0.25">
      <c r="A190" t="s">
        <v>35</v>
      </c>
      <c r="B190" t="s">
        <v>85</v>
      </c>
      <c r="C190" t="s">
        <v>1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</row>
    <row r="191" spans="1:39" x14ac:dyDescent="0.25">
      <c r="A191" t="s">
        <v>35</v>
      </c>
      <c r="B191" t="s">
        <v>85</v>
      </c>
      <c r="C191" t="s">
        <v>2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</row>
    <row r="192" spans="1:39" x14ac:dyDescent="0.25">
      <c r="A192" t="s">
        <v>35</v>
      </c>
      <c r="B192" t="s">
        <v>85</v>
      </c>
      <c r="C192" t="s">
        <v>3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</row>
    <row r="193" spans="1:39" x14ac:dyDescent="0.25">
      <c r="A193" t="s">
        <v>35</v>
      </c>
      <c r="B193" t="s">
        <v>85</v>
      </c>
      <c r="C193" t="s">
        <v>4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</row>
    <row r="194" spans="1:39" x14ac:dyDescent="0.25">
      <c r="A194" t="s">
        <v>35</v>
      </c>
      <c r="B194" t="s">
        <v>85</v>
      </c>
      <c r="C194" t="s">
        <v>5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</row>
    <row r="195" spans="1:39" x14ac:dyDescent="0.25">
      <c r="A195" t="s">
        <v>35</v>
      </c>
      <c r="B195" t="s">
        <v>85</v>
      </c>
      <c r="C195" t="s">
        <v>6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</row>
    <row r="196" spans="1:39" x14ac:dyDescent="0.25">
      <c r="A196" t="s">
        <v>35</v>
      </c>
      <c r="B196" t="s">
        <v>85</v>
      </c>
      <c r="C196" t="s">
        <v>23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</row>
    <row r="197" spans="1:39" x14ac:dyDescent="0.25">
      <c r="A197" t="s">
        <v>36</v>
      </c>
      <c r="B197" t="s">
        <v>0</v>
      </c>
      <c r="C197" t="str">
        <f>[1]Tech!B2</f>
        <v>Conventional Light</v>
      </c>
      <c r="D197">
        <f>[1]Tech!C2</f>
        <v>120393.94465812801</v>
      </c>
      <c r="E197">
        <f>[1]Tech!D2</f>
        <v>119335.10154082894</v>
      </c>
      <c r="F197">
        <f>[1]Tech!E2</f>
        <v>128495.40715258461</v>
      </c>
      <c r="G197">
        <f>[1]Tech!F2</f>
        <v>126621.04200308448</v>
      </c>
      <c r="H197">
        <f>[1]Tech!G2</f>
        <v>113421.70271813478</v>
      </c>
      <c r="I197">
        <f>[1]Tech!H2</f>
        <v>115275.72885841444</v>
      </c>
      <c r="J197">
        <f>[1]Tech!I2</f>
        <v>119783.42174049366</v>
      </c>
      <c r="K197">
        <f>[1]Tech!J2</f>
        <v>121609.88327665607</v>
      </c>
      <c r="L197">
        <f>[1]Tech!K2</f>
        <v>130779.05255603722</v>
      </c>
      <c r="M197">
        <f>[1]Tech!L2</f>
        <v>130908.71006835497</v>
      </c>
      <c r="N197">
        <f>[1]Tech!M2</f>
        <v>114675.48064994118</v>
      </c>
      <c r="O197">
        <f>[1]Tech!N2</f>
        <v>107569.05421700577</v>
      </c>
      <c r="P197">
        <f>[1]Tech!O2</f>
        <v>106408.59598512293</v>
      </c>
      <c r="Q197">
        <f>[1]Tech!P2</f>
        <v>101814.92553308001</v>
      </c>
      <c r="R197">
        <f>[1]Tech!Q2</f>
        <v>102464.46636704044</v>
      </c>
      <c r="S197">
        <f>[1]Tech!R2</f>
        <v>94689.711503099708</v>
      </c>
      <c r="T197">
        <f>[1]Tech!S2</f>
        <v>94087.300455685341</v>
      </c>
      <c r="U197">
        <f>[1]Tech!T2</f>
        <v>92929.021981167389</v>
      </c>
      <c r="V197">
        <f>[1]Tech!U2</f>
        <v>96267.239416267854</v>
      </c>
      <c r="W197">
        <f>[1]Tech!V2</f>
        <v>96241.830800714233</v>
      </c>
      <c r="X197">
        <f>[1]Tech!W2</f>
        <v>96459.688190394008</v>
      </c>
      <c r="Y197">
        <f>[1]Tech!X2</f>
        <v>95264.364046495961</v>
      </c>
      <c r="Z197">
        <f>[1]Tech!Y2</f>
        <v>94303.279683359622</v>
      </c>
      <c r="AA197">
        <f>[1]Tech!Z2</f>
        <v>92350.281412905853</v>
      </c>
      <c r="AB197">
        <f>[1]Tech!AA2</f>
        <v>91494.760425699293</v>
      </c>
      <c r="AC197">
        <f>[1]Tech!AB2</f>
        <v>90109.033018704009</v>
      </c>
      <c r="AD197">
        <f>[1]Tech!AC2</f>
        <v>90543.972292002873</v>
      </c>
      <c r="AE197">
        <f>[1]Tech!AD2</f>
        <v>90884.573802512561</v>
      </c>
      <c r="AF197">
        <f>[1]Tech!AE2</f>
        <v>91577.79895061806</v>
      </c>
      <c r="AG197">
        <f>[1]Tech!AF2</f>
        <v>93414.041672422783</v>
      </c>
      <c r="AH197">
        <f>[1]Tech!AG2</f>
        <v>93546.21344884744</v>
      </c>
      <c r="AI197">
        <f>[1]Tech!AH2</f>
        <v>92595.258726848231</v>
      </c>
      <c r="AJ197">
        <f>[1]Tech!AI2</f>
        <v>91695.382078014634</v>
      </c>
      <c r="AK197">
        <f>[1]Tech!AJ2</f>
        <v>89785.889531270965</v>
      </c>
      <c r="AL197">
        <f>[1]Tech!AK2</f>
        <v>87395.891371420454</v>
      </c>
      <c r="AM197">
        <f>[1]Tech!AL2</f>
        <v>85018.19512328456</v>
      </c>
    </row>
    <row r="198" spans="1:39" x14ac:dyDescent="0.25">
      <c r="A198" t="s">
        <v>36</v>
      </c>
      <c r="B198" t="s">
        <v>0</v>
      </c>
      <c r="C198" t="str">
        <f>[1]Tech!B3</f>
        <v>Conventional Heavy</v>
      </c>
      <c r="D198">
        <f>[1]Tech!C3</f>
        <v>95714.371685317979</v>
      </c>
      <c r="E198">
        <f>[1]Tech!D3</f>
        <v>94533.324805817247</v>
      </c>
      <c r="F198">
        <f>[1]Tech!E3</f>
        <v>92093.948245520878</v>
      </c>
      <c r="G198">
        <f>[1]Tech!F3</f>
        <v>87985.541330248874</v>
      </c>
      <c r="H198">
        <f>[1]Tech!G3</f>
        <v>80184.157122495002</v>
      </c>
      <c r="I198">
        <f>[1]Tech!H3</f>
        <v>79544.775663474953</v>
      </c>
      <c r="J198">
        <f>[1]Tech!I3</f>
        <v>79770.543291508366</v>
      </c>
      <c r="K198">
        <f>[1]Tech!J3</f>
        <v>86935.674939329067</v>
      </c>
      <c r="L198">
        <f>[1]Tech!K3</f>
        <v>89225.079665544938</v>
      </c>
      <c r="M198">
        <f>[1]Tech!L3</f>
        <v>98750.054845239487</v>
      </c>
      <c r="N198">
        <f>[1]Tech!M3</f>
        <v>86709.106279142259</v>
      </c>
      <c r="O198">
        <f>[1]Tech!N3</f>
        <v>81282.378465617643</v>
      </c>
      <c r="P198">
        <f>[1]Tech!O3</f>
        <v>85919.878422883514</v>
      </c>
      <c r="Q198">
        <f>[1]Tech!P3</f>
        <v>96292.769060109713</v>
      </c>
      <c r="R198">
        <f>[1]Tech!Q3</f>
        <v>103365.51999778616</v>
      </c>
      <c r="S198">
        <f>[1]Tech!R3</f>
        <v>110635.00395299471</v>
      </c>
      <c r="T198">
        <f>[1]Tech!S3</f>
        <v>114008.49065091004</v>
      </c>
      <c r="U198">
        <f>[1]Tech!T3</f>
        <v>115913.00744723386</v>
      </c>
      <c r="V198">
        <f>[1]Tech!U3</f>
        <v>115608.15767443689</v>
      </c>
      <c r="W198">
        <f>[1]Tech!V3</f>
        <v>116380.43557790642</v>
      </c>
      <c r="X198">
        <f>[1]Tech!W3</f>
        <v>115854.49814411832</v>
      </c>
      <c r="Y198">
        <f>[1]Tech!X3</f>
        <v>114211.16979298982</v>
      </c>
      <c r="Z198">
        <f>[1]Tech!Y3</f>
        <v>110927.73894453386</v>
      </c>
      <c r="AA198">
        <f>[1]Tech!Z3</f>
        <v>108577.08893981048</v>
      </c>
      <c r="AB198">
        <f>[1]Tech!AA3</f>
        <v>106147.71698578651</v>
      </c>
      <c r="AC198">
        <f>[1]Tech!AB3</f>
        <v>103974.62371530225</v>
      </c>
      <c r="AD198">
        <f>[1]Tech!AC3</f>
        <v>103125.5939387515</v>
      </c>
      <c r="AE198">
        <f>[1]Tech!AD3</f>
        <v>101611.84589515386</v>
      </c>
      <c r="AF198">
        <f>[1]Tech!AE3</f>
        <v>99716.445518955035</v>
      </c>
      <c r="AG198">
        <f>[1]Tech!AF3</f>
        <v>97987.522577758398</v>
      </c>
      <c r="AH198">
        <f>[1]Tech!AG3</f>
        <v>96705.466848892494</v>
      </c>
      <c r="AI198">
        <f>[1]Tech!AH3</f>
        <v>95413.696425510978</v>
      </c>
      <c r="AJ198">
        <f>[1]Tech!AI3</f>
        <v>94668.263241567474</v>
      </c>
      <c r="AK198">
        <f>[1]Tech!AJ3</f>
        <v>93473.952537536592</v>
      </c>
      <c r="AL198">
        <f>[1]Tech!AK3</f>
        <v>92124.787265955063</v>
      </c>
      <c r="AM198">
        <f>[1]Tech!AL3</f>
        <v>90744.689981166899</v>
      </c>
    </row>
    <row r="199" spans="1:39" x14ac:dyDescent="0.25">
      <c r="A199" t="s">
        <v>36</v>
      </c>
      <c r="B199" t="s">
        <v>0</v>
      </c>
      <c r="C199" t="str">
        <f>[1]Tech!B4</f>
        <v>C5+</v>
      </c>
      <c r="D199">
        <f>[1]Tech!C4</f>
        <v>24140</v>
      </c>
      <c r="E199">
        <f>[1]Tech!D4</f>
        <v>24810</v>
      </c>
      <c r="F199">
        <f>[1]Tech!E4</f>
        <v>24540</v>
      </c>
      <c r="G199">
        <f>[1]Tech!F4</f>
        <v>23110</v>
      </c>
      <c r="H199">
        <f>[1]Tech!G4</f>
        <v>21400</v>
      </c>
      <c r="I199">
        <f>[1]Tech!H4</f>
        <v>20920</v>
      </c>
      <c r="J199">
        <f>[1]Tech!I4</f>
        <v>20460</v>
      </c>
      <c r="K199">
        <f>[1]Tech!J4</f>
        <v>20000</v>
      </c>
      <c r="L199">
        <f>[1]Tech!K4</f>
        <v>21050</v>
      </c>
      <c r="M199">
        <f>[1]Tech!L4</f>
        <v>24800</v>
      </c>
      <c r="N199">
        <f>[1]Tech!M4</f>
        <v>30699.223013698629</v>
      </c>
      <c r="O199">
        <f>[1]Tech!N4</f>
        <v>32409.198894809721</v>
      </c>
      <c r="P199">
        <f>[1]Tech!O4</f>
        <v>39484.485890410957</v>
      </c>
      <c r="Q199">
        <f>[1]Tech!P4</f>
        <v>40373.288315277328</v>
      </c>
      <c r="R199">
        <f>[1]Tech!Q4</f>
        <v>39856.663530952865</v>
      </c>
      <c r="S199">
        <f>[1]Tech!R4</f>
        <v>39298.513154147295</v>
      </c>
      <c r="T199">
        <f>[1]Tech!S4</f>
        <v>38898.073960333757</v>
      </c>
      <c r="U199">
        <f>[1]Tech!T4</f>
        <v>38454.259770167977</v>
      </c>
      <c r="V199">
        <f>[1]Tech!U4</f>
        <v>38298.561190109962</v>
      </c>
      <c r="W199">
        <f>[1]Tech!V4</f>
        <v>38268.302047963705</v>
      </c>
      <c r="X199">
        <f>[1]Tech!W4</f>
        <v>37896.084528642459</v>
      </c>
      <c r="Y199">
        <f>[1]Tech!X4</f>
        <v>37694.030343186663</v>
      </c>
      <c r="Z199">
        <f>[1]Tech!Y4</f>
        <v>37394.593525981894</v>
      </c>
      <c r="AA199">
        <f>[1]Tech!Z4</f>
        <v>37043.972823739903</v>
      </c>
      <c r="AB199">
        <f>[1]Tech!AA4</f>
        <v>36758.943691283414</v>
      </c>
      <c r="AC199">
        <f>[1]Tech!AB4</f>
        <v>36499.501519991521</v>
      </c>
      <c r="AD199">
        <f>[1]Tech!AC4</f>
        <v>36260.788522440736</v>
      </c>
      <c r="AE199">
        <f>[1]Tech!AD4</f>
        <v>36031.155726347686</v>
      </c>
      <c r="AF199">
        <f>[1]Tech!AE4</f>
        <v>35832.327421476657</v>
      </c>
      <c r="AG199">
        <f>[1]Tech!AF4</f>
        <v>35680.888082066835</v>
      </c>
      <c r="AH199">
        <f>[1]Tech!AG4</f>
        <v>35541.588585065212</v>
      </c>
      <c r="AI199">
        <f>[1]Tech!AH4</f>
        <v>35453.538990442124</v>
      </c>
      <c r="AJ199">
        <f>[1]Tech!AI4</f>
        <v>35397.689620802543</v>
      </c>
      <c r="AK199">
        <f>[1]Tech!AJ4</f>
        <v>35322.47919129589</v>
      </c>
      <c r="AL199">
        <f>[1]Tech!AK4</f>
        <v>35257.837069587513</v>
      </c>
      <c r="AM199">
        <f>[1]Tech!AL4</f>
        <v>35192.319434576835</v>
      </c>
    </row>
    <row r="200" spans="1:39" x14ac:dyDescent="0.25">
      <c r="A200" t="s">
        <v>36</v>
      </c>
      <c r="B200" t="s">
        <v>0</v>
      </c>
      <c r="C200" t="str">
        <f>[1]Tech!B5</f>
        <v>Field Condensate</v>
      </c>
      <c r="D200">
        <f>[1]Tech!C5</f>
        <v>2090</v>
      </c>
      <c r="E200">
        <f>[1]Tech!D5</f>
        <v>2350</v>
      </c>
      <c r="F200">
        <f>[1]Tech!E5</f>
        <v>2750</v>
      </c>
      <c r="G200">
        <f>[1]Tech!F5</f>
        <v>3130</v>
      </c>
      <c r="H200">
        <f>[1]Tech!G5</f>
        <v>2900</v>
      </c>
      <c r="I200">
        <f>[1]Tech!H5</f>
        <v>2710</v>
      </c>
      <c r="J200">
        <f>[1]Tech!I5</f>
        <v>2820</v>
      </c>
      <c r="K200">
        <f>[1]Tech!J5</f>
        <v>2900</v>
      </c>
      <c r="L200">
        <f>[1]Tech!K5</f>
        <v>3550</v>
      </c>
      <c r="M200">
        <f>[1]Tech!L5</f>
        <v>5210</v>
      </c>
      <c r="N200">
        <f>[1]Tech!M5</f>
        <v>5570</v>
      </c>
      <c r="O200">
        <f>[1]Tech!N5</f>
        <v>10168.111506849318</v>
      </c>
      <c r="P200">
        <f>[1]Tech!O5</f>
        <v>12126.514109589039</v>
      </c>
      <c r="Q200">
        <f>[1]Tech!P5</f>
        <v>12584.115386571788</v>
      </c>
      <c r="R200">
        <f>[1]Tech!Q5</f>
        <v>12556.033798655801</v>
      </c>
      <c r="S200">
        <f>[1]Tech!R5</f>
        <v>12523.779478429464</v>
      </c>
      <c r="T200">
        <f>[1]Tech!S5</f>
        <v>12539.199966728769</v>
      </c>
      <c r="U200">
        <f>[1]Tech!T5</f>
        <v>12603.576231308894</v>
      </c>
      <c r="V200">
        <f>[1]Tech!U5</f>
        <v>12689.955660666707</v>
      </c>
      <c r="W200">
        <f>[1]Tech!V5</f>
        <v>12807.223675219693</v>
      </c>
      <c r="X200">
        <f>[1]Tech!W5</f>
        <v>12899.624208420959</v>
      </c>
      <c r="Y200">
        <f>[1]Tech!X5</f>
        <v>12974.85962722721</v>
      </c>
      <c r="Z200">
        <f>[1]Tech!Y5</f>
        <v>13015.232784049589</v>
      </c>
      <c r="AA200">
        <f>[1]Tech!Z5</f>
        <v>13035.599689612487</v>
      </c>
      <c r="AB200">
        <f>[1]Tech!AA5</f>
        <v>13077.175870274252</v>
      </c>
      <c r="AC200">
        <f>[1]Tech!AB5</f>
        <v>13127.101681730441</v>
      </c>
      <c r="AD200">
        <f>[1]Tech!AC5</f>
        <v>13184.340754772558</v>
      </c>
      <c r="AE200">
        <f>[1]Tech!AD5</f>
        <v>13244.989102466052</v>
      </c>
      <c r="AF200">
        <f>[1]Tech!AE5</f>
        <v>13317.011831785203</v>
      </c>
      <c r="AG200">
        <f>[1]Tech!AF5</f>
        <v>13405.753219968799</v>
      </c>
      <c r="AH200">
        <f>[1]Tech!AG5</f>
        <v>13499.096448479766</v>
      </c>
      <c r="AI200">
        <f>[1]Tech!AH5</f>
        <v>13611.565151956585</v>
      </c>
      <c r="AJ200">
        <f>[1]Tech!AI5</f>
        <v>13736.803270316212</v>
      </c>
      <c r="AK200">
        <f>[1]Tech!AJ5</f>
        <v>13855.785897588725</v>
      </c>
      <c r="AL200">
        <f>[1]Tech!AK5</f>
        <v>13979.556967378841</v>
      </c>
      <c r="AM200">
        <f>[1]Tech!AL5</f>
        <v>14104.145149578913</v>
      </c>
    </row>
    <row r="201" spans="1:39" x14ac:dyDescent="0.25">
      <c r="A201" t="s">
        <v>36</v>
      </c>
      <c r="B201" t="s">
        <v>0</v>
      </c>
      <c r="C201" t="str">
        <f>[1]Tech!B6</f>
        <v xml:space="preserve">Mined Bitumen </v>
      </c>
      <c r="D201">
        <f>[1]Tech!C6</f>
        <v>99600</v>
      </c>
      <c r="E201">
        <f>[1]Tech!D6</f>
        <v>120900</v>
      </c>
      <c r="F201">
        <f>[1]Tech!E6</f>
        <v>124700</v>
      </c>
      <c r="G201">
        <f>[1]Tech!F6</f>
        <v>114700</v>
      </c>
      <c r="H201">
        <f>[1]Tech!G6</f>
        <v>131200</v>
      </c>
      <c r="I201">
        <f>[1]Tech!H6</f>
        <v>136242.99205479454</v>
      </c>
      <c r="J201">
        <f>[1]Tech!I6</f>
        <v>141899.05890410958</v>
      </c>
      <c r="K201">
        <f>[1]Tech!J6</f>
        <v>148216.19643835619</v>
      </c>
      <c r="L201">
        <f>[1]Tech!K6</f>
        <v>155178.08602739728</v>
      </c>
      <c r="M201">
        <f>[1]Tech!L6</f>
        <v>152653.42301369866</v>
      </c>
      <c r="N201">
        <f>[1]Tech!M6</f>
        <v>184650.64986301371</v>
      </c>
      <c r="O201">
        <f>[1]Tech!N6</f>
        <v>182833.43972602743</v>
      </c>
      <c r="P201">
        <f>[1]Tech!O6</f>
        <v>202815.78219178083</v>
      </c>
      <c r="Q201">
        <f>[1]Tech!P6</f>
        <v>234799.82978469165</v>
      </c>
      <c r="R201">
        <f>[1]Tech!Q6</f>
        <v>254156.63379981264</v>
      </c>
      <c r="S201">
        <f>[1]Tech!R6</f>
        <v>259617.83437279184</v>
      </c>
      <c r="T201">
        <f>[1]Tech!S6</f>
        <v>261022.58625520545</v>
      </c>
      <c r="U201">
        <f>[1]Tech!T6</f>
        <v>261826.63235775448</v>
      </c>
      <c r="V201">
        <f>[1]Tech!U6</f>
        <v>261826.61697683489</v>
      </c>
      <c r="W201">
        <f>[1]Tech!V6</f>
        <v>261826.62684564892</v>
      </c>
      <c r="X201">
        <f>[1]Tech!W6</f>
        <v>261826.62716015082</v>
      </c>
      <c r="Y201">
        <f>[1]Tech!X6</f>
        <v>261826.62703786089</v>
      </c>
      <c r="Z201">
        <f>[1]Tech!Y6</f>
        <v>261826.627032105</v>
      </c>
      <c r="AA201">
        <f>[1]Tech!Z6</f>
        <v>261826.62703364203</v>
      </c>
      <c r="AB201">
        <f>[1]Tech!AA6</f>
        <v>261826.62703373685</v>
      </c>
      <c r="AC201">
        <f>[1]Tech!AB6</f>
        <v>261826.6270337177</v>
      </c>
      <c r="AD201">
        <f>[1]Tech!AC6</f>
        <v>261826.62703371618</v>
      </c>
      <c r="AE201">
        <f>[1]Tech!AD6</f>
        <v>260918.32669880448</v>
      </c>
      <c r="AF201">
        <f>[1]Tech!AE6</f>
        <v>259282.81498821205</v>
      </c>
      <c r="AG201">
        <f>[1]Tech!AF6</f>
        <v>257306.25213540083</v>
      </c>
      <c r="AH201">
        <f>[1]Tech!AG6</f>
        <v>255047.42373339791</v>
      </c>
      <c r="AI201">
        <f>[1]Tech!AH6</f>
        <v>253110.69799736829</v>
      </c>
      <c r="AJ201">
        <f>[1]Tech!AI6</f>
        <v>251755.76001759677</v>
      </c>
      <c r="AK201">
        <f>[1]Tech!AJ6</f>
        <v>250686.36867928831</v>
      </c>
      <c r="AL201">
        <f>[1]Tech!AK6</f>
        <v>249629.7396919489</v>
      </c>
      <c r="AM201">
        <f>[1]Tech!AL6</f>
        <v>248585.7207468806</v>
      </c>
    </row>
    <row r="202" spans="1:39" x14ac:dyDescent="0.25">
      <c r="A202" t="s">
        <v>36</v>
      </c>
      <c r="B202" t="s">
        <v>0</v>
      </c>
      <c r="C202" t="str">
        <f>[1]Tech!B7</f>
        <v xml:space="preserve">In Situ Bitumen </v>
      </c>
      <c r="D202">
        <f>[1]Tech!C7</f>
        <v>69700</v>
      </c>
      <c r="E202">
        <f>[1]Tech!D7</f>
        <v>78500</v>
      </c>
      <c r="F202">
        <f>[1]Tech!E7</f>
        <v>85200</v>
      </c>
      <c r="G202">
        <f>[1]Tech!F7</f>
        <v>92700</v>
      </c>
      <c r="H202">
        <f>[1]Tech!G7</f>
        <v>105500</v>
      </c>
      <c r="I202">
        <f>[1]Tech!H7</f>
        <v>119629.14712328766</v>
      </c>
      <c r="J202">
        <f>[1]Tech!I7</f>
        <v>134719.58268493149</v>
      </c>
      <c r="K202">
        <f>[1]Tech!J7</f>
        <v>157385.20219178079</v>
      </c>
      <c r="L202">
        <f>[1]Tech!K7</f>
        <v>175859.07172602741</v>
      </c>
      <c r="M202">
        <f>[1]Tech!L7</f>
        <v>200748.64076712329</v>
      </c>
      <c r="N202">
        <f>[1]Tech!M7</f>
        <v>216516.94391559192</v>
      </c>
      <c r="O202">
        <f>[1]Tech!N7</f>
        <v>222306.83333061248</v>
      </c>
      <c r="P202">
        <f>[1]Tech!O7</f>
        <v>245914.92329379948</v>
      </c>
      <c r="Q202">
        <f>[1]Tech!P7</f>
        <v>261640.34547641588</v>
      </c>
      <c r="R202">
        <f>[1]Tech!Q7</f>
        <v>273757.26348823449</v>
      </c>
      <c r="S202">
        <f>[1]Tech!R7</f>
        <v>283681.48916161514</v>
      </c>
      <c r="T202">
        <f>[1]Tech!S7</f>
        <v>288325.86230611883</v>
      </c>
      <c r="U202">
        <f>[1]Tech!T7</f>
        <v>292682.61261761619</v>
      </c>
      <c r="V202">
        <f>[1]Tech!U7</f>
        <v>305074.30851720634</v>
      </c>
      <c r="W202">
        <f>[1]Tech!V7</f>
        <v>321274.03996566811</v>
      </c>
      <c r="X202">
        <f>[1]Tech!W7</f>
        <v>335609.62472703506</v>
      </c>
      <c r="Y202">
        <f>[1]Tech!X7</f>
        <v>358666.522715092</v>
      </c>
      <c r="Z202">
        <f>[1]Tech!Y7</f>
        <v>375954.56890337222</v>
      </c>
      <c r="AA202">
        <f>[1]Tech!Z7</f>
        <v>392071.23514178494</v>
      </c>
      <c r="AB202">
        <f>[1]Tech!AA7</f>
        <v>396020.8430790946</v>
      </c>
      <c r="AC202">
        <f>[1]Tech!AB7</f>
        <v>398516.49347736349</v>
      </c>
      <c r="AD202">
        <f>[1]Tech!AC7</f>
        <v>399981.98961715098</v>
      </c>
      <c r="AE202">
        <f>[1]Tech!AD7</f>
        <v>406483.74690376862</v>
      </c>
      <c r="AF202">
        <f>[1]Tech!AE7</f>
        <v>408398.46783496527</v>
      </c>
      <c r="AG202">
        <f>[1]Tech!AF7</f>
        <v>408362.33826701279</v>
      </c>
      <c r="AH202">
        <f>[1]Tech!AG7</f>
        <v>408283.81619107048</v>
      </c>
      <c r="AI202">
        <f>[1]Tech!AH7</f>
        <v>408191.4548739554</v>
      </c>
      <c r="AJ202">
        <f>[1]Tech!AI7</f>
        <v>408086.24288439628</v>
      </c>
      <c r="AK202">
        <f>[1]Tech!AJ7</f>
        <v>407967.49344223941</v>
      </c>
      <c r="AL202">
        <f>[1]Tech!AK7</f>
        <v>407834.09337303642</v>
      </c>
      <c r="AM202">
        <f>[1]Tech!AL7</f>
        <v>407686.2596495343</v>
      </c>
    </row>
    <row r="203" spans="1:39" x14ac:dyDescent="0.25">
      <c r="A203" t="s">
        <v>36</v>
      </c>
      <c r="B203" t="s">
        <v>0</v>
      </c>
      <c r="C203" t="s">
        <v>23</v>
      </c>
      <c r="D203">
        <f>SUM(D197:D202)</f>
        <v>411638.31634344597</v>
      </c>
      <c r="E203">
        <f t="shared" ref="E203:AM203" si="30">SUM(E197:E202)</f>
        <v>440428.42634664616</v>
      </c>
      <c r="F203">
        <f t="shared" si="30"/>
        <v>457779.35539810546</v>
      </c>
      <c r="G203">
        <f t="shared" si="30"/>
        <v>448246.58333333337</v>
      </c>
      <c r="H203">
        <f>SUM(H197:H202)</f>
        <v>454605.8598406298</v>
      </c>
      <c r="I203">
        <f t="shared" si="30"/>
        <v>474322.64369997161</v>
      </c>
      <c r="J203">
        <f t="shared" si="30"/>
        <v>499452.60662104306</v>
      </c>
      <c r="K203">
        <f t="shared" si="30"/>
        <v>537046.95684612216</v>
      </c>
      <c r="L203">
        <f t="shared" si="30"/>
        <v>575641.28997500683</v>
      </c>
      <c r="M203">
        <f t="shared" si="30"/>
        <v>613070.82869441644</v>
      </c>
      <c r="N203">
        <f t="shared" si="30"/>
        <v>638821.40372138773</v>
      </c>
      <c r="O203">
        <f t="shared" si="30"/>
        <v>636569.01614092244</v>
      </c>
      <c r="P203">
        <f t="shared" si="30"/>
        <v>692670.17989358678</v>
      </c>
      <c r="Q203">
        <f t="shared" si="30"/>
        <v>747505.27355614631</v>
      </c>
      <c r="R203">
        <f t="shared" si="30"/>
        <v>786156.58098248241</v>
      </c>
      <c r="S203">
        <f t="shared" si="30"/>
        <v>800446.33162307821</v>
      </c>
      <c r="T203">
        <f t="shared" si="30"/>
        <v>808881.51359498221</v>
      </c>
      <c r="U203">
        <f t="shared" si="30"/>
        <v>814409.11040524882</v>
      </c>
      <c r="V203">
        <f t="shared" si="30"/>
        <v>829764.83943552268</v>
      </c>
      <c r="W203">
        <f t="shared" si="30"/>
        <v>846798.45891312102</v>
      </c>
      <c r="X203">
        <f t="shared" si="30"/>
        <v>860546.14695876162</v>
      </c>
      <c r="Y203">
        <f t="shared" si="30"/>
        <v>880637.57356285257</v>
      </c>
      <c r="Z203">
        <f t="shared" si="30"/>
        <v>893422.04087340215</v>
      </c>
      <c r="AA203">
        <f t="shared" si="30"/>
        <v>904904.80504149571</v>
      </c>
      <c r="AB203">
        <f t="shared" si="30"/>
        <v>905326.06708587497</v>
      </c>
      <c r="AC203">
        <f t="shared" si="30"/>
        <v>904053.38044680934</v>
      </c>
      <c r="AD203">
        <f t="shared" si="30"/>
        <v>904923.31215883489</v>
      </c>
      <c r="AE203">
        <f t="shared" si="30"/>
        <v>909174.63812905329</v>
      </c>
      <c r="AF203">
        <f t="shared" si="30"/>
        <v>908124.86654601223</v>
      </c>
      <c r="AG203">
        <f t="shared" si="30"/>
        <v>906156.79595463048</v>
      </c>
      <c r="AH203">
        <f t="shared" si="30"/>
        <v>902623.60525575327</v>
      </c>
      <c r="AI203">
        <f t="shared" si="30"/>
        <v>898376.21216608165</v>
      </c>
      <c r="AJ203">
        <f t="shared" si="30"/>
        <v>895340.14111269393</v>
      </c>
      <c r="AK203">
        <f t="shared" si="30"/>
        <v>891091.96927921986</v>
      </c>
      <c r="AL203">
        <f t="shared" si="30"/>
        <v>886221.90573932719</v>
      </c>
      <c r="AM203">
        <f t="shared" si="30"/>
        <v>881331.33008502214</v>
      </c>
    </row>
    <row r="204" spans="1:39" x14ac:dyDescent="0.25">
      <c r="A204" t="s">
        <v>36</v>
      </c>
      <c r="B204" t="s">
        <v>73</v>
      </c>
      <c r="C204" t="str">
        <f>[1]Tech!B10</f>
        <v>Conventional Light</v>
      </c>
      <c r="D204">
        <f>[1]Tech!C10</f>
        <v>4645.0814215309774</v>
      </c>
      <c r="E204">
        <f>[1]Tech!D10</f>
        <v>4506.6333115719408</v>
      </c>
      <c r="F204">
        <f>[1]Tech!E10</f>
        <v>4045.0273214285717</v>
      </c>
      <c r="G204">
        <f>[1]Tech!F10</f>
        <v>3676.5833333333326</v>
      </c>
      <c r="H204">
        <f>[1]Tech!G10</f>
        <v>3498.2216820276499</v>
      </c>
      <c r="I204">
        <f>[1]Tech!H10</f>
        <v>3464.9128584229393</v>
      </c>
      <c r="J204">
        <f>[1]Tech!I10</f>
        <v>3237.5430209933434</v>
      </c>
      <c r="K204">
        <f>[1]Tech!J10</f>
        <v>3325.7563966135208</v>
      </c>
      <c r="L204">
        <f>[1]Tech!K10</f>
        <v>3123.6676024065546</v>
      </c>
      <c r="M204">
        <f>[1]Tech!L10</f>
        <v>3412.9239823348694</v>
      </c>
      <c r="N204">
        <f>[1]Tech!M10</f>
        <v>3376.5470302099329</v>
      </c>
      <c r="O204">
        <f>[1]Tech!N10</f>
        <v>3694.2616858237539</v>
      </c>
      <c r="P204">
        <f>[1]Tech!O10</f>
        <v>3350.1810418182517</v>
      </c>
      <c r="Q204">
        <f>[1]Tech!P10</f>
        <v>3193.9120688736821</v>
      </c>
      <c r="R204">
        <f>[1]Tech!Q10</f>
        <v>3026.20074896492</v>
      </c>
      <c r="S204">
        <f>[1]Tech!R10</f>
        <v>2828.0864701852011</v>
      </c>
      <c r="T204">
        <f>[1]Tech!S10</f>
        <v>2686.0321054259798</v>
      </c>
      <c r="U204">
        <f>[1]Tech!T10</f>
        <v>2590.677083100059</v>
      </c>
      <c r="V204">
        <f>[1]Tech!U10</f>
        <v>2512.733916684309</v>
      </c>
      <c r="W204">
        <f>[1]Tech!V10</f>
        <v>2456.1747882033064</v>
      </c>
      <c r="X204">
        <f>[1]Tech!W10</f>
        <v>2436.4262705389806</v>
      </c>
      <c r="Y204">
        <f>[1]Tech!X10</f>
        <v>2423.5557367128808</v>
      </c>
      <c r="Z204">
        <f>[1]Tech!Y10</f>
        <v>2424.5033014658779</v>
      </c>
      <c r="AA204">
        <f>[1]Tech!Z10</f>
        <v>2437.4741220141204</v>
      </c>
      <c r="AB204">
        <f>[1]Tech!AA10</f>
        <v>2456.9245468375434</v>
      </c>
      <c r="AC204">
        <f>[1]Tech!AB10</f>
        <v>2480.0603036060447</v>
      </c>
      <c r="AD204">
        <f>[1]Tech!AC10</f>
        <v>2506.8494394327636</v>
      </c>
      <c r="AE204">
        <f>[1]Tech!AD10</f>
        <v>2539.1167733329917</v>
      </c>
      <c r="AF204">
        <f>[1]Tech!AE10</f>
        <v>2576.661815193444</v>
      </c>
      <c r="AG204">
        <f>[1]Tech!AF10</f>
        <v>2619.2996327092487</v>
      </c>
      <c r="AH204">
        <f>[1]Tech!AG10</f>
        <v>2662.1254374370105</v>
      </c>
      <c r="AI204">
        <f>[1]Tech!AH10</f>
        <v>2705.3632685516</v>
      </c>
      <c r="AJ204">
        <f>[1]Tech!AI10</f>
        <v>2756.5310061145101</v>
      </c>
      <c r="AK204">
        <f>[1]Tech!AJ10</f>
        <v>2811.8507638519154</v>
      </c>
      <c r="AL204">
        <f>[1]Tech!AK10</f>
        <v>2870.650783883073</v>
      </c>
      <c r="AM204">
        <f>[1]Tech!AL10</f>
        <v>2933.91598690812</v>
      </c>
    </row>
    <row r="205" spans="1:39" x14ac:dyDescent="0.25">
      <c r="A205" t="s">
        <v>36</v>
      </c>
      <c r="B205" t="s">
        <v>73</v>
      </c>
      <c r="C205" t="str">
        <f>[1]Tech!B11</f>
        <v>Conventional Heavy</v>
      </c>
      <c r="D205">
        <f>[1]Tech!C11</f>
        <v>0</v>
      </c>
      <c r="E205">
        <f>[1]Tech!D11</f>
        <v>0</v>
      </c>
      <c r="F205">
        <f>[1]Tech!E11</f>
        <v>0</v>
      </c>
      <c r="G205">
        <f>[1]Tech!F11</f>
        <v>0</v>
      </c>
      <c r="H205">
        <f>[1]Tech!G11</f>
        <v>0</v>
      </c>
      <c r="I205">
        <f>[1]Tech!H11</f>
        <v>0</v>
      </c>
      <c r="J205">
        <f>[1]Tech!I11</f>
        <v>0</v>
      </c>
      <c r="K205">
        <f>[1]Tech!J11</f>
        <v>0</v>
      </c>
      <c r="L205">
        <f>[1]Tech!K11</f>
        <v>0</v>
      </c>
      <c r="M205">
        <f>[1]Tech!L11</f>
        <v>0</v>
      </c>
      <c r="N205">
        <f>[1]Tech!M11</f>
        <v>0</v>
      </c>
      <c r="O205">
        <f>[1]Tech!N11</f>
        <v>0</v>
      </c>
      <c r="P205">
        <f>[1]Tech!O11</f>
        <v>0</v>
      </c>
      <c r="Q205">
        <f>[1]Tech!P11</f>
        <v>0</v>
      </c>
      <c r="R205">
        <f>[1]Tech!Q11</f>
        <v>0</v>
      </c>
      <c r="S205">
        <f>[1]Tech!R11</f>
        <v>0</v>
      </c>
      <c r="T205">
        <f>[1]Tech!S11</f>
        <v>0</v>
      </c>
      <c r="U205">
        <f>[1]Tech!T11</f>
        <v>0</v>
      </c>
      <c r="V205">
        <f>[1]Tech!U11</f>
        <v>0</v>
      </c>
      <c r="W205">
        <f>[1]Tech!V11</f>
        <v>0</v>
      </c>
      <c r="X205">
        <f>[1]Tech!W11</f>
        <v>0</v>
      </c>
      <c r="Y205">
        <f>[1]Tech!X11</f>
        <v>0</v>
      </c>
      <c r="Z205">
        <f>[1]Tech!Y11</f>
        <v>0</v>
      </c>
      <c r="AA205">
        <f>[1]Tech!Z11</f>
        <v>0</v>
      </c>
      <c r="AB205">
        <f>[1]Tech!AA11</f>
        <v>0</v>
      </c>
      <c r="AC205">
        <f>[1]Tech!AB11</f>
        <v>0</v>
      </c>
      <c r="AD205">
        <f>[1]Tech!AC11</f>
        <v>0</v>
      </c>
      <c r="AE205">
        <f>[1]Tech!AD11</f>
        <v>0</v>
      </c>
      <c r="AF205">
        <f>[1]Tech!AE11</f>
        <v>0</v>
      </c>
      <c r="AG205">
        <f>[1]Tech!AF11</f>
        <v>0</v>
      </c>
      <c r="AH205">
        <f>[1]Tech!AG11</f>
        <v>0</v>
      </c>
      <c r="AI205">
        <f>[1]Tech!AH11</f>
        <v>0</v>
      </c>
      <c r="AJ205">
        <f>[1]Tech!AI11</f>
        <v>0</v>
      </c>
      <c r="AK205">
        <f>[1]Tech!AJ11</f>
        <v>0</v>
      </c>
      <c r="AL205">
        <f>[1]Tech!AK11</f>
        <v>0</v>
      </c>
      <c r="AM205">
        <f>[1]Tech!AL11</f>
        <v>0</v>
      </c>
    </row>
    <row r="206" spans="1:39" x14ac:dyDescent="0.25">
      <c r="A206" t="s">
        <v>36</v>
      </c>
      <c r="B206" t="s">
        <v>73</v>
      </c>
      <c r="C206" t="str">
        <f>[1]Tech!B12</f>
        <v>C5+</v>
      </c>
      <c r="D206">
        <f>[1]Tech!C12</f>
        <v>1430</v>
      </c>
      <c r="E206">
        <f>[1]Tech!D12</f>
        <v>1450</v>
      </c>
      <c r="F206">
        <f>[1]Tech!E12</f>
        <v>1290</v>
      </c>
      <c r="G206">
        <f>[1]Tech!F12</f>
        <v>1170</v>
      </c>
      <c r="H206">
        <f>[1]Tech!G12</f>
        <v>1260</v>
      </c>
      <c r="I206">
        <f>[1]Tech!H12</f>
        <v>1420</v>
      </c>
      <c r="J206">
        <f>[1]Tech!I12</f>
        <v>1780</v>
      </c>
      <c r="K206">
        <f>[1]Tech!J12</f>
        <v>2029.9999999999998</v>
      </c>
      <c r="L206">
        <f>[1]Tech!K12</f>
        <v>2460</v>
      </c>
      <c r="M206">
        <f>[1]Tech!L12</f>
        <v>3010</v>
      </c>
      <c r="N206">
        <f>[1]Tech!M12</f>
        <v>3470</v>
      </c>
      <c r="O206">
        <f>[1]Tech!N12</f>
        <v>4181.2090410958917</v>
      </c>
      <c r="P206">
        <f>[1]Tech!O12</f>
        <v>5720.4719178082196</v>
      </c>
      <c r="Q206">
        <f>[1]Tech!P12</f>
        <v>6171.8127176489343</v>
      </c>
      <c r="R206">
        <f>[1]Tech!Q12</f>
        <v>6185.7098534800916</v>
      </c>
      <c r="S206">
        <f>[1]Tech!R12</f>
        <v>6217.5431242053746</v>
      </c>
      <c r="T206">
        <f>[1]Tech!S12</f>
        <v>6287.6291813833268</v>
      </c>
      <c r="U206">
        <f>[1]Tech!T12</f>
        <v>6377.1379138480197</v>
      </c>
      <c r="V206">
        <f>[1]Tech!U12</f>
        <v>6470.4979345496031</v>
      </c>
      <c r="W206">
        <f>[1]Tech!V12</f>
        <v>6566.4458295092318</v>
      </c>
      <c r="X206">
        <f>[1]Tech!W12</f>
        <v>6641.7140883865795</v>
      </c>
      <c r="Y206">
        <f>[1]Tech!X12</f>
        <v>6697.045699455497</v>
      </c>
      <c r="Z206">
        <f>[1]Tech!Y12</f>
        <v>6729.0274529716226</v>
      </c>
      <c r="AA206">
        <f>[1]Tech!Z12</f>
        <v>6744.0166135417812</v>
      </c>
      <c r="AB206">
        <f>[1]Tech!AA12</f>
        <v>6764.3433708049834</v>
      </c>
      <c r="AC206">
        <f>[1]Tech!AB12</f>
        <v>6787.2861732466963</v>
      </c>
      <c r="AD206">
        <f>[1]Tech!AC12</f>
        <v>6814.3805236174876</v>
      </c>
      <c r="AE206">
        <f>[1]Tech!AD12</f>
        <v>6844.279910698031</v>
      </c>
      <c r="AF206">
        <f>[1]Tech!AE12</f>
        <v>6880.0384416735442</v>
      </c>
      <c r="AG206">
        <f>[1]Tech!AF12</f>
        <v>6918.8287253513899</v>
      </c>
      <c r="AH206">
        <f>[1]Tech!AG12</f>
        <v>6957.7068108586236</v>
      </c>
      <c r="AI206">
        <f>[1]Tech!AH12</f>
        <v>7001.2625707680299</v>
      </c>
      <c r="AJ206">
        <f>[1]Tech!AI12</f>
        <v>7048.0856188746739</v>
      </c>
      <c r="AK206">
        <f>[1]Tech!AJ12</f>
        <v>7092.022138569434</v>
      </c>
      <c r="AL206">
        <f>[1]Tech!AK12</f>
        <v>7136.1325800962022</v>
      </c>
      <c r="AM206">
        <f>[1]Tech!AL12</f>
        <v>7180.4160282396506</v>
      </c>
    </row>
    <row r="207" spans="1:39" x14ac:dyDescent="0.25">
      <c r="A207" t="s">
        <v>36</v>
      </c>
      <c r="B207" t="s">
        <v>73</v>
      </c>
      <c r="C207" t="str">
        <f>[1]Tech!B13</f>
        <v>Field Condensate</v>
      </c>
      <c r="D207">
        <f>[1]Tech!C13</f>
        <v>550</v>
      </c>
      <c r="E207">
        <f>[1]Tech!D13</f>
        <v>600</v>
      </c>
      <c r="F207">
        <f>[1]Tech!E13</f>
        <v>660</v>
      </c>
      <c r="G207">
        <f>[1]Tech!F13</f>
        <v>720</v>
      </c>
      <c r="H207">
        <f>[1]Tech!G13</f>
        <v>720</v>
      </c>
      <c r="I207">
        <f>[1]Tech!H13</f>
        <v>790</v>
      </c>
      <c r="J207">
        <f>[1]Tech!I13</f>
        <v>880</v>
      </c>
      <c r="K207">
        <f>[1]Tech!J13</f>
        <v>900</v>
      </c>
      <c r="L207">
        <f>[1]Tech!K13</f>
        <v>960</v>
      </c>
      <c r="M207">
        <f>[1]Tech!L13</f>
        <v>1430</v>
      </c>
      <c r="N207">
        <f>[1]Tech!M13</f>
        <v>1840</v>
      </c>
      <c r="O207">
        <f>[1]Tech!N13</f>
        <v>2536.7909589041078</v>
      </c>
      <c r="P207">
        <f>[1]Tech!O13</f>
        <v>2619.52808219178</v>
      </c>
      <c r="Q207">
        <f>[1]Tech!P13</f>
        <v>2854.1890629499831</v>
      </c>
      <c r="R207">
        <f>[1]Tech!Q13</f>
        <v>2888.938799996723</v>
      </c>
      <c r="S207">
        <f>[1]Tech!R13</f>
        <v>2932.5565847204507</v>
      </c>
      <c r="T207">
        <f>[1]Tech!S13</f>
        <v>2994.9757714848761</v>
      </c>
      <c r="U207">
        <f>[1]Tech!T13</f>
        <v>3067.6866741526305</v>
      </c>
      <c r="V207">
        <f>[1]Tech!U13</f>
        <v>3143.4147841167824</v>
      </c>
      <c r="W207">
        <f>[1]Tech!V13</f>
        <v>3221.6113921739638</v>
      </c>
      <c r="X207">
        <f>[1]Tech!W13</f>
        <v>3290.8020613372855</v>
      </c>
      <c r="Y207">
        <f>[1]Tech!X13</f>
        <v>3351.0711195397566</v>
      </c>
      <c r="Z207">
        <f>[1]Tech!Y13</f>
        <v>3400.4115335406777</v>
      </c>
      <c r="AA207">
        <f>[1]Tech!Z13</f>
        <v>3441.728513946136</v>
      </c>
      <c r="AB207">
        <f>[1]Tech!AA13</f>
        <v>3486.2812603350094</v>
      </c>
      <c r="AC207">
        <f>[1]Tech!AB13</f>
        <v>3532.7404833779715</v>
      </c>
      <c r="AD207">
        <f>[1]Tech!AC13</f>
        <v>3581.96018189081</v>
      </c>
      <c r="AE207">
        <f>[1]Tech!AD13</f>
        <v>3633.2972731063678</v>
      </c>
      <c r="AF207">
        <f>[1]Tech!AE13</f>
        <v>3688.4409338471305</v>
      </c>
      <c r="AG207">
        <f>[1]Tech!AF13</f>
        <v>3745.9618157824448</v>
      </c>
      <c r="AH207">
        <f>[1]Tech!AG13</f>
        <v>3804.3081566216324</v>
      </c>
      <c r="AI207">
        <f>[1]Tech!AH13</f>
        <v>3866.0256193759742</v>
      </c>
      <c r="AJ207">
        <f>[1]Tech!AI13</f>
        <v>3930.4143014232104</v>
      </c>
      <c r="AK207">
        <f>[1]Tech!AJ13</f>
        <v>3994.0733915783076</v>
      </c>
      <c r="AL207">
        <f>[1]Tech!AK13</f>
        <v>4058.7066796190393</v>
      </c>
      <c r="AM207">
        <f>[1]Tech!AL13</f>
        <v>4124.3276698247701</v>
      </c>
    </row>
    <row r="208" spans="1:39" x14ac:dyDescent="0.25">
      <c r="A208" t="s">
        <v>36</v>
      </c>
      <c r="B208" t="s">
        <v>73</v>
      </c>
      <c r="C208" t="s">
        <v>23</v>
      </c>
      <c r="D208">
        <f>SUM(D204:D207)</f>
        <v>6625.0814215309774</v>
      </c>
      <c r="E208">
        <f t="shared" ref="E208:AM208" si="31">SUM(E204:E207)</f>
        <v>6556.6333115719408</v>
      </c>
      <c r="F208">
        <f t="shared" si="31"/>
        <v>5995.0273214285717</v>
      </c>
      <c r="G208">
        <f t="shared" si="31"/>
        <v>5566.5833333333321</v>
      </c>
      <c r="H208">
        <f t="shared" si="31"/>
        <v>5478.2216820276499</v>
      </c>
      <c r="I208">
        <f t="shared" si="31"/>
        <v>5674.9128584229393</v>
      </c>
      <c r="J208">
        <f t="shared" si="31"/>
        <v>5897.5430209933438</v>
      </c>
      <c r="K208">
        <f t="shared" si="31"/>
        <v>6255.7563966135203</v>
      </c>
      <c r="L208">
        <f t="shared" si="31"/>
        <v>6543.6676024065546</v>
      </c>
      <c r="M208">
        <f t="shared" si="31"/>
        <v>7852.9239823348689</v>
      </c>
      <c r="N208">
        <f t="shared" si="31"/>
        <v>8686.5470302099329</v>
      </c>
      <c r="O208">
        <f t="shared" si="31"/>
        <v>10412.261685823754</v>
      </c>
      <c r="P208">
        <f t="shared" si="31"/>
        <v>11690.181041818252</v>
      </c>
      <c r="Q208">
        <f t="shared" si="31"/>
        <v>12219.913849472599</v>
      </c>
      <c r="R208">
        <f t="shared" si="31"/>
        <v>12100.849402441734</v>
      </c>
      <c r="S208">
        <f t="shared" si="31"/>
        <v>11978.186179111026</v>
      </c>
      <c r="T208">
        <f t="shared" si="31"/>
        <v>11968.637058294184</v>
      </c>
      <c r="U208">
        <f t="shared" si="31"/>
        <v>12035.501671100708</v>
      </c>
      <c r="V208">
        <f t="shared" si="31"/>
        <v>12126.646635350695</v>
      </c>
      <c r="W208">
        <f t="shared" si="31"/>
        <v>12244.232009886502</v>
      </c>
      <c r="X208">
        <f t="shared" si="31"/>
        <v>12368.942420262847</v>
      </c>
      <c r="Y208">
        <f t="shared" si="31"/>
        <v>12471.672555708134</v>
      </c>
      <c r="Z208">
        <f t="shared" si="31"/>
        <v>12553.942287978178</v>
      </c>
      <c r="AA208">
        <f t="shared" si="31"/>
        <v>12623.219249502037</v>
      </c>
      <c r="AB208">
        <f t="shared" si="31"/>
        <v>12707.549177977537</v>
      </c>
      <c r="AC208">
        <f t="shared" si="31"/>
        <v>12800.086960230712</v>
      </c>
      <c r="AD208">
        <f t="shared" si="31"/>
        <v>12903.190144941062</v>
      </c>
      <c r="AE208">
        <f t="shared" si="31"/>
        <v>13016.69395713739</v>
      </c>
      <c r="AF208">
        <f t="shared" si="31"/>
        <v>13145.141190714119</v>
      </c>
      <c r="AG208">
        <f t="shared" si="31"/>
        <v>13284.090173843084</v>
      </c>
      <c r="AH208">
        <f t="shared" si="31"/>
        <v>13424.140404917267</v>
      </c>
      <c r="AI208">
        <f t="shared" si="31"/>
        <v>13572.651458695604</v>
      </c>
      <c r="AJ208">
        <f t="shared" si="31"/>
        <v>13735.030926412393</v>
      </c>
      <c r="AK208">
        <f t="shared" si="31"/>
        <v>13897.946293999657</v>
      </c>
      <c r="AL208">
        <f t="shared" si="31"/>
        <v>14065.490043598315</v>
      </c>
      <c r="AM208">
        <f t="shared" si="31"/>
        <v>14238.659684972541</v>
      </c>
    </row>
    <row r="209" spans="1:39" x14ac:dyDescent="0.25">
      <c r="A209" t="s">
        <v>36</v>
      </c>
      <c r="B209" t="s">
        <v>74</v>
      </c>
      <c r="C209" t="str">
        <f>[1]Tech!B14</f>
        <v>Conventional Light</v>
      </c>
      <c r="D209">
        <f>[1]Tech!C14</f>
        <v>61608.885781863297</v>
      </c>
      <c r="E209">
        <f>[1]Tech!D14</f>
        <v>59160.558397498877</v>
      </c>
      <c r="F209">
        <f>[1]Tech!E14</f>
        <v>57156.982398125292</v>
      </c>
      <c r="G209">
        <f>[1]Tech!F14</f>
        <v>55079.4261325193</v>
      </c>
      <c r="H209">
        <f>[1]Tech!G14</f>
        <v>50836.217720381457</v>
      </c>
      <c r="I209">
        <f>[1]Tech!H14</f>
        <v>51338.873677928677</v>
      </c>
      <c r="J209">
        <f>[1]Tech!I14</f>
        <v>56341.617267120324</v>
      </c>
      <c r="K209">
        <f>[1]Tech!J14</f>
        <v>65504.216617338796</v>
      </c>
      <c r="L209">
        <f>[1]Tech!K14</f>
        <v>69200.576338328712</v>
      </c>
      <c r="M209">
        <f>[1]Tech!L14</f>
        <v>71051.166299791337</v>
      </c>
      <c r="N209">
        <f>[1]Tech!M14</f>
        <v>64074.35544146796</v>
      </c>
      <c r="O209">
        <f>[1]Tech!N14</f>
        <v>53323.447957963377</v>
      </c>
      <c r="P209">
        <f>[1]Tech!O14</f>
        <v>53315.231226348718</v>
      </c>
      <c r="Q209">
        <f>[1]Tech!P14</f>
        <v>54344.354991857785</v>
      </c>
      <c r="R209">
        <f>[1]Tech!Q14</f>
        <v>54875.50906894244</v>
      </c>
      <c r="S209">
        <f>[1]Tech!R14</f>
        <v>54649.037723472196</v>
      </c>
      <c r="T209">
        <f>[1]Tech!S14</f>
        <v>54411.54111355864</v>
      </c>
      <c r="U209">
        <f>[1]Tech!T14</f>
        <v>54382.474506856379</v>
      </c>
      <c r="V209">
        <f>[1]Tech!U14</f>
        <v>54751.862883647824</v>
      </c>
      <c r="W209">
        <f>[1]Tech!V14</f>
        <v>55557.317303357384</v>
      </c>
      <c r="X209">
        <f>[1]Tech!W14</f>
        <v>56595.261640144898</v>
      </c>
      <c r="Y209">
        <f>[1]Tech!X14</f>
        <v>57567.871099585333</v>
      </c>
      <c r="Z209">
        <f>[1]Tech!Y14</f>
        <v>58393.451320185835</v>
      </c>
      <c r="AA209">
        <f>[1]Tech!Z14</f>
        <v>59060.399402139672</v>
      </c>
      <c r="AB209">
        <f>[1]Tech!AA14</f>
        <v>59552.01198903747</v>
      </c>
      <c r="AC209">
        <f>[1]Tech!AB14</f>
        <v>59859.922282208288</v>
      </c>
      <c r="AD209">
        <f>[1]Tech!AC14</f>
        <v>60046.844619095435</v>
      </c>
      <c r="AE209">
        <f>[1]Tech!AD14</f>
        <v>60155.501889187675</v>
      </c>
      <c r="AF209">
        <f>[1]Tech!AE14</f>
        <v>60234.741265567514</v>
      </c>
      <c r="AG209">
        <f>[1]Tech!AF14</f>
        <v>60294.288851975718</v>
      </c>
      <c r="AH209">
        <f>[1]Tech!AG14</f>
        <v>60320.953498620715</v>
      </c>
      <c r="AI209">
        <f>[1]Tech!AH14</f>
        <v>60295.068617677789</v>
      </c>
      <c r="AJ209">
        <f>[1]Tech!AI14</f>
        <v>60194.554338240079</v>
      </c>
      <c r="AK209">
        <f>[1]Tech!AJ14</f>
        <v>60008.343485391728</v>
      </c>
      <c r="AL209">
        <f>[1]Tech!AK14</f>
        <v>59712.424354078445</v>
      </c>
      <c r="AM209">
        <f>[1]Tech!AL14</f>
        <v>59326.210768036362</v>
      </c>
    </row>
    <row r="210" spans="1:39" x14ac:dyDescent="0.25">
      <c r="A210" t="s">
        <v>36</v>
      </c>
      <c r="B210" t="s">
        <v>74</v>
      </c>
      <c r="C210" t="str">
        <f>[1]Tech!B15</f>
        <v>Conventional Heavy</v>
      </c>
      <c r="D210">
        <f>[1]Tech!C15</f>
        <v>29193.593812990777</v>
      </c>
      <c r="E210">
        <f>[1]Tech!D15</f>
        <v>27160.952141415612</v>
      </c>
      <c r="F210">
        <f>[1]Tech!E15</f>
        <v>26214.863449288954</v>
      </c>
      <c r="G210">
        <f>[1]Tech!F15</f>
        <v>24858.490534147371</v>
      </c>
      <c r="H210">
        <f>[1]Tech!G15</f>
        <v>22446.045407498725</v>
      </c>
      <c r="I210">
        <f>[1]Tech!H15</f>
        <v>21617.565081031888</v>
      </c>
      <c r="J210">
        <f>[1]Tech!I15</f>
        <v>21535.350062628768</v>
      </c>
      <c r="K210">
        <f>[1]Tech!J15</f>
        <v>22936.758509477593</v>
      </c>
      <c r="L210">
        <f>[1]Tech!K15</f>
        <v>23326.349274190499</v>
      </c>
      <c r="M210">
        <f>[1]Tech!L15</f>
        <v>22640.786462625441</v>
      </c>
      <c r="N210">
        <f>[1]Tech!M15</f>
        <v>20228.204740943693</v>
      </c>
      <c r="O210">
        <f>[1]Tech!N15</f>
        <v>17488.412924688299</v>
      </c>
      <c r="P210">
        <f>[1]Tech!O15</f>
        <v>17204.000523056242</v>
      </c>
      <c r="Q210">
        <f>[1]Tech!P15</f>
        <v>16181.945772342844</v>
      </c>
      <c r="R210">
        <f>[1]Tech!Q15</f>
        <v>15181.392219121621</v>
      </c>
      <c r="S210">
        <f>[1]Tech!R15</f>
        <v>14239.265554239504</v>
      </c>
      <c r="T210">
        <f>[1]Tech!S15</f>
        <v>13501.308332104352</v>
      </c>
      <c r="U210">
        <f>[1]Tech!T15</f>
        <v>13007.245081555238</v>
      </c>
      <c r="V210">
        <f>[1]Tech!U15</f>
        <v>12762.341970071888</v>
      </c>
      <c r="W210">
        <f>[1]Tech!V15</f>
        <v>12749.625649301854</v>
      </c>
      <c r="X210">
        <f>[1]Tech!W15</f>
        <v>12890.978755162896</v>
      </c>
      <c r="Y210">
        <f>[1]Tech!X15</f>
        <v>13085.199382149936</v>
      </c>
      <c r="Z210">
        <f>[1]Tech!Y15</f>
        <v>13291.179406801577</v>
      </c>
      <c r="AA210">
        <f>[1]Tech!Z15</f>
        <v>13481.167730925425</v>
      </c>
      <c r="AB210">
        <f>[1]Tech!AA15</f>
        <v>13636.818853335064</v>
      </c>
      <c r="AC210">
        <f>[1]Tech!AB15</f>
        <v>13754.610100104594</v>
      </c>
      <c r="AD210">
        <f>[1]Tech!AC15</f>
        <v>13849.512624626004</v>
      </c>
      <c r="AE210">
        <f>[1]Tech!AD15</f>
        <v>13934.013290829913</v>
      </c>
      <c r="AF210">
        <f>[1]Tech!AE15</f>
        <v>14012.222727928278</v>
      </c>
      <c r="AG210">
        <f>[1]Tech!AF15</f>
        <v>14083.848625982286</v>
      </c>
      <c r="AH210">
        <f>[1]Tech!AG15</f>
        <v>14147.4953425981</v>
      </c>
      <c r="AI210">
        <f>[1]Tech!AH15</f>
        <v>14197.324116562535</v>
      </c>
      <c r="AJ210">
        <f>[1]Tech!AI15</f>
        <v>14227.462128390185</v>
      </c>
      <c r="AK210">
        <f>[1]Tech!AJ15</f>
        <v>14232.374729186189</v>
      </c>
      <c r="AL210">
        <f>[1]Tech!AK15</f>
        <v>14204.169215700713</v>
      </c>
      <c r="AM210">
        <f>[1]Tech!AL15</f>
        <v>14147.818339506293</v>
      </c>
    </row>
    <row r="211" spans="1:39" x14ac:dyDescent="0.25">
      <c r="A211" t="s">
        <v>36</v>
      </c>
      <c r="B211" t="s">
        <v>74</v>
      </c>
      <c r="C211" t="str">
        <f>[1]Tech!B16</f>
        <v>C5+</v>
      </c>
      <c r="D211">
        <f>[1]Tech!C16</f>
        <v>20570</v>
      </c>
      <c r="E211">
        <f>[1]Tech!D16</f>
        <v>21350</v>
      </c>
      <c r="F211">
        <f>[1]Tech!E16</f>
        <v>21260</v>
      </c>
      <c r="G211">
        <f>[1]Tech!F16</f>
        <v>20070</v>
      </c>
      <c r="H211">
        <f>[1]Tech!G16</f>
        <v>18840</v>
      </c>
      <c r="I211">
        <f>[1]Tech!H16</f>
        <v>18330</v>
      </c>
      <c r="J211">
        <f>[1]Tech!I16</f>
        <v>17720</v>
      </c>
      <c r="K211">
        <f>[1]Tech!J16</f>
        <v>17290</v>
      </c>
      <c r="L211">
        <f>[1]Tech!K16</f>
        <v>18160</v>
      </c>
      <c r="M211">
        <f>[1]Tech!L16</f>
        <v>21230</v>
      </c>
      <c r="N211">
        <f>[1]Tech!M16</f>
        <v>26690</v>
      </c>
      <c r="O211">
        <f>[1]Tech!N16</f>
        <v>27711.679452054788</v>
      </c>
      <c r="P211">
        <f>[1]Tech!O16</f>
        <v>33352.013972602741</v>
      </c>
      <c r="Q211">
        <f>[1]Tech!P16</f>
        <v>33799.475597628392</v>
      </c>
      <c r="R211">
        <f>[1]Tech!Q16</f>
        <v>33283.953677472775</v>
      </c>
      <c r="S211">
        <f>[1]Tech!R16</f>
        <v>32757.970029941916</v>
      </c>
      <c r="T211">
        <f>[1]Tech!S16</f>
        <v>32309.444778950434</v>
      </c>
      <c r="U211">
        <f>[1]Tech!T16</f>
        <v>31977.121856319958</v>
      </c>
      <c r="V211">
        <f>[1]Tech!U16</f>
        <v>31728.063255560359</v>
      </c>
      <c r="W211">
        <f>[1]Tech!V16</f>
        <v>31601.856218454472</v>
      </c>
      <c r="X211">
        <f>[1]Tech!W16</f>
        <v>31154.370440255876</v>
      </c>
      <c r="Y211">
        <f>[1]Tech!X16</f>
        <v>30896.984643731164</v>
      </c>
      <c r="Z211">
        <f>[1]Tech!Y16</f>
        <v>30565.566073010275</v>
      </c>
      <c r="AA211">
        <f>[1]Tech!Z16</f>
        <v>30199.956210198121</v>
      </c>
      <c r="AB211">
        <f>[1]Tech!AA16</f>
        <v>29894.600320478432</v>
      </c>
      <c r="AC211">
        <f>[1]Tech!AB16</f>
        <v>29612.215346744822</v>
      </c>
      <c r="AD211">
        <f>[1]Tech!AC16</f>
        <v>29346.407998823248</v>
      </c>
      <c r="AE211">
        <f>[1]Tech!AD16</f>
        <v>29086.875815649655</v>
      </c>
      <c r="AF211">
        <f>[1]Tech!AE16</f>
        <v>28852.288979803114</v>
      </c>
      <c r="AG211">
        <f>[1]Tech!AF16</f>
        <v>28662.059356715446</v>
      </c>
      <c r="AH211">
        <f>[1]Tech!AG16</f>
        <v>28483.881774206591</v>
      </c>
      <c r="AI211">
        <f>[1]Tech!AH16</f>
        <v>28352.276419674097</v>
      </c>
      <c r="AJ211">
        <f>[1]Tech!AI16</f>
        <v>28249.60400192787</v>
      </c>
      <c r="AK211">
        <f>[1]Tech!AJ16</f>
        <v>28130.457052726455</v>
      </c>
      <c r="AL211">
        <f>[1]Tech!AK16</f>
        <v>28021.704489491309</v>
      </c>
      <c r="AM211">
        <f>[1]Tech!AL16</f>
        <v>27911.903406337187</v>
      </c>
    </row>
    <row r="212" spans="1:39" x14ac:dyDescent="0.25">
      <c r="A212" t="s">
        <v>36</v>
      </c>
      <c r="B212" t="s">
        <v>74</v>
      </c>
      <c r="C212" t="str">
        <f>[1]Tech!B17</f>
        <v>Field Condensate</v>
      </c>
      <c r="D212">
        <f>[1]Tech!C17</f>
        <v>1540</v>
      </c>
      <c r="E212">
        <f>[1]Tech!D17</f>
        <v>1750</v>
      </c>
      <c r="F212">
        <f>[1]Tech!E17</f>
        <v>2090</v>
      </c>
      <c r="G212">
        <f>[1]Tech!F17</f>
        <v>2410</v>
      </c>
      <c r="H212">
        <f>[1]Tech!G17</f>
        <v>2180</v>
      </c>
      <c r="I212">
        <f>[1]Tech!H17</f>
        <v>1920</v>
      </c>
      <c r="J212">
        <f>[1]Tech!I17</f>
        <v>1940</v>
      </c>
      <c r="K212">
        <f>[1]Tech!J17</f>
        <v>2000</v>
      </c>
      <c r="L212">
        <f>[1]Tech!K17</f>
        <v>2590</v>
      </c>
      <c r="M212">
        <f>[1]Tech!L17</f>
        <v>3780</v>
      </c>
      <c r="N212">
        <f>[1]Tech!M17</f>
        <v>3730</v>
      </c>
      <c r="O212">
        <f>[1]Tech!N17</f>
        <v>7631.3205479452108</v>
      </c>
      <c r="P212">
        <f>[1]Tech!O17</f>
        <v>9506.986027397259</v>
      </c>
      <c r="Q212">
        <f>[1]Tech!P17</f>
        <v>9729.9263236218048</v>
      </c>
      <c r="R212">
        <f>[1]Tech!Q17</f>
        <v>9667.0949986590786</v>
      </c>
      <c r="S212">
        <f>[1]Tech!R17</f>
        <v>9591.2228937090131</v>
      </c>
      <c r="T212">
        <f>[1]Tech!S17</f>
        <v>9544.2241952438926</v>
      </c>
      <c r="U212">
        <f>[1]Tech!T17</f>
        <v>9535.8895571562643</v>
      </c>
      <c r="V212">
        <f>[1]Tech!U17</f>
        <v>9546.5408765499233</v>
      </c>
      <c r="W212">
        <f>[1]Tech!V17</f>
        <v>9585.6122830457298</v>
      </c>
      <c r="X212">
        <f>[1]Tech!W17</f>
        <v>9608.8221470836743</v>
      </c>
      <c r="Y212">
        <f>[1]Tech!X17</f>
        <v>9623.7885076874536</v>
      </c>
      <c r="Z212">
        <f>[1]Tech!Y17</f>
        <v>9614.8212505089105</v>
      </c>
      <c r="AA212">
        <f>[1]Tech!Z17</f>
        <v>9593.8711756663506</v>
      </c>
      <c r="AB212">
        <f>[1]Tech!AA17</f>
        <v>9590.8946099392433</v>
      </c>
      <c r="AC212">
        <f>[1]Tech!AB17</f>
        <v>9594.3611983524697</v>
      </c>
      <c r="AD212">
        <f>[1]Tech!AC17</f>
        <v>9602.3805728817479</v>
      </c>
      <c r="AE212">
        <f>[1]Tech!AD17</f>
        <v>9611.6918293596846</v>
      </c>
      <c r="AF212">
        <f>[1]Tech!AE17</f>
        <v>9628.5708979380724</v>
      </c>
      <c r="AG212">
        <f>[1]Tech!AF17</f>
        <v>9659.7914041863551</v>
      </c>
      <c r="AH212">
        <f>[1]Tech!AG17</f>
        <v>9694.7882918581327</v>
      </c>
      <c r="AI212">
        <f>[1]Tech!AH17</f>
        <v>9745.5395325806112</v>
      </c>
      <c r="AJ212">
        <f>[1]Tech!AI17</f>
        <v>9806.3889688930012</v>
      </c>
      <c r="AK212">
        <f>[1]Tech!AJ17</f>
        <v>9861.7125060104172</v>
      </c>
      <c r="AL212">
        <f>[1]Tech!AK17</f>
        <v>9920.8502877598021</v>
      </c>
      <c r="AM212">
        <f>[1]Tech!AL17</f>
        <v>9979.8174797541433</v>
      </c>
    </row>
    <row r="213" spans="1:39" x14ac:dyDescent="0.25">
      <c r="A213" t="s">
        <v>36</v>
      </c>
      <c r="B213" t="s">
        <v>74</v>
      </c>
      <c r="C213" t="str">
        <f>[1]Tech!B18</f>
        <v xml:space="preserve">Mined Bitumen </v>
      </c>
      <c r="D213">
        <f>[1]Tech!C18</f>
        <v>99600</v>
      </c>
      <c r="E213">
        <f>[1]Tech!D18</f>
        <v>120900</v>
      </c>
      <c r="F213">
        <f>[1]Tech!E18</f>
        <v>124700</v>
      </c>
      <c r="G213">
        <f>[1]Tech!F18</f>
        <v>114700</v>
      </c>
      <c r="H213">
        <f>[1]Tech!G18</f>
        <v>131200</v>
      </c>
      <c r="I213">
        <f>[1]Tech!H18</f>
        <v>136242.99205479454</v>
      </c>
      <c r="J213">
        <f>[1]Tech!I18</f>
        <v>141899.05890410958</v>
      </c>
      <c r="K213">
        <f>[1]Tech!J18</f>
        <v>148216.19643835619</v>
      </c>
      <c r="L213">
        <f>[1]Tech!K18</f>
        <v>155178.08602739728</v>
      </c>
      <c r="M213">
        <f>[1]Tech!L18</f>
        <v>152653.42301369866</v>
      </c>
      <c r="N213">
        <f>[1]Tech!M18</f>
        <v>184650.64986301371</v>
      </c>
      <c r="O213">
        <f>[1]Tech!N18</f>
        <v>182833.43972602743</v>
      </c>
      <c r="P213">
        <f>[1]Tech!O18</f>
        <v>202815.78219178083</v>
      </c>
      <c r="Q213">
        <f>[1]Tech!P18</f>
        <v>234799.82978469165</v>
      </c>
      <c r="R213">
        <f>[1]Tech!Q18</f>
        <v>254156.63379981264</v>
      </c>
      <c r="S213">
        <f>[1]Tech!R18</f>
        <v>259617.83437279184</v>
      </c>
      <c r="T213">
        <f>[1]Tech!S18</f>
        <v>261022.58625520545</v>
      </c>
      <c r="U213">
        <f>[1]Tech!T18</f>
        <v>261826.63235775448</v>
      </c>
      <c r="V213">
        <f>[1]Tech!U18</f>
        <v>261826.61697683489</v>
      </c>
      <c r="W213">
        <f>[1]Tech!V18</f>
        <v>261826.62684564892</v>
      </c>
      <c r="X213">
        <f>[1]Tech!W18</f>
        <v>261826.62716015082</v>
      </c>
      <c r="Y213">
        <f>[1]Tech!X18</f>
        <v>261826.62703786089</v>
      </c>
      <c r="Z213">
        <f>[1]Tech!Y18</f>
        <v>261826.627032105</v>
      </c>
      <c r="AA213">
        <f>[1]Tech!Z18</f>
        <v>261826.62703364203</v>
      </c>
      <c r="AB213">
        <f>[1]Tech!AA18</f>
        <v>261826.62703373685</v>
      </c>
      <c r="AC213">
        <f>[1]Tech!AB18</f>
        <v>261826.6270337177</v>
      </c>
      <c r="AD213">
        <f>[1]Tech!AC18</f>
        <v>261826.62703371618</v>
      </c>
      <c r="AE213">
        <f>[1]Tech!AD18</f>
        <v>260918.32669880448</v>
      </c>
      <c r="AF213">
        <f>[1]Tech!AE18</f>
        <v>259282.81498821205</v>
      </c>
      <c r="AG213">
        <f>[1]Tech!AF18</f>
        <v>257306.25213540083</v>
      </c>
      <c r="AH213">
        <f>[1]Tech!AG18</f>
        <v>255047.42373339791</v>
      </c>
      <c r="AI213">
        <f>[1]Tech!AH18</f>
        <v>253110.69799736829</v>
      </c>
      <c r="AJ213">
        <f>[1]Tech!AI18</f>
        <v>251755.76001759677</v>
      </c>
      <c r="AK213">
        <f>[1]Tech!AJ18</f>
        <v>250686.36867928831</v>
      </c>
      <c r="AL213">
        <f>[1]Tech!AK18</f>
        <v>249629.7396919489</v>
      </c>
      <c r="AM213">
        <f>[1]Tech!AL18</f>
        <v>248585.7207468806</v>
      </c>
    </row>
    <row r="214" spans="1:39" x14ac:dyDescent="0.25">
      <c r="A214" t="s">
        <v>36</v>
      </c>
      <c r="B214" t="s">
        <v>74</v>
      </c>
      <c r="C214" t="str">
        <f>[1]Tech!B19</f>
        <v xml:space="preserve">In Situ Bitumen </v>
      </c>
      <c r="D214">
        <f>[1]Tech!C19</f>
        <v>69700</v>
      </c>
      <c r="E214">
        <f>[1]Tech!D19</f>
        <v>78500</v>
      </c>
      <c r="F214">
        <f>[1]Tech!E19</f>
        <v>85200</v>
      </c>
      <c r="G214">
        <f>[1]Tech!F19</f>
        <v>92700</v>
      </c>
      <c r="H214">
        <f>[1]Tech!G19</f>
        <v>105500</v>
      </c>
      <c r="I214">
        <f>[1]Tech!H19</f>
        <v>119629.14712328766</v>
      </c>
      <c r="J214">
        <f>[1]Tech!I19</f>
        <v>134719.58268493149</v>
      </c>
      <c r="K214">
        <f>[1]Tech!J19</f>
        <v>157385.20219178079</v>
      </c>
      <c r="L214">
        <f>[1]Tech!K19</f>
        <v>175859.07172602741</v>
      </c>
      <c r="M214">
        <f>[1]Tech!L19</f>
        <v>200748.64076712329</v>
      </c>
      <c r="N214">
        <f>[1]Tech!M19</f>
        <v>216516.94391559192</v>
      </c>
      <c r="O214">
        <f>[1]Tech!N19</f>
        <v>222306.83333061248</v>
      </c>
      <c r="P214">
        <f>[1]Tech!O19</f>
        <v>245914.92329379948</v>
      </c>
      <c r="Q214">
        <f>[1]Tech!P19</f>
        <v>261640.34547641588</v>
      </c>
      <c r="R214">
        <f>[1]Tech!Q19</f>
        <v>273757.26348823449</v>
      </c>
      <c r="S214">
        <f>[1]Tech!R19</f>
        <v>283681.48916161514</v>
      </c>
      <c r="T214">
        <f>[1]Tech!S19</f>
        <v>288325.86230611883</v>
      </c>
      <c r="U214">
        <f>[1]Tech!T19</f>
        <v>292682.61261761619</v>
      </c>
      <c r="V214">
        <f>[1]Tech!U19</f>
        <v>305074.30851720634</v>
      </c>
      <c r="W214">
        <f>[1]Tech!V19</f>
        <v>321274.03996566811</v>
      </c>
      <c r="X214">
        <f>[1]Tech!W19</f>
        <v>335609.62472703506</v>
      </c>
      <c r="Y214">
        <f>[1]Tech!X19</f>
        <v>358666.522715092</v>
      </c>
      <c r="Z214">
        <f>[1]Tech!Y19</f>
        <v>375954.56890337222</v>
      </c>
      <c r="AA214">
        <f>[1]Tech!Z19</f>
        <v>392071.23514178494</v>
      </c>
      <c r="AB214">
        <f>[1]Tech!AA19</f>
        <v>396020.8430790946</v>
      </c>
      <c r="AC214">
        <f>[1]Tech!AB19</f>
        <v>398516.49347736349</v>
      </c>
      <c r="AD214">
        <f>[1]Tech!AC19</f>
        <v>399981.98961715098</v>
      </c>
      <c r="AE214">
        <f>[1]Tech!AD19</f>
        <v>406483.74690376862</v>
      </c>
      <c r="AF214">
        <f>[1]Tech!AE19</f>
        <v>408398.46783496527</v>
      </c>
      <c r="AG214">
        <f>[1]Tech!AF19</f>
        <v>408362.33826701279</v>
      </c>
      <c r="AH214">
        <f>[1]Tech!AG19</f>
        <v>408283.81619107048</v>
      </c>
      <c r="AI214">
        <f>[1]Tech!AH19</f>
        <v>408191.4548739554</v>
      </c>
      <c r="AJ214">
        <f>[1]Tech!AI19</f>
        <v>408086.24288439628</v>
      </c>
      <c r="AK214">
        <f>[1]Tech!AJ19</f>
        <v>407967.49344223941</v>
      </c>
      <c r="AL214">
        <f>[1]Tech!AK19</f>
        <v>407834.09337303642</v>
      </c>
      <c r="AM214">
        <f>[1]Tech!AL19</f>
        <v>407686.2596495343</v>
      </c>
    </row>
    <row r="215" spans="1:39" x14ac:dyDescent="0.25">
      <c r="A215" t="s">
        <v>36</v>
      </c>
      <c r="B215" t="s">
        <v>74</v>
      </c>
      <c r="C215" t="s">
        <v>23</v>
      </c>
      <c r="D215">
        <f t="shared" ref="D215:AM215" si="32">SUM(D209:D214)</f>
        <v>282212.47959485406</v>
      </c>
      <c r="E215">
        <f t="shared" si="32"/>
        <v>308821.51053891447</v>
      </c>
      <c r="F215">
        <f t="shared" si="32"/>
        <v>316621.84584741422</v>
      </c>
      <c r="G215">
        <f t="shared" si="32"/>
        <v>309817.91666666669</v>
      </c>
      <c r="H215">
        <f t="shared" si="32"/>
        <v>331002.26312788017</v>
      </c>
      <c r="I215">
        <f t="shared" si="32"/>
        <v>349078.57793704275</v>
      </c>
      <c r="J215">
        <f t="shared" si="32"/>
        <v>374155.60891879012</v>
      </c>
      <c r="K215">
        <f t="shared" si="32"/>
        <v>413332.3737569534</v>
      </c>
      <c r="L215">
        <f t="shared" si="32"/>
        <v>444314.08336594386</v>
      </c>
      <c r="M215">
        <f t="shared" si="32"/>
        <v>472104.01654323877</v>
      </c>
      <c r="N215">
        <f t="shared" si="32"/>
        <v>515890.15396101726</v>
      </c>
      <c r="O215">
        <f t="shared" si="32"/>
        <v>511295.13393929158</v>
      </c>
      <c r="P215">
        <f t="shared" si="32"/>
        <v>562108.93723498529</v>
      </c>
      <c r="Q215">
        <f t="shared" si="32"/>
        <v>610495.87794655841</v>
      </c>
      <c r="R215">
        <f t="shared" si="32"/>
        <v>640921.84725224308</v>
      </c>
      <c r="S215">
        <f t="shared" si="32"/>
        <v>654536.81973576965</v>
      </c>
      <c r="T215">
        <f t="shared" si="32"/>
        <v>659114.96698118164</v>
      </c>
      <c r="U215">
        <f t="shared" si="32"/>
        <v>663411.97597725852</v>
      </c>
      <c r="V215">
        <f t="shared" si="32"/>
        <v>675689.73447987123</v>
      </c>
      <c r="W215">
        <f t="shared" si="32"/>
        <v>692595.07826547651</v>
      </c>
      <c r="X215">
        <f t="shared" si="32"/>
        <v>707685.68486983329</v>
      </c>
      <c r="Y215">
        <f t="shared" si="32"/>
        <v>731666.9933861068</v>
      </c>
      <c r="Z215">
        <f t="shared" si="32"/>
        <v>749646.21398598375</v>
      </c>
      <c r="AA215">
        <f t="shared" si="32"/>
        <v>766233.25669435656</v>
      </c>
      <c r="AB215">
        <f t="shared" si="32"/>
        <v>770521.79588562169</v>
      </c>
      <c r="AC215">
        <f t="shared" si="32"/>
        <v>773164.2294384914</v>
      </c>
      <c r="AD215">
        <f t="shared" si="32"/>
        <v>774653.76246629353</v>
      </c>
      <c r="AE215">
        <f t="shared" si="32"/>
        <v>780190.15642760007</v>
      </c>
      <c r="AF215">
        <f t="shared" si="32"/>
        <v>780409.10669441428</v>
      </c>
      <c r="AG215">
        <f t="shared" si="32"/>
        <v>778368.57864127343</v>
      </c>
      <c r="AH215">
        <f t="shared" si="32"/>
        <v>775978.35883175186</v>
      </c>
      <c r="AI215">
        <f t="shared" si="32"/>
        <v>773892.36155781872</v>
      </c>
      <c r="AJ215">
        <f t="shared" si="32"/>
        <v>772320.01233944413</v>
      </c>
      <c r="AK215">
        <f t="shared" si="32"/>
        <v>770886.74989484251</v>
      </c>
      <c r="AL215">
        <f t="shared" si="32"/>
        <v>769322.98141201562</v>
      </c>
      <c r="AM215">
        <f t="shared" si="32"/>
        <v>767637.73039004882</v>
      </c>
    </row>
    <row r="216" spans="1:39" x14ac:dyDescent="0.25">
      <c r="A216" t="s">
        <v>36</v>
      </c>
      <c r="B216" t="s">
        <v>75</v>
      </c>
      <c r="C216" t="str">
        <f>[1]Tech!B21</f>
        <v>Conventional Light</v>
      </c>
      <c r="D216">
        <f>[1]Tech!C21</f>
        <v>96.492316484880945</v>
      </c>
      <c r="E216">
        <f>[1]Tech!D21</f>
        <v>679.74809020666567</v>
      </c>
      <c r="F216">
        <f>[1]Tech!E21</f>
        <v>2091.8865299329486</v>
      </c>
      <c r="G216">
        <f>[1]Tech!F21</f>
        <v>6718.4492038985163</v>
      </c>
      <c r="H216">
        <f>[1]Tech!G21</f>
        <v>9701.0385576611534</v>
      </c>
      <c r="I216">
        <f>[1]Tech!H21</f>
        <v>9228.2576536040469</v>
      </c>
      <c r="J216">
        <f>[1]Tech!I21</f>
        <v>9711.9899431634058</v>
      </c>
      <c r="K216">
        <f>[1]Tech!J21</f>
        <v>10965.345709805462</v>
      </c>
      <c r="L216">
        <f>[1]Tech!K21</f>
        <v>11162.071896151936</v>
      </c>
      <c r="M216">
        <f>[1]Tech!L21</f>
        <v>12443.269117385948</v>
      </c>
      <c r="N216">
        <f>[1]Tech!M21</f>
        <v>10860.397371171624</v>
      </c>
      <c r="O216">
        <f>[1]Tech!N21</f>
        <v>9253.1959502336631</v>
      </c>
      <c r="P216">
        <f>[1]Tech!O21</f>
        <v>9004.3643733022636</v>
      </c>
      <c r="Q216">
        <f>[1]Tech!P21</f>
        <v>8739.5270246992168</v>
      </c>
      <c r="R216">
        <f>[1]Tech!Q21</f>
        <v>8347.6950442953457</v>
      </c>
      <c r="S216">
        <f>[1]Tech!R21</f>
        <v>7929.8022280612768</v>
      </c>
      <c r="T216">
        <f>[1]Tech!S21</f>
        <v>7609.3479488103167</v>
      </c>
      <c r="U216">
        <f>[1]Tech!T21</f>
        <v>7431.5576055733964</v>
      </c>
      <c r="V216">
        <f>[1]Tech!U21</f>
        <v>7408.9899283187297</v>
      </c>
      <c r="W216">
        <f>[1]Tech!V21</f>
        <v>7536.5984283757989</v>
      </c>
      <c r="X216">
        <f>[1]Tech!W21</f>
        <v>7738.907776800881</v>
      </c>
      <c r="Y216">
        <f>[1]Tech!X21</f>
        <v>7946.0056970324813</v>
      </c>
      <c r="Z216">
        <f>[1]Tech!Y21</f>
        <v>8141.0689725184702</v>
      </c>
      <c r="AA216">
        <f>[1]Tech!Z21</f>
        <v>8318.3565044983461</v>
      </c>
      <c r="AB216">
        <f>[1]Tech!AA21</f>
        <v>8471.5462412571815</v>
      </c>
      <c r="AC216">
        <f>[1]Tech!AB21</f>
        <v>8600.9863136665172</v>
      </c>
      <c r="AD216">
        <f>[1]Tech!AC21</f>
        <v>8720.128262651835</v>
      </c>
      <c r="AE216">
        <f>[1]Tech!AD21</f>
        <v>8836.2316237095038</v>
      </c>
      <c r="AF216">
        <f>[1]Tech!AE21</f>
        <v>8949.6323766414644</v>
      </c>
      <c r="AG216">
        <f>[1]Tech!AF21</f>
        <v>9058.5157583043801</v>
      </c>
      <c r="AH216">
        <f>[1]Tech!AG21</f>
        <v>9160.8214336983438</v>
      </c>
      <c r="AI216">
        <f>[1]Tech!AH21</f>
        <v>9250.3944845921142</v>
      </c>
      <c r="AJ216">
        <f>[1]Tech!AI21</f>
        <v>9326.2252056858706</v>
      </c>
      <c r="AK216">
        <f>[1]Tech!AJ21</f>
        <v>9385.6499714062065</v>
      </c>
      <c r="AL216">
        <f>[1]Tech!AK21</f>
        <v>9426.9985861088189</v>
      </c>
      <c r="AM216">
        <f>[1]Tech!AL21</f>
        <v>9448.4992770826011</v>
      </c>
    </row>
    <row r="217" spans="1:39" x14ac:dyDescent="0.25">
      <c r="A217" t="s">
        <v>36</v>
      </c>
      <c r="B217" t="s">
        <v>75</v>
      </c>
      <c r="C217" t="str">
        <f>[1]Tech!B22</f>
        <v>Conventional Heavy</v>
      </c>
      <c r="D217">
        <f>[1]Tech!C22</f>
        <v>66520.777872327206</v>
      </c>
      <c r="E217">
        <f>[1]Tech!D22</f>
        <v>67372.372664401628</v>
      </c>
      <c r="F217">
        <f>[1]Tech!E22</f>
        <v>65879.084796231924</v>
      </c>
      <c r="G217">
        <f>[1]Tech!F22</f>
        <v>63127.050796101496</v>
      </c>
      <c r="H217">
        <f>[1]Tech!G22</f>
        <v>57738.111714996281</v>
      </c>
      <c r="I217">
        <f>[1]Tech!H22</f>
        <v>57927.210582443062</v>
      </c>
      <c r="J217">
        <f>[1]Tech!I22</f>
        <v>58235.193228879602</v>
      </c>
      <c r="K217">
        <f>[1]Tech!J22</f>
        <v>63998.916429851473</v>
      </c>
      <c r="L217">
        <f>[1]Tech!K22</f>
        <v>65898.730391354446</v>
      </c>
      <c r="M217">
        <f>[1]Tech!L22</f>
        <v>76109.268382614042</v>
      </c>
      <c r="N217">
        <f>[1]Tech!M22</f>
        <v>66480.901538198566</v>
      </c>
      <c r="O217">
        <f>[1]Tech!N22</f>
        <v>63793.965540929341</v>
      </c>
      <c r="P217">
        <f>[1]Tech!O22</f>
        <v>68379.877899827276</v>
      </c>
      <c r="Q217">
        <f>[1]Tech!P22</f>
        <v>72337.115301320446</v>
      </c>
      <c r="R217">
        <f>[1]Tech!Q22</f>
        <v>75681.027521104683</v>
      </c>
      <c r="S217">
        <f>[1]Tech!R22</f>
        <v>77308.64500945824</v>
      </c>
      <c r="T217">
        <f>[1]Tech!S22</f>
        <v>78345.58735553181</v>
      </c>
      <c r="U217">
        <f>[1]Tech!T22</f>
        <v>79327.270203765671</v>
      </c>
      <c r="V217">
        <f>[1]Tech!U22</f>
        <v>80268.309265368531</v>
      </c>
      <c r="W217">
        <f>[1]Tech!V22</f>
        <v>81148.696029911443</v>
      </c>
      <c r="X217">
        <f>[1]Tech!W22</f>
        <v>81697.024428861303</v>
      </c>
      <c r="Y217">
        <f>[1]Tech!X22</f>
        <v>81940.622705030488</v>
      </c>
      <c r="Z217">
        <f>[1]Tech!Y22</f>
        <v>81969.193325770073</v>
      </c>
      <c r="AA217">
        <f>[1]Tech!Z22</f>
        <v>81780.076507940656</v>
      </c>
      <c r="AB217">
        <f>[1]Tech!AA22</f>
        <v>81334.088058999187</v>
      </c>
      <c r="AC217">
        <f>[1]Tech!AB22</f>
        <v>80714.767025480978</v>
      </c>
      <c r="AD217">
        <f>[1]Tech!AC22</f>
        <v>80036.836823044694</v>
      </c>
      <c r="AE217">
        <f>[1]Tech!AD22</f>
        <v>79351.494723946191</v>
      </c>
      <c r="AF217">
        <f>[1]Tech!AE22</f>
        <v>78605.586904353084</v>
      </c>
      <c r="AG217">
        <f>[1]Tech!AF22</f>
        <v>77843.862829005913</v>
      </c>
      <c r="AH217">
        <f>[1]Tech!AG22</f>
        <v>77096.271611226184</v>
      </c>
      <c r="AI217">
        <f>[1]Tech!AH22</f>
        <v>76195.385950081705</v>
      </c>
      <c r="AJ217">
        <f>[1]Tech!AI22</f>
        <v>75413.561969305738</v>
      </c>
      <c r="AK217">
        <f>[1]Tech!AJ22</f>
        <v>74544.873816629944</v>
      </c>
      <c r="AL217">
        <f>[1]Tech!AK22</f>
        <v>73679.720524057338</v>
      </c>
      <c r="AM217">
        <f>[1]Tech!AL22</f>
        <v>72757.486094725129</v>
      </c>
    </row>
    <row r="218" spans="1:39" x14ac:dyDescent="0.25">
      <c r="A218" t="s">
        <v>36</v>
      </c>
      <c r="B218" t="s">
        <v>75</v>
      </c>
      <c r="C218" t="str">
        <f>[1]Tech!B23</f>
        <v>C5+</v>
      </c>
      <c r="D218">
        <f>[1]Tech!C23</f>
        <v>90</v>
      </c>
      <c r="E218">
        <f>[1]Tech!D23</f>
        <v>100</v>
      </c>
      <c r="F218">
        <f>[1]Tech!E23</f>
        <v>100</v>
      </c>
      <c r="G218">
        <f>[1]Tech!F23</f>
        <v>120</v>
      </c>
      <c r="H218">
        <f>[1]Tech!G23</f>
        <v>170</v>
      </c>
      <c r="I218">
        <f>[1]Tech!H23</f>
        <v>100</v>
      </c>
      <c r="J218">
        <f>[1]Tech!I23</f>
        <v>100</v>
      </c>
      <c r="K218">
        <f>[1]Tech!J23</f>
        <v>100</v>
      </c>
      <c r="L218">
        <f>[1]Tech!K23</f>
        <v>100</v>
      </c>
      <c r="M218">
        <f>[1]Tech!L23</f>
        <v>100</v>
      </c>
      <c r="N218">
        <f>[1]Tech!M23</f>
        <v>100</v>
      </c>
      <c r="O218">
        <f>[1]Tech!N23</f>
        <v>100</v>
      </c>
      <c r="P218">
        <f>[1]Tech!O23</f>
        <v>100</v>
      </c>
      <c r="Q218">
        <f>[1]Tech!P23</f>
        <v>100</v>
      </c>
      <c r="R218">
        <f>[1]Tech!Q23</f>
        <v>100</v>
      </c>
      <c r="S218">
        <f>[1]Tech!R23</f>
        <v>100</v>
      </c>
      <c r="T218">
        <f>[1]Tech!S23</f>
        <v>100</v>
      </c>
      <c r="U218">
        <f>[1]Tech!T23</f>
        <v>100</v>
      </c>
      <c r="V218">
        <f>[1]Tech!U23</f>
        <v>100</v>
      </c>
      <c r="W218">
        <f>[1]Tech!V23</f>
        <v>100</v>
      </c>
      <c r="X218">
        <f>[1]Tech!W23</f>
        <v>100</v>
      </c>
      <c r="Y218">
        <f>[1]Tech!X23</f>
        <v>100</v>
      </c>
      <c r="Z218">
        <f>[1]Tech!Y23</f>
        <v>100</v>
      </c>
      <c r="AA218">
        <f>[1]Tech!Z23</f>
        <v>100</v>
      </c>
      <c r="AB218">
        <f>[1]Tech!AA23</f>
        <v>100</v>
      </c>
      <c r="AC218">
        <f>[1]Tech!AB23</f>
        <v>100</v>
      </c>
      <c r="AD218">
        <f>[1]Tech!AC23</f>
        <v>100</v>
      </c>
      <c r="AE218">
        <f>[1]Tech!AD23</f>
        <v>100</v>
      </c>
      <c r="AF218">
        <f>[1]Tech!AE23</f>
        <v>100</v>
      </c>
      <c r="AG218">
        <f>[1]Tech!AF23</f>
        <v>100</v>
      </c>
      <c r="AH218">
        <f>[1]Tech!AG23</f>
        <v>100</v>
      </c>
      <c r="AI218">
        <f>[1]Tech!AH23</f>
        <v>100</v>
      </c>
      <c r="AJ218">
        <f>[1]Tech!AI23</f>
        <v>100</v>
      </c>
      <c r="AK218">
        <f>[1]Tech!AJ23</f>
        <v>100</v>
      </c>
      <c r="AL218">
        <f>[1]Tech!AK23</f>
        <v>100</v>
      </c>
      <c r="AM218">
        <f>[1]Tech!AL23</f>
        <v>100</v>
      </c>
    </row>
    <row r="219" spans="1:39" x14ac:dyDescent="0.25">
      <c r="A219" t="s">
        <v>36</v>
      </c>
      <c r="B219" t="s">
        <v>75</v>
      </c>
      <c r="C219" t="s">
        <v>23</v>
      </c>
      <c r="D219">
        <f>SUM(D216:D218)</f>
        <v>66707.270188812094</v>
      </c>
      <c r="E219">
        <f t="shared" ref="E219:AM219" si="33">SUM(E216:E218)</f>
        <v>68152.120754608288</v>
      </c>
      <c r="F219">
        <f t="shared" si="33"/>
        <v>68070.971326164872</v>
      </c>
      <c r="G219">
        <f t="shared" si="33"/>
        <v>69965.500000000015</v>
      </c>
      <c r="H219">
        <f t="shared" si="33"/>
        <v>67609.15027265744</v>
      </c>
      <c r="I219">
        <f t="shared" si="33"/>
        <v>67255.468236047105</v>
      </c>
      <c r="J219">
        <f t="shared" si="33"/>
        <v>68047.183172043005</v>
      </c>
      <c r="K219">
        <f t="shared" si="33"/>
        <v>75064.26213965693</v>
      </c>
      <c r="L219">
        <f t="shared" si="33"/>
        <v>77160.802287506376</v>
      </c>
      <c r="M219">
        <f t="shared" si="33"/>
        <v>88652.537499999991</v>
      </c>
      <c r="N219">
        <f t="shared" si="33"/>
        <v>77441.298909370191</v>
      </c>
      <c r="O219">
        <f t="shared" si="33"/>
        <v>73147.161491163002</v>
      </c>
      <c r="P219">
        <f t="shared" si="33"/>
        <v>77484.242273129537</v>
      </c>
      <c r="Q219">
        <f t="shared" si="33"/>
        <v>81176.642326019661</v>
      </c>
      <c r="R219">
        <f t="shared" si="33"/>
        <v>84128.722565400036</v>
      </c>
      <c r="S219">
        <f t="shared" si="33"/>
        <v>85338.447237519518</v>
      </c>
      <c r="T219">
        <f t="shared" si="33"/>
        <v>86054.935304342129</v>
      </c>
      <c r="U219">
        <f t="shared" si="33"/>
        <v>86858.827809339069</v>
      </c>
      <c r="V219">
        <f t="shared" si="33"/>
        <v>87777.299193687257</v>
      </c>
      <c r="W219">
        <f t="shared" si="33"/>
        <v>88785.294458287244</v>
      </c>
      <c r="X219">
        <f t="shared" si="33"/>
        <v>89535.93220566219</v>
      </c>
      <c r="Y219">
        <f t="shared" si="33"/>
        <v>89986.628402062968</v>
      </c>
      <c r="Z219">
        <f t="shared" si="33"/>
        <v>90210.262298288537</v>
      </c>
      <c r="AA219">
        <f t="shared" si="33"/>
        <v>90198.433012438996</v>
      </c>
      <c r="AB219">
        <f t="shared" si="33"/>
        <v>89905.634300256366</v>
      </c>
      <c r="AC219">
        <f t="shared" si="33"/>
        <v>89415.753339147501</v>
      </c>
      <c r="AD219">
        <f t="shared" si="33"/>
        <v>88856.965085696531</v>
      </c>
      <c r="AE219">
        <f t="shared" si="33"/>
        <v>88287.726347655698</v>
      </c>
      <c r="AF219">
        <f t="shared" si="33"/>
        <v>87655.219280994555</v>
      </c>
      <c r="AG219">
        <f t="shared" si="33"/>
        <v>87002.37858731029</v>
      </c>
      <c r="AH219">
        <f t="shared" si="33"/>
        <v>86357.093044924521</v>
      </c>
      <c r="AI219">
        <f t="shared" si="33"/>
        <v>85545.780434673827</v>
      </c>
      <c r="AJ219">
        <f t="shared" si="33"/>
        <v>84839.787174991608</v>
      </c>
      <c r="AK219">
        <f t="shared" si="33"/>
        <v>84030.523788036153</v>
      </c>
      <c r="AL219">
        <f t="shared" si="33"/>
        <v>83206.719110166159</v>
      </c>
      <c r="AM219">
        <f t="shared" si="33"/>
        <v>82305.985371807736</v>
      </c>
    </row>
    <row r="220" spans="1:39" x14ac:dyDescent="0.25">
      <c r="A220" t="s">
        <v>36</v>
      </c>
      <c r="B220" t="s">
        <v>76</v>
      </c>
      <c r="C220" t="str">
        <f>[1]Tech!B24</f>
        <v>Conventional Light</v>
      </c>
      <c r="D220">
        <f>[1]Tech!C24</f>
        <v>2203.4851382488482</v>
      </c>
      <c r="E220">
        <f>[1]Tech!D24</f>
        <v>3398.1617415514593</v>
      </c>
      <c r="F220">
        <f>[1]Tech!E24</f>
        <v>3531.5109030977987</v>
      </c>
      <c r="G220">
        <f>[1]Tech!F24</f>
        <v>3746.5833333333339</v>
      </c>
      <c r="H220">
        <f>[1]Tech!G24</f>
        <v>4116.2247580645162</v>
      </c>
      <c r="I220">
        <f>[1]Tech!H24</f>
        <v>4763.6846684587817</v>
      </c>
      <c r="J220">
        <f>[1]Tech!I24</f>
        <v>6462.2715092165899</v>
      </c>
      <c r="K220">
        <f>[1]Tech!J24</f>
        <v>8094.5645528982814</v>
      </c>
      <c r="L220">
        <f>[1]Tech!K24</f>
        <v>8262.7367191500271</v>
      </c>
      <c r="M220">
        <f>[1]Tech!L24</f>
        <v>7781.3506688428042</v>
      </c>
      <c r="N220">
        <f>[1]Tech!M24</f>
        <v>7282.7969105222728</v>
      </c>
      <c r="O220">
        <f>[1]Tech!N24</f>
        <v>6380.9985653812873</v>
      </c>
      <c r="P220">
        <f>[1]Tech!O24</f>
        <v>5830.8193436537013</v>
      </c>
      <c r="Q220">
        <f>[1]Tech!P24</f>
        <v>5370.0572684063036</v>
      </c>
      <c r="R220">
        <f>[1]Tech!Q24</f>
        <v>4904.6890168222708</v>
      </c>
      <c r="S220">
        <f>[1]Tech!R24</f>
        <v>4468.1562888542712</v>
      </c>
      <c r="T220">
        <f>[1]Tech!S24</f>
        <v>4092.0264303558301</v>
      </c>
      <c r="U220">
        <f>[1]Tech!T24</f>
        <v>3782.9101481459766</v>
      </c>
      <c r="V220">
        <f>[1]Tech!U24</f>
        <v>3536.4480691582198</v>
      </c>
      <c r="W220">
        <f>[1]Tech!V24</f>
        <v>3333.2340466074616</v>
      </c>
      <c r="X220">
        <f>[1]Tech!W24</f>
        <v>3154.4207615315918</v>
      </c>
      <c r="Y220">
        <f>[1]Tech!X24</f>
        <v>3003.649948898169</v>
      </c>
      <c r="Z220">
        <f>[1]Tech!Y24</f>
        <v>2874.6117449281064</v>
      </c>
      <c r="AA220">
        <f>[1]Tech!Z24</f>
        <v>2760.2548888815395</v>
      </c>
      <c r="AB220">
        <f>[1]Tech!AA24</f>
        <v>2655.9913845497877</v>
      </c>
      <c r="AC220">
        <f>[1]Tech!AB24</f>
        <v>2558.9056227911856</v>
      </c>
      <c r="AD220">
        <f>[1]Tech!AC24</f>
        <v>2469.2318249771606</v>
      </c>
      <c r="AE220">
        <f>[1]Tech!AD24</f>
        <v>2387.5343287029964</v>
      </c>
      <c r="AF220">
        <f>[1]Tech!AE24</f>
        <v>2314.1388429422491</v>
      </c>
      <c r="AG220">
        <f>[1]Tech!AF24</f>
        <v>2248.3597716889208</v>
      </c>
      <c r="AH220">
        <f>[1]Tech!AG24</f>
        <v>2189.3979119404908</v>
      </c>
      <c r="AI220">
        <f>[1]Tech!AH24</f>
        <v>2132.6962164130364</v>
      </c>
      <c r="AJ220">
        <f>[1]Tech!AI24</f>
        <v>2064.174173304094</v>
      </c>
      <c r="AK220">
        <f>[1]Tech!AJ24</f>
        <v>1995.7812333381444</v>
      </c>
      <c r="AL220">
        <f>[1]Tech!AK24</f>
        <v>1932.0846954080873</v>
      </c>
      <c r="AM220">
        <f>[1]Tech!AL24</f>
        <v>1870.8345944335927</v>
      </c>
    </row>
    <row r="221" spans="1:39" x14ac:dyDescent="0.25">
      <c r="A221" t="s">
        <v>36</v>
      </c>
      <c r="B221" t="s">
        <v>76</v>
      </c>
      <c r="C221" t="s">
        <v>23</v>
      </c>
      <c r="D221">
        <f>D220</f>
        <v>2203.4851382488482</v>
      </c>
      <c r="E221">
        <f t="shared" ref="E221:AM221" si="34">E220</f>
        <v>3398.1617415514593</v>
      </c>
      <c r="F221">
        <f t="shared" si="34"/>
        <v>3531.5109030977987</v>
      </c>
      <c r="G221">
        <f t="shared" si="34"/>
        <v>3746.5833333333339</v>
      </c>
      <c r="H221">
        <f t="shared" si="34"/>
        <v>4116.2247580645162</v>
      </c>
      <c r="I221">
        <f t="shared" si="34"/>
        <v>4763.6846684587817</v>
      </c>
      <c r="J221">
        <f t="shared" si="34"/>
        <v>6462.2715092165899</v>
      </c>
      <c r="K221">
        <f t="shared" si="34"/>
        <v>8094.5645528982814</v>
      </c>
      <c r="L221">
        <f t="shared" si="34"/>
        <v>8262.7367191500271</v>
      </c>
      <c r="M221">
        <f t="shared" si="34"/>
        <v>7781.3506688428042</v>
      </c>
      <c r="N221">
        <f t="shared" si="34"/>
        <v>7282.7969105222728</v>
      </c>
      <c r="O221">
        <f t="shared" si="34"/>
        <v>6380.9985653812873</v>
      </c>
      <c r="P221">
        <f t="shared" si="34"/>
        <v>5830.8193436537013</v>
      </c>
      <c r="Q221">
        <f t="shared" si="34"/>
        <v>5370.0572684063036</v>
      </c>
      <c r="R221">
        <f t="shared" si="34"/>
        <v>4904.6890168222708</v>
      </c>
      <c r="S221">
        <f t="shared" si="34"/>
        <v>4468.1562888542712</v>
      </c>
      <c r="T221">
        <f t="shared" si="34"/>
        <v>4092.0264303558301</v>
      </c>
      <c r="U221">
        <f t="shared" si="34"/>
        <v>3782.9101481459766</v>
      </c>
      <c r="V221">
        <f t="shared" si="34"/>
        <v>3536.4480691582198</v>
      </c>
      <c r="W221">
        <f t="shared" si="34"/>
        <v>3333.2340466074616</v>
      </c>
      <c r="X221">
        <f t="shared" si="34"/>
        <v>3154.4207615315918</v>
      </c>
      <c r="Y221">
        <f t="shared" si="34"/>
        <v>3003.649948898169</v>
      </c>
      <c r="Z221">
        <f t="shared" si="34"/>
        <v>2874.6117449281064</v>
      </c>
      <c r="AA221">
        <f t="shared" si="34"/>
        <v>2760.2548888815395</v>
      </c>
      <c r="AB221">
        <f t="shared" si="34"/>
        <v>2655.9913845497877</v>
      </c>
      <c r="AC221">
        <f t="shared" si="34"/>
        <v>2558.9056227911856</v>
      </c>
      <c r="AD221">
        <f t="shared" si="34"/>
        <v>2469.2318249771606</v>
      </c>
      <c r="AE221">
        <f t="shared" si="34"/>
        <v>2387.5343287029964</v>
      </c>
      <c r="AF221">
        <f t="shared" si="34"/>
        <v>2314.1388429422491</v>
      </c>
      <c r="AG221">
        <f t="shared" si="34"/>
        <v>2248.3597716889208</v>
      </c>
      <c r="AH221">
        <f t="shared" si="34"/>
        <v>2189.3979119404908</v>
      </c>
      <c r="AI221">
        <f t="shared" si="34"/>
        <v>2132.6962164130364</v>
      </c>
      <c r="AJ221">
        <f t="shared" si="34"/>
        <v>2064.174173304094</v>
      </c>
      <c r="AK221">
        <f t="shared" si="34"/>
        <v>1995.7812333381444</v>
      </c>
      <c r="AL221">
        <f t="shared" si="34"/>
        <v>1932.0846954080873</v>
      </c>
      <c r="AM221">
        <f t="shared" si="34"/>
        <v>1870.8345944335927</v>
      </c>
    </row>
    <row r="222" spans="1:39" x14ac:dyDescent="0.25">
      <c r="A222" t="s">
        <v>36</v>
      </c>
      <c r="B222" t="s">
        <v>77</v>
      </c>
      <c r="C222" t="str">
        <f>[1]Tech!B25</f>
        <v>Conventional Light</v>
      </c>
      <c r="D222">
        <f>[1]Tech!C25</f>
        <v>380</v>
      </c>
      <c r="E222">
        <f>[1]Tech!D25</f>
        <v>340</v>
      </c>
      <c r="F222">
        <f>[1]Tech!E25</f>
        <v>300</v>
      </c>
      <c r="G222">
        <f>[1]Tech!F25</f>
        <v>270</v>
      </c>
      <c r="H222">
        <f>[1]Tech!G25</f>
        <v>250</v>
      </c>
      <c r="I222">
        <f>[1]Tech!H25</f>
        <v>240</v>
      </c>
      <c r="J222">
        <f>[1]Tech!I25</f>
        <v>220</v>
      </c>
      <c r="K222">
        <f>[1]Tech!J25</f>
        <v>220</v>
      </c>
      <c r="L222">
        <f>[1]Tech!K25</f>
        <v>200</v>
      </c>
      <c r="M222">
        <f>[1]Tech!L25</f>
        <v>190</v>
      </c>
      <c r="N222">
        <f>[1]Tech!M25</f>
        <v>157.3838965693806</v>
      </c>
      <c r="O222">
        <f>[1]Tech!N25</f>
        <v>155.15005760368666</v>
      </c>
      <c r="P222">
        <f>[1]Tech!O25</f>
        <v>94</v>
      </c>
      <c r="Q222">
        <f>[1]Tech!P25</f>
        <v>124</v>
      </c>
      <c r="R222">
        <f>[1]Tech!Q25</f>
        <v>129</v>
      </c>
      <c r="S222">
        <f>[1]Tech!R25</f>
        <v>135</v>
      </c>
      <c r="T222">
        <f>[1]Tech!S25</f>
        <v>147.54616102251788</v>
      </c>
      <c r="U222">
        <f>[1]Tech!T25</f>
        <v>146.0706994122927</v>
      </c>
      <c r="V222">
        <f>[1]Tech!U25</f>
        <v>144.60999241816978</v>
      </c>
      <c r="W222">
        <f>[1]Tech!V25</f>
        <v>143.16389249398807</v>
      </c>
      <c r="X222">
        <f>[1]Tech!W25</f>
        <v>141.7322535690482</v>
      </c>
      <c r="Y222">
        <f>[1]Tech!X25</f>
        <v>121.45589086151206</v>
      </c>
      <c r="Z222">
        <f>[1]Tech!Y25</f>
        <v>119.06677304428182</v>
      </c>
      <c r="AA222">
        <f>[1]Tech!Z25</f>
        <v>115.01087867478105</v>
      </c>
      <c r="AB222">
        <f>[1]Tech!AA25</f>
        <v>118.89337693559942</v>
      </c>
      <c r="AC222">
        <f>[1]Tech!AB25</f>
        <v>118.46587008028297</v>
      </c>
      <c r="AD222">
        <f>[1]Tech!AC25</f>
        <v>116.06495735771263</v>
      </c>
      <c r="AE222">
        <f>[1]Tech!AD25</f>
        <v>114.69028296925232</v>
      </c>
      <c r="AF222">
        <f>[1]Tech!AE25</f>
        <v>112.54671347289313</v>
      </c>
      <c r="AG222">
        <f>[1]Tech!AF25</f>
        <v>110.54808061709718</v>
      </c>
      <c r="AH222">
        <f>[1]Tech!AG25</f>
        <v>109.2413990804032</v>
      </c>
      <c r="AI222">
        <f>[1]Tech!AH25</f>
        <v>107.13898508959919</v>
      </c>
      <c r="AJ222">
        <f>[1]Tech!AI25</f>
        <v>104.54006640271758</v>
      </c>
      <c r="AK222">
        <f>[1]Tech!AJ25</f>
        <v>102.298845524398</v>
      </c>
      <c r="AL222">
        <f>[1]Tech!AK25</f>
        <v>100.56919040248737</v>
      </c>
      <c r="AM222">
        <f>[1]Tech!AL25</f>
        <v>97.7008451064345</v>
      </c>
    </row>
    <row r="223" spans="1:39" x14ac:dyDescent="0.25">
      <c r="A223" t="s">
        <v>36</v>
      </c>
      <c r="B223" t="s">
        <v>77</v>
      </c>
      <c r="C223" t="s">
        <v>23</v>
      </c>
      <c r="D223">
        <f>D222</f>
        <v>380</v>
      </c>
      <c r="E223">
        <f t="shared" ref="E223:AM223" si="35">E222</f>
        <v>340</v>
      </c>
      <c r="F223">
        <f t="shared" si="35"/>
        <v>300</v>
      </c>
      <c r="G223">
        <f t="shared" si="35"/>
        <v>270</v>
      </c>
      <c r="H223">
        <f t="shared" si="35"/>
        <v>250</v>
      </c>
      <c r="I223">
        <f t="shared" si="35"/>
        <v>240</v>
      </c>
      <c r="J223">
        <f t="shared" si="35"/>
        <v>220</v>
      </c>
      <c r="K223">
        <f t="shared" si="35"/>
        <v>220</v>
      </c>
      <c r="L223">
        <f t="shared" si="35"/>
        <v>200</v>
      </c>
      <c r="M223">
        <f t="shared" si="35"/>
        <v>190</v>
      </c>
      <c r="N223">
        <f t="shared" si="35"/>
        <v>157.3838965693806</v>
      </c>
      <c r="O223">
        <f t="shared" si="35"/>
        <v>155.15005760368666</v>
      </c>
      <c r="P223">
        <f t="shared" si="35"/>
        <v>94</v>
      </c>
      <c r="Q223">
        <f t="shared" si="35"/>
        <v>124</v>
      </c>
      <c r="R223">
        <f t="shared" si="35"/>
        <v>129</v>
      </c>
      <c r="S223">
        <f t="shared" si="35"/>
        <v>135</v>
      </c>
      <c r="T223">
        <f t="shared" si="35"/>
        <v>147.54616102251788</v>
      </c>
      <c r="U223">
        <f t="shared" si="35"/>
        <v>146.0706994122927</v>
      </c>
      <c r="V223">
        <f t="shared" si="35"/>
        <v>144.60999241816978</v>
      </c>
      <c r="W223">
        <f t="shared" si="35"/>
        <v>143.16389249398807</v>
      </c>
      <c r="X223">
        <f t="shared" si="35"/>
        <v>141.7322535690482</v>
      </c>
      <c r="Y223">
        <f t="shared" si="35"/>
        <v>121.45589086151206</v>
      </c>
      <c r="Z223">
        <f t="shared" si="35"/>
        <v>119.06677304428182</v>
      </c>
      <c r="AA223">
        <f t="shared" si="35"/>
        <v>115.01087867478105</v>
      </c>
      <c r="AB223">
        <f t="shared" si="35"/>
        <v>118.89337693559942</v>
      </c>
      <c r="AC223">
        <f t="shared" si="35"/>
        <v>118.46587008028297</v>
      </c>
      <c r="AD223">
        <f t="shared" si="35"/>
        <v>116.06495735771263</v>
      </c>
      <c r="AE223">
        <f t="shared" si="35"/>
        <v>114.69028296925232</v>
      </c>
      <c r="AF223">
        <f t="shared" si="35"/>
        <v>112.54671347289313</v>
      </c>
      <c r="AG223">
        <f t="shared" si="35"/>
        <v>110.54808061709718</v>
      </c>
      <c r="AH223">
        <f t="shared" si="35"/>
        <v>109.2413990804032</v>
      </c>
      <c r="AI223">
        <f t="shared" si="35"/>
        <v>107.13898508959919</v>
      </c>
      <c r="AJ223">
        <f t="shared" si="35"/>
        <v>104.54006640271758</v>
      </c>
      <c r="AK223">
        <f t="shared" si="35"/>
        <v>102.298845524398</v>
      </c>
      <c r="AL223">
        <f t="shared" si="35"/>
        <v>100.56919040248737</v>
      </c>
      <c r="AM223">
        <f t="shared" si="35"/>
        <v>97.7008451064345</v>
      </c>
    </row>
    <row r="224" spans="1:39" x14ac:dyDescent="0.25">
      <c r="A224" t="s">
        <v>36</v>
      </c>
      <c r="B224" t="s">
        <v>78</v>
      </c>
      <c r="C224" t="str">
        <f>[1]Tech!B26</f>
        <v>Conventional Light</v>
      </c>
      <c r="D224">
        <f>[1]Tech!C26</f>
        <v>0</v>
      </c>
      <c r="E224">
        <f>[1]Tech!D26</f>
        <v>0</v>
      </c>
      <c r="F224">
        <f>[1]Tech!E26</f>
        <v>0</v>
      </c>
      <c r="G224">
        <f>[1]Tech!F26</f>
        <v>0</v>
      </c>
      <c r="H224">
        <f>[1]Tech!G26</f>
        <v>0</v>
      </c>
      <c r="I224">
        <f>[1]Tech!H26</f>
        <v>0</v>
      </c>
      <c r="J224">
        <f>[1]Tech!I26</f>
        <v>0</v>
      </c>
      <c r="K224">
        <f>[1]Tech!J26</f>
        <v>0</v>
      </c>
      <c r="L224">
        <f>[1]Tech!K26</f>
        <v>0</v>
      </c>
      <c r="M224">
        <f>[1]Tech!L26</f>
        <v>0</v>
      </c>
      <c r="N224">
        <f>[1]Tech!M26</f>
        <v>0</v>
      </c>
      <c r="O224">
        <f>[1]Tech!N26</f>
        <v>0</v>
      </c>
      <c r="P224">
        <f>[1]Tech!O26</f>
        <v>0</v>
      </c>
      <c r="Q224">
        <f>[1]Tech!P26</f>
        <v>0</v>
      </c>
      <c r="R224">
        <f>[1]Tech!Q26</f>
        <v>0</v>
      </c>
      <c r="S224">
        <f>[1]Tech!R26</f>
        <v>0</v>
      </c>
      <c r="T224">
        <f>[1]Tech!S26</f>
        <v>0</v>
      </c>
      <c r="U224">
        <f>[1]Tech!T26</f>
        <v>0</v>
      </c>
      <c r="V224">
        <f>[1]Tech!U26</f>
        <v>0</v>
      </c>
      <c r="W224">
        <f>[1]Tech!V26</f>
        <v>0</v>
      </c>
      <c r="X224">
        <f>[1]Tech!W26</f>
        <v>0</v>
      </c>
      <c r="Y224">
        <f>[1]Tech!X26</f>
        <v>0</v>
      </c>
      <c r="Z224">
        <f>[1]Tech!Y26</f>
        <v>0</v>
      </c>
      <c r="AA224">
        <f>[1]Tech!Z26</f>
        <v>0</v>
      </c>
      <c r="AB224">
        <f>[1]Tech!AA26</f>
        <v>0</v>
      </c>
      <c r="AC224">
        <f>[1]Tech!AB26</f>
        <v>0</v>
      </c>
      <c r="AD224">
        <f>[1]Tech!AC26</f>
        <v>0</v>
      </c>
      <c r="AE224">
        <f>[1]Tech!AD26</f>
        <v>0</v>
      </c>
      <c r="AF224">
        <f>[1]Tech!AE26</f>
        <v>0</v>
      </c>
      <c r="AG224">
        <f>[1]Tech!AF26</f>
        <v>0</v>
      </c>
      <c r="AH224">
        <f>[1]Tech!AG26</f>
        <v>0</v>
      </c>
      <c r="AI224">
        <f>[1]Tech!AH26</f>
        <v>0</v>
      </c>
      <c r="AJ224">
        <f>[1]Tech!AI26</f>
        <v>0</v>
      </c>
      <c r="AK224">
        <f>[1]Tech!AJ26</f>
        <v>0</v>
      </c>
      <c r="AL224">
        <f>[1]Tech!AK26</f>
        <v>0</v>
      </c>
      <c r="AM224">
        <f>[1]Tech!AL26</f>
        <v>0</v>
      </c>
    </row>
    <row r="225" spans="1:39" x14ac:dyDescent="0.25">
      <c r="A225" t="s">
        <v>36</v>
      </c>
      <c r="B225" t="s">
        <v>78</v>
      </c>
      <c r="C225" t="s">
        <v>23</v>
      </c>
      <c r="D225">
        <f>D224</f>
        <v>0</v>
      </c>
      <c r="E225">
        <f t="shared" ref="E225:AM225" si="36">E224</f>
        <v>0</v>
      </c>
      <c r="F225">
        <f t="shared" si="36"/>
        <v>0</v>
      </c>
      <c r="G225">
        <f t="shared" si="36"/>
        <v>0</v>
      </c>
      <c r="H225">
        <f t="shared" si="36"/>
        <v>0</v>
      </c>
      <c r="I225">
        <f t="shared" si="36"/>
        <v>0</v>
      </c>
      <c r="J225">
        <f t="shared" si="36"/>
        <v>0</v>
      </c>
      <c r="K225">
        <f t="shared" si="36"/>
        <v>0</v>
      </c>
      <c r="L225">
        <f t="shared" si="36"/>
        <v>0</v>
      </c>
      <c r="M225">
        <f t="shared" si="36"/>
        <v>0</v>
      </c>
      <c r="N225">
        <f t="shared" si="36"/>
        <v>0</v>
      </c>
      <c r="O225">
        <f t="shared" si="36"/>
        <v>0</v>
      </c>
      <c r="P225">
        <f t="shared" si="36"/>
        <v>0</v>
      </c>
      <c r="Q225">
        <f t="shared" si="36"/>
        <v>0</v>
      </c>
      <c r="R225">
        <f t="shared" si="36"/>
        <v>0</v>
      </c>
      <c r="S225">
        <f t="shared" si="36"/>
        <v>0</v>
      </c>
      <c r="T225">
        <f t="shared" si="36"/>
        <v>0</v>
      </c>
      <c r="U225">
        <f t="shared" si="36"/>
        <v>0</v>
      </c>
      <c r="V225">
        <f t="shared" si="36"/>
        <v>0</v>
      </c>
      <c r="W225">
        <f t="shared" si="36"/>
        <v>0</v>
      </c>
      <c r="X225">
        <f t="shared" si="36"/>
        <v>0</v>
      </c>
      <c r="Y225">
        <f t="shared" si="36"/>
        <v>0</v>
      </c>
      <c r="Z225">
        <f t="shared" si="36"/>
        <v>0</v>
      </c>
      <c r="AA225">
        <f t="shared" si="36"/>
        <v>0</v>
      </c>
      <c r="AB225">
        <f t="shared" si="36"/>
        <v>0</v>
      </c>
      <c r="AC225">
        <f t="shared" si="36"/>
        <v>0</v>
      </c>
      <c r="AD225">
        <f t="shared" si="36"/>
        <v>0</v>
      </c>
      <c r="AE225">
        <f t="shared" si="36"/>
        <v>0</v>
      </c>
      <c r="AF225">
        <f t="shared" si="36"/>
        <v>0</v>
      </c>
      <c r="AG225">
        <f t="shared" si="36"/>
        <v>0</v>
      </c>
      <c r="AH225">
        <f t="shared" si="36"/>
        <v>0</v>
      </c>
      <c r="AI225">
        <f t="shared" si="36"/>
        <v>0</v>
      </c>
      <c r="AJ225">
        <f t="shared" si="36"/>
        <v>0</v>
      </c>
      <c r="AK225">
        <f t="shared" si="36"/>
        <v>0</v>
      </c>
      <c r="AL225">
        <f t="shared" si="36"/>
        <v>0</v>
      </c>
      <c r="AM225">
        <f t="shared" si="36"/>
        <v>0</v>
      </c>
    </row>
    <row r="226" spans="1:39" x14ac:dyDescent="0.25">
      <c r="A226" t="s">
        <v>36</v>
      </c>
      <c r="B226" t="s">
        <v>79</v>
      </c>
      <c r="C226" t="str">
        <f>[1]Tech!B27</f>
        <v>Conventional Light</v>
      </c>
      <c r="D226">
        <f>[1]Tech!C27</f>
        <v>0</v>
      </c>
      <c r="E226">
        <f>[1]Tech!D27</f>
        <v>0</v>
      </c>
      <c r="F226">
        <f>[1]Tech!E27</f>
        <v>0</v>
      </c>
      <c r="G226">
        <f>[1]Tech!F27</f>
        <v>0</v>
      </c>
      <c r="H226">
        <f>[1]Tech!G27</f>
        <v>0</v>
      </c>
      <c r="I226">
        <f>[1]Tech!H27</f>
        <v>0</v>
      </c>
      <c r="J226">
        <f>[1]Tech!I27</f>
        <v>0</v>
      </c>
      <c r="K226">
        <f>[1]Tech!J27</f>
        <v>0</v>
      </c>
      <c r="L226">
        <f>[1]Tech!K27</f>
        <v>0</v>
      </c>
      <c r="M226">
        <f>[1]Tech!L27</f>
        <v>0</v>
      </c>
      <c r="N226">
        <f>[1]Tech!M27</f>
        <v>0</v>
      </c>
      <c r="O226">
        <f>[1]Tech!N27</f>
        <v>0</v>
      </c>
      <c r="P226">
        <f>[1]Tech!O27</f>
        <v>0</v>
      </c>
      <c r="Q226">
        <f>[1]Tech!P27</f>
        <v>0</v>
      </c>
      <c r="R226">
        <f>[1]Tech!Q27</f>
        <v>0</v>
      </c>
      <c r="S226">
        <f>[1]Tech!R27</f>
        <v>0</v>
      </c>
      <c r="T226">
        <f>[1]Tech!S27</f>
        <v>0</v>
      </c>
      <c r="U226">
        <f>[1]Tech!T27</f>
        <v>0</v>
      </c>
      <c r="V226">
        <f>[1]Tech!U27</f>
        <v>0</v>
      </c>
      <c r="W226">
        <f>[1]Tech!V27</f>
        <v>0</v>
      </c>
      <c r="X226">
        <f>[1]Tech!W27</f>
        <v>0</v>
      </c>
      <c r="Y226">
        <f>[1]Tech!X27</f>
        <v>0</v>
      </c>
      <c r="Z226">
        <f>[1]Tech!Y27</f>
        <v>0</v>
      </c>
      <c r="AA226">
        <f>[1]Tech!Z27</f>
        <v>0</v>
      </c>
      <c r="AB226">
        <f>[1]Tech!AA27</f>
        <v>0</v>
      </c>
      <c r="AC226">
        <f>[1]Tech!AB27</f>
        <v>0</v>
      </c>
      <c r="AD226">
        <f>[1]Tech!AC27</f>
        <v>0</v>
      </c>
      <c r="AE226">
        <f>[1]Tech!AD27</f>
        <v>0</v>
      </c>
      <c r="AF226">
        <f>[1]Tech!AE27</f>
        <v>0</v>
      </c>
      <c r="AG226">
        <f>[1]Tech!AF27</f>
        <v>0</v>
      </c>
      <c r="AH226">
        <f>[1]Tech!AG27</f>
        <v>0</v>
      </c>
      <c r="AI226">
        <f>[1]Tech!AH27</f>
        <v>0</v>
      </c>
      <c r="AJ226">
        <f>[1]Tech!AI27</f>
        <v>0</v>
      </c>
      <c r="AK226">
        <f>[1]Tech!AJ27</f>
        <v>0</v>
      </c>
      <c r="AL226">
        <f>[1]Tech!AK27</f>
        <v>0</v>
      </c>
      <c r="AM226">
        <f>[1]Tech!AL27</f>
        <v>0</v>
      </c>
    </row>
    <row r="227" spans="1:39" x14ac:dyDescent="0.25">
      <c r="A227" t="s">
        <v>36</v>
      </c>
      <c r="B227" t="s">
        <v>79</v>
      </c>
      <c r="C227" t="str">
        <f>[1]Tech!B28</f>
        <v>C5+</v>
      </c>
      <c r="D227">
        <f>[1]Tech!C28</f>
        <v>2050</v>
      </c>
      <c r="E227">
        <f>[1]Tech!D28</f>
        <v>1910</v>
      </c>
      <c r="F227">
        <f>[1]Tech!E28</f>
        <v>1890</v>
      </c>
      <c r="G227">
        <f>[1]Tech!F28</f>
        <v>1750</v>
      </c>
      <c r="H227">
        <f>[1]Tech!G28</f>
        <v>1130</v>
      </c>
      <c r="I227">
        <f>[1]Tech!H28</f>
        <v>1070</v>
      </c>
      <c r="J227">
        <f>[1]Tech!I28</f>
        <v>860</v>
      </c>
      <c r="K227">
        <f>[1]Tech!J28</f>
        <v>580</v>
      </c>
      <c r="L227">
        <f>[1]Tech!K28</f>
        <v>330</v>
      </c>
      <c r="M227">
        <f>[1]Tech!L28</f>
        <v>460</v>
      </c>
      <c r="N227">
        <f>[1]Tech!M28</f>
        <v>439.2230136986301</v>
      </c>
      <c r="O227">
        <f>[1]Tech!N28</f>
        <v>416.31040165903886</v>
      </c>
      <c r="P227">
        <f>[1]Tech!O28</f>
        <v>312</v>
      </c>
      <c r="Q227">
        <f>[1]Tech!P28</f>
        <v>302</v>
      </c>
      <c r="R227">
        <f>[1]Tech!Q28</f>
        <v>287</v>
      </c>
      <c r="S227">
        <f>[1]Tech!R28</f>
        <v>223</v>
      </c>
      <c r="T227">
        <f>[1]Tech!S28</f>
        <v>201</v>
      </c>
      <c r="U227">
        <f>[1]Tech!T28</f>
        <v>0</v>
      </c>
      <c r="V227">
        <f>[1]Tech!U28</f>
        <v>0</v>
      </c>
      <c r="W227">
        <f>[1]Tech!V28</f>
        <v>0</v>
      </c>
      <c r="X227">
        <f>[1]Tech!W28</f>
        <v>0</v>
      </c>
      <c r="Y227">
        <f>[1]Tech!X28</f>
        <v>0</v>
      </c>
      <c r="Z227">
        <f>[1]Tech!Y28</f>
        <v>0</v>
      </c>
      <c r="AA227">
        <f>[1]Tech!Z28</f>
        <v>0</v>
      </c>
      <c r="AB227">
        <f>[1]Tech!AA28</f>
        <v>0</v>
      </c>
      <c r="AC227">
        <f>[1]Tech!AB28</f>
        <v>0</v>
      </c>
      <c r="AD227">
        <f>[1]Tech!AC28</f>
        <v>0</v>
      </c>
      <c r="AE227">
        <f>[1]Tech!AD28</f>
        <v>0</v>
      </c>
      <c r="AF227">
        <f>[1]Tech!AE28</f>
        <v>0</v>
      </c>
      <c r="AG227">
        <f>[1]Tech!AF28</f>
        <v>0</v>
      </c>
      <c r="AH227">
        <f>[1]Tech!AG28</f>
        <v>0</v>
      </c>
      <c r="AI227">
        <f>[1]Tech!AH28</f>
        <v>0</v>
      </c>
      <c r="AJ227">
        <f>[1]Tech!AI28</f>
        <v>0</v>
      </c>
      <c r="AK227">
        <f>[1]Tech!AJ28</f>
        <v>0</v>
      </c>
      <c r="AL227">
        <f>[1]Tech!AK28</f>
        <v>0</v>
      </c>
      <c r="AM227">
        <f>[1]Tech!AL28</f>
        <v>0</v>
      </c>
    </row>
    <row r="228" spans="1:39" x14ac:dyDescent="0.25">
      <c r="A228" t="s">
        <v>36</v>
      </c>
      <c r="B228" t="s">
        <v>79</v>
      </c>
      <c r="C228" t="s">
        <v>23</v>
      </c>
      <c r="D228">
        <f>D227+D226</f>
        <v>2050</v>
      </c>
      <c r="E228">
        <f t="shared" ref="E228:AM228" si="37">E227+E226</f>
        <v>1910</v>
      </c>
      <c r="F228">
        <f t="shared" si="37"/>
        <v>1890</v>
      </c>
      <c r="G228">
        <f t="shared" si="37"/>
        <v>1750</v>
      </c>
      <c r="H228">
        <f t="shared" si="37"/>
        <v>1130</v>
      </c>
      <c r="I228">
        <f t="shared" si="37"/>
        <v>1070</v>
      </c>
      <c r="J228">
        <f t="shared" si="37"/>
        <v>860</v>
      </c>
      <c r="K228">
        <f t="shared" si="37"/>
        <v>580</v>
      </c>
      <c r="L228">
        <f t="shared" si="37"/>
        <v>330</v>
      </c>
      <c r="M228">
        <f t="shared" si="37"/>
        <v>460</v>
      </c>
      <c r="N228">
        <f t="shared" si="37"/>
        <v>439.2230136986301</v>
      </c>
      <c r="O228">
        <f t="shared" si="37"/>
        <v>416.31040165903886</v>
      </c>
      <c r="P228">
        <f t="shared" si="37"/>
        <v>312</v>
      </c>
      <c r="Q228">
        <f t="shared" si="37"/>
        <v>302</v>
      </c>
      <c r="R228">
        <f t="shared" si="37"/>
        <v>287</v>
      </c>
      <c r="S228">
        <f t="shared" si="37"/>
        <v>223</v>
      </c>
      <c r="T228">
        <f t="shared" si="37"/>
        <v>201</v>
      </c>
      <c r="U228">
        <f t="shared" si="37"/>
        <v>0</v>
      </c>
      <c r="V228">
        <f t="shared" si="37"/>
        <v>0</v>
      </c>
      <c r="W228">
        <f t="shared" si="37"/>
        <v>0</v>
      </c>
      <c r="X228">
        <f t="shared" si="37"/>
        <v>0</v>
      </c>
      <c r="Y228">
        <f t="shared" si="37"/>
        <v>0</v>
      </c>
      <c r="Z228">
        <f t="shared" si="37"/>
        <v>0</v>
      </c>
      <c r="AA228">
        <f t="shared" si="37"/>
        <v>0</v>
      </c>
      <c r="AB228">
        <f t="shared" si="37"/>
        <v>0</v>
      </c>
      <c r="AC228">
        <f t="shared" si="37"/>
        <v>0</v>
      </c>
      <c r="AD228">
        <f t="shared" si="37"/>
        <v>0</v>
      </c>
      <c r="AE228">
        <f t="shared" si="37"/>
        <v>0</v>
      </c>
      <c r="AF228">
        <f t="shared" si="37"/>
        <v>0</v>
      </c>
      <c r="AG228">
        <f t="shared" si="37"/>
        <v>0</v>
      </c>
      <c r="AH228">
        <f t="shared" si="37"/>
        <v>0</v>
      </c>
      <c r="AI228">
        <f t="shared" si="37"/>
        <v>0</v>
      </c>
      <c r="AJ228">
        <f t="shared" si="37"/>
        <v>0</v>
      </c>
      <c r="AK228">
        <f t="shared" si="37"/>
        <v>0</v>
      </c>
      <c r="AL228">
        <f t="shared" si="37"/>
        <v>0</v>
      </c>
      <c r="AM228">
        <f t="shared" si="37"/>
        <v>0</v>
      </c>
    </row>
    <row r="229" spans="1:39" x14ac:dyDescent="0.25">
      <c r="A229" t="s">
        <v>36</v>
      </c>
      <c r="B229" t="s">
        <v>80</v>
      </c>
      <c r="C229" t="str">
        <f>[1]Tech!B29</f>
        <v>Conventional Light</v>
      </c>
      <c r="D229">
        <f>[1]Tech!C29</f>
        <v>48470</v>
      </c>
      <c r="E229">
        <f>[1]Tech!D29</f>
        <v>48280</v>
      </c>
      <c r="F229">
        <f>[1]Tech!E29</f>
        <v>58580</v>
      </c>
      <c r="G229">
        <f>[1]Tech!F29</f>
        <v>54550</v>
      </c>
      <c r="H229">
        <f>[1]Tech!G29</f>
        <v>42550</v>
      </c>
      <c r="I229">
        <f>[1]Tech!H29</f>
        <v>43850</v>
      </c>
      <c r="J229">
        <f>[1]Tech!I29</f>
        <v>42140</v>
      </c>
      <c r="K229">
        <f>[1]Tech!J29</f>
        <v>31430</v>
      </c>
      <c r="L229">
        <f>[1]Tech!K29</f>
        <v>36870</v>
      </c>
      <c r="M229">
        <f>[1]Tech!L29</f>
        <v>34340</v>
      </c>
      <c r="N229">
        <f>[1]Tech!M29</f>
        <v>27348</v>
      </c>
      <c r="O229">
        <f>[1]Tech!N29</f>
        <v>33334</v>
      </c>
      <c r="P229">
        <f>[1]Tech!O29</f>
        <v>34760</v>
      </c>
      <c r="Q229">
        <f>[1]Tech!P29</f>
        <v>29943.074179243024</v>
      </c>
      <c r="R229">
        <f>[1]Tech!Q29</f>
        <v>29968.449411092381</v>
      </c>
      <c r="S229">
        <f>[1]Tech!R29</f>
        <v>23373.788212816609</v>
      </c>
      <c r="T229">
        <f>[1]Tech!S29</f>
        <v>23819.012558388451</v>
      </c>
      <c r="U229">
        <f>[1]Tech!T29</f>
        <v>23313.191624099385</v>
      </c>
      <c r="V229">
        <f>[1]Tech!U29</f>
        <v>26668.918521480115</v>
      </c>
      <c r="W229">
        <f>[1]Tech!V29</f>
        <v>26008.9765202526</v>
      </c>
      <c r="X229">
        <f>[1]Tech!W29</f>
        <v>25222.764641027643</v>
      </c>
      <c r="Y229">
        <f>[1]Tech!X29</f>
        <v>23101.052005617599</v>
      </c>
      <c r="Z229">
        <f>[1]Tech!Y29</f>
        <v>21315.52846813955</v>
      </c>
      <c r="AA229">
        <f>[1]Tech!Z29</f>
        <v>18689.10127746845</v>
      </c>
      <c r="AB229">
        <f>[1]Tech!AA29</f>
        <v>17315.590956273947</v>
      </c>
      <c r="AC229">
        <f>[1]Tech!AB29</f>
        <v>15610.750049990724</v>
      </c>
      <c r="AD229">
        <f>[1]Tech!AC29</f>
        <v>15846.831286431523</v>
      </c>
      <c r="AE229">
        <f>[1]Tech!AD29</f>
        <v>16053.54000032391</v>
      </c>
      <c r="AF229">
        <f>[1]Tech!AE29</f>
        <v>16622.054031338201</v>
      </c>
      <c r="AG229">
        <f>[1]Tech!AF29</f>
        <v>18351.897155786075</v>
      </c>
      <c r="AH229">
        <f>[1]Tech!AG29</f>
        <v>18407.787914308949</v>
      </c>
      <c r="AI229">
        <f>[1]Tech!AH29</f>
        <v>17434.941505607054</v>
      </c>
      <c r="AJ229">
        <f>[1]Tech!AI29</f>
        <v>16612.144028718023</v>
      </c>
      <c r="AK229">
        <f>[1]Tech!AJ29</f>
        <v>14875.738569860132</v>
      </c>
      <c r="AL229">
        <f>[1]Tech!AK29</f>
        <v>12769.901432064178</v>
      </c>
      <c r="AM229">
        <f>[1]Tech!AL29</f>
        <v>10786.375798465739</v>
      </c>
    </row>
    <row r="230" spans="1:39" x14ac:dyDescent="0.25">
      <c r="A230" t="s">
        <v>36</v>
      </c>
      <c r="B230" t="s">
        <v>80</v>
      </c>
      <c r="C230" t="str">
        <f>[1]Tech!B30</f>
        <v>Conventional Heavy</v>
      </c>
      <c r="D230">
        <f>[1]Tech!C30</f>
        <v>0</v>
      </c>
      <c r="E230">
        <f>[1]Tech!D30</f>
        <v>0</v>
      </c>
      <c r="F230">
        <f>[1]Tech!E30</f>
        <v>0</v>
      </c>
      <c r="G230">
        <f>[1]Tech!F30</f>
        <v>0</v>
      </c>
      <c r="H230">
        <f>[1]Tech!G30</f>
        <v>0</v>
      </c>
      <c r="I230">
        <f>[1]Tech!H30</f>
        <v>0</v>
      </c>
      <c r="J230">
        <f>[1]Tech!I30</f>
        <v>0</v>
      </c>
      <c r="K230">
        <f>[1]Tech!J30</f>
        <v>0</v>
      </c>
      <c r="L230">
        <f>[1]Tech!K30</f>
        <v>0</v>
      </c>
      <c r="M230">
        <f>[1]Tech!L30</f>
        <v>0</v>
      </c>
      <c r="N230">
        <f>[1]Tech!M30</f>
        <v>0</v>
      </c>
      <c r="O230">
        <f>[1]Tech!N30</f>
        <v>0</v>
      </c>
      <c r="P230">
        <f>[1]Tech!O30</f>
        <v>336</v>
      </c>
      <c r="Q230">
        <f>[1]Tech!P30</f>
        <v>7773.7079864464204</v>
      </c>
      <c r="R230">
        <f>[1]Tech!Q30</f>
        <v>12503.100257559858</v>
      </c>
      <c r="S230">
        <f>[1]Tech!R30</f>
        <v>19087.093389296962</v>
      </c>
      <c r="T230">
        <f>[1]Tech!S30</f>
        <v>22161.594963273878</v>
      </c>
      <c r="U230">
        <f>[1]Tech!T30</f>
        <v>23578.492161912942</v>
      </c>
      <c r="V230">
        <f>[1]Tech!U30</f>
        <v>22577.506438996472</v>
      </c>
      <c r="W230">
        <f>[1]Tech!V30</f>
        <v>22482.113898693122</v>
      </c>
      <c r="X230">
        <f>[1]Tech!W30</f>
        <v>21266.494960094125</v>
      </c>
      <c r="Y230">
        <f>[1]Tech!X30</f>
        <v>19185.347705809403</v>
      </c>
      <c r="Z230">
        <f>[1]Tech!Y30</f>
        <v>15667.366211962224</v>
      </c>
      <c r="AA230">
        <f>[1]Tech!Z30</f>
        <v>13315.844700944388</v>
      </c>
      <c r="AB230">
        <f>[1]Tech!AA30</f>
        <v>11176.81007345226</v>
      </c>
      <c r="AC230">
        <f>[1]Tech!AB30</f>
        <v>9505.2465897166858</v>
      </c>
      <c r="AD230">
        <f>[1]Tech!AC30</f>
        <v>9239.2444910807972</v>
      </c>
      <c r="AE230">
        <f>[1]Tech!AD30</f>
        <v>8326.3378803777541</v>
      </c>
      <c r="AF230">
        <f>[1]Tech!AE30</f>
        <v>7098.6358866736628</v>
      </c>
      <c r="AG230">
        <f>[1]Tech!AF30</f>
        <v>6059.8111227701993</v>
      </c>
      <c r="AH230">
        <f>[1]Tech!AG30</f>
        <v>5461.6998950682064</v>
      </c>
      <c r="AI230">
        <f>[1]Tech!AH30</f>
        <v>5020.9863588667367</v>
      </c>
      <c r="AJ230">
        <f>[1]Tech!AI30</f>
        <v>5027.2391438715522</v>
      </c>
      <c r="AK230">
        <f>[1]Tech!AJ30</f>
        <v>4696.7039917204502</v>
      </c>
      <c r="AL230">
        <f>[1]Tech!AK30</f>
        <v>4240.8975261970136</v>
      </c>
      <c r="AM230">
        <f>[1]Tech!AL30</f>
        <v>3839.3855469354762</v>
      </c>
    </row>
    <row r="231" spans="1:39" x14ac:dyDescent="0.25">
      <c r="A231" t="s">
        <v>36</v>
      </c>
      <c r="B231" t="s">
        <v>80</v>
      </c>
      <c r="C231" t="s">
        <v>23</v>
      </c>
      <c r="D231">
        <f>SUM(D229:D230)</f>
        <v>48470</v>
      </c>
      <c r="E231">
        <f t="shared" ref="E231:AM231" si="38">SUM(E229:E230)</f>
        <v>48280</v>
      </c>
      <c r="F231">
        <f t="shared" si="38"/>
        <v>58580</v>
      </c>
      <c r="G231">
        <f t="shared" si="38"/>
        <v>54550</v>
      </c>
      <c r="H231">
        <f t="shared" si="38"/>
        <v>42550</v>
      </c>
      <c r="I231">
        <f t="shared" si="38"/>
        <v>43850</v>
      </c>
      <c r="J231">
        <f t="shared" si="38"/>
        <v>42140</v>
      </c>
      <c r="K231">
        <f t="shared" si="38"/>
        <v>31430</v>
      </c>
      <c r="L231">
        <f t="shared" si="38"/>
        <v>36870</v>
      </c>
      <c r="M231">
        <f t="shared" si="38"/>
        <v>34340</v>
      </c>
      <c r="N231">
        <f t="shared" si="38"/>
        <v>27348</v>
      </c>
      <c r="O231">
        <f t="shared" si="38"/>
        <v>33334</v>
      </c>
      <c r="P231">
        <f t="shared" si="38"/>
        <v>35096</v>
      </c>
      <c r="Q231">
        <f t="shared" si="38"/>
        <v>37716.782165689445</v>
      </c>
      <c r="R231">
        <f t="shared" si="38"/>
        <v>42471.549668652238</v>
      </c>
      <c r="S231">
        <f t="shared" si="38"/>
        <v>42460.881602113572</v>
      </c>
      <c r="T231">
        <f t="shared" si="38"/>
        <v>45980.607521662329</v>
      </c>
      <c r="U231">
        <f t="shared" si="38"/>
        <v>46891.683786012327</v>
      </c>
      <c r="V231">
        <f t="shared" si="38"/>
        <v>49246.424960476586</v>
      </c>
      <c r="W231">
        <f t="shared" si="38"/>
        <v>48491.090418945721</v>
      </c>
      <c r="X231">
        <f t="shared" si="38"/>
        <v>46489.259601121768</v>
      </c>
      <c r="Y231">
        <f t="shared" si="38"/>
        <v>42286.399711427002</v>
      </c>
      <c r="Z231">
        <f t="shared" si="38"/>
        <v>36982.894680101774</v>
      </c>
      <c r="AA231">
        <f t="shared" si="38"/>
        <v>32004.945978412838</v>
      </c>
      <c r="AB231">
        <f t="shared" si="38"/>
        <v>28492.401029726207</v>
      </c>
      <c r="AC231">
        <f t="shared" si="38"/>
        <v>25115.996639707409</v>
      </c>
      <c r="AD231">
        <f t="shared" si="38"/>
        <v>25086.07577751232</v>
      </c>
      <c r="AE231">
        <f t="shared" si="38"/>
        <v>24379.877880701664</v>
      </c>
      <c r="AF231">
        <f t="shared" si="38"/>
        <v>23720.689918011863</v>
      </c>
      <c r="AG231">
        <f t="shared" si="38"/>
        <v>24411.708278556274</v>
      </c>
      <c r="AH231">
        <f t="shared" si="38"/>
        <v>23869.487809377155</v>
      </c>
      <c r="AI231">
        <f t="shared" si="38"/>
        <v>22455.92786447379</v>
      </c>
      <c r="AJ231">
        <f t="shared" si="38"/>
        <v>21639.383172589576</v>
      </c>
      <c r="AK231">
        <f t="shared" si="38"/>
        <v>19572.442561580581</v>
      </c>
      <c r="AL231">
        <f t="shared" si="38"/>
        <v>17010.798958261192</v>
      </c>
      <c r="AM231">
        <f t="shared" si="38"/>
        <v>14625.761345401215</v>
      </c>
    </row>
    <row r="232" spans="1:39" x14ac:dyDescent="0.25">
      <c r="A232" t="s">
        <v>36</v>
      </c>
      <c r="B232" t="s">
        <v>81</v>
      </c>
      <c r="C232" t="str">
        <f>[1]Tech!B31</f>
        <v>Conventional Light</v>
      </c>
      <c r="D232">
        <f>[1]Tech!C31</f>
        <v>2990</v>
      </c>
      <c r="E232">
        <f>[1]Tech!D31</f>
        <v>2970</v>
      </c>
      <c r="F232">
        <f>[1]Tech!E31</f>
        <v>2790</v>
      </c>
      <c r="G232">
        <f>[1]Tech!F31</f>
        <v>2580</v>
      </c>
      <c r="H232">
        <f>[1]Tech!G31</f>
        <v>2470</v>
      </c>
      <c r="I232">
        <f>[1]Tech!H31</f>
        <v>2390</v>
      </c>
      <c r="J232">
        <f>[1]Tech!I31</f>
        <v>1670</v>
      </c>
      <c r="K232">
        <f>[1]Tech!J31</f>
        <v>2070</v>
      </c>
      <c r="L232">
        <f>[1]Tech!K31</f>
        <v>1960</v>
      </c>
      <c r="M232">
        <f>[1]Tech!L31</f>
        <v>1690</v>
      </c>
      <c r="N232">
        <f>[1]Tech!M31</f>
        <v>1576</v>
      </c>
      <c r="O232">
        <f>[1]Tech!N31</f>
        <v>1428</v>
      </c>
      <c r="P232">
        <f>[1]Tech!O31</f>
        <v>54</v>
      </c>
      <c r="Q232">
        <f>[1]Tech!P31</f>
        <v>100</v>
      </c>
      <c r="R232">
        <f>[1]Tech!Q31</f>
        <v>1212.9230769230767</v>
      </c>
      <c r="S232">
        <f>[1]Tech!R31</f>
        <v>1305.840579710145</v>
      </c>
      <c r="T232">
        <f>[1]Tech!S31</f>
        <v>1321.7941381236001</v>
      </c>
      <c r="U232">
        <f>[1]Tech!T31</f>
        <v>1282.140313979892</v>
      </c>
      <c r="V232">
        <f>[1]Tech!U31</f>
        <v>1243.6761045604951</v>
      </c>
      <c r="W232">
        <f>[1]Tech!V31</f>
        <v>1206.3658214236802</v>
      </c>
      <c r="X232">
        <f>[1]Tech!W31</f>
        <v>1170.1748467809698</v>
      </c>
      <c r="Y232">
        <f>[1]Tech!X31</f>
        <v>1100.773667787993</v>
      </c>
      <c r="Z232">
        <f>[1]Tech!Y31</f>
        <v>1035.0491030775092</v>
      </c>
      <c r="AA232">
        <f>[1]Tech!Z31</f>
        <v>969.68433922894485</v>
      </c>
      <c r="AB232">
        <f>[1]Tech!AA31</f>
        <v>923.80193080776769</v>
      </c>
      <c r="AC232">
        <f>[1]Tech!AB31</f>
        <v>879.9425763609695</v>
      </c>
      <c r="AD232">
        <f>[1]Tech!AC31</f>
        <v>838.02190205643433</v>
      </c>
      <c r="AE232">
        <f>[1]Tech!AD31</f>
        <v>797.95890428623284</v>
      </c>
      <c r="AF232">
        <f>[1]Tech!AE31</f>
        <v>768.02390546227321</v>
      </c>
      <c r="AG232">
        <f>[1]Tech!AF31</f>
        <v>731.13242134135135</v>
      </c>
      <c r="AH232">
        <f>[1]Tech!AG31</f>
        <v>695.88585376151161</v>
      </c>
      <c r="AI232">
        <f>[1]Tech!AH31</f>
        <v>669.65564891703605</v>
      </c>
      <c r="AJ232">
        <f>[1]Tech!AI31</f>
        <v>637.21325954934548</v>
      </c>
      <c r="AK232">
        <f>[1]Tech!AJ31</f>
        <v>606.22666189844745</v>
      </c>
      <c r="AL232">
        <f>[1]Tech!AK31</f>
        <v>583.26232947536823</v>
      </c>
      <c r="AM232">
        <f>[1]Tech!AL31</f>
        <v>554.65785325171532</v>
      </c>
    </row>
    <row r="233" spans="1:39" x14ac:dyDescent="0.25">
      <c r="A233" t="s">
        <v>36</v>
      </c>
      <c r="B233" t="s">
        <v>81</v>
      </c>
      <c r="C233" t="s">
        <v>23</v>
      </c>
      <c r="D233">
        <f>D232</f>
        <v>2990</v>
      </c>
      <c r="E233">
        <f t="shared" ref="E233:AM233" si="39">E232</f>
        <v>2970</v>
      </c>
      <c r="F233">
        <f t="shared" si="39"/>
        <v>2790</v>
      </c>
      <c r="G233">
        <f t="shared" si="39"/>
        <v>2580</v>
      </c>
      <c r="H233">
        <f t="shared" si="39"/>
        <v>2470</v>
      </c>
      <c r="I233">
        <f t="shared" si="39"/>
        <v>2390</v>
      </c>
      <c r="J233">
        <f t="shared" si="39"/>
        <v>1670</v>
      </c>
      <c r="K233">
        <f t="shared" si="39"/>
        <v>2070</v>
      </c>
      <c r="L233">
        <f t="shared" si="39"/>
        <v>1960</v>
      </c>
      <c r="M233">
        <f t="shared" si="39"/>
        <v>1690</v>
      </c>
      <c r="N233">
        <f t="shared" si="39"/>
        <v>1576</v>
      </c>
      <c r="O233">
        <f t="shared" si="39"/>
        <v>1428</v>
      </c>
      <c r="P233">
        <f t="shared" si="39"/>
        <v>54</v>
      </c>
      <c r="Q233">
        <f t="shared" si="39"/>
        <v>100</v>
      </c>
      <c r="R233">
        <f t="shared" si="39"/>
        <v>1212.9230769230767</v>
      </c>
      <c r="S233">
        <f t="shared" si="39"/>
        <v>1305.840579710145</v>
      </c>
      <c r="T233">
        <f t="shared" si="39"/>
        <v>1321.7941381236001</v>
      </c>
      <c r="U233">
        <f t="shared" si="39"/>
        <v>1282.140313979892</v>
      </c>
      <c r="V233">
        <f t="shared" si="39"/>
        <v>1243.6761045604951</v>
      </c>
      <c r="W233">
        <f t="shared" si="39"/>
        <v>1206.3658214236802</v>
      </c>
      <c r="X233">
        <f t="shared" si="39"/>
        <v>1170.1748467809698</v>
      </c>
      <c r="Y233">
        <f t="shared" si="39"/>
        <v>1100.773667787993</v>
      </c>
      <c r="Z233">
        <f t="shared" si="39"/>
        <v>1035.0491030775092</v>
      </c>
      <c r="AA233">
        <f t="shared" si="39"/>
        <v>969.68433922894485</v>
      </c>
      <c r="AB233">
        <f t="shared" si="39"/>
        <v>923.80193080776769</v>
      </c>
      <c r="AC233">
        <f t="shared" si="39"/>
        <v>879.9425763609695</v>
      </c>
      <c r="AD233">
        <f t="shared" si="39"/>
        <v>838.02190205643433</v>
      </c>
      <c r="AE233">
        <f t="shared" si="39"/>
        <v>797.95890428623284</v>
      </c>
      <c r="AF233">
        <f t="shared" si="39"/>
        <v>768.02390546227321</v>
      </c>
      <c r="AG233">
        <f t="shared" si="39"/>
        <v>731.13242134135135</v>
      </c>
      <c r="AH233">
        <f t="shared" si="39"/>
        <v>695.88585376151161</v>
      </c>
      <c r="AI233">
        <f t="shared" si="39"/>
        <v>669.65564891703605</v>
      </c>
      <c r="AJ233">
        <f t="shared" si="39"/>
        <v>637.21325954934548</v>
      </c>
      <c r="AK233">
        <f t="shared" si="39"/>
        <v>606.22666189844745</v>
      </c>
      <c r="AL233">
        <f t="shared" si="39"/>
        <v>583.26232947536823</v>
      </c>
      <c r="AM233">
        <f t="shared" si="39"/>
        <v>554.65785325171532</v>
      </c>
    </row>
    <row r="234" spans="1:39" x14ac:dyDescent="0.25">
      <c r="A234" t="s">
        <v>36</v>
      </c>
      <c r="B234" t="s">
        <v>82</v>
      </c>
      <c r="C234" t="s">
        <v>1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</row>
    <row r="235" spans="1:39" x14ac:dyDescent="0.25">
      <c r="A235" t="s">
        <v>36</v>
      </c>
      <c r="B235" t="s">
        <v>82</v>
      </c>
      <c r="C235" t="s">
        <v>2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</row>
    <row r="236" spans="1:39" x14ac:dyDescent="0.25">
      <c r="A236" t="s">
        <v>36</v>
      </c>
      <c r="B236" t="s">
        <v>82</v>
      </c>
      <c r="C236" t="s">
        <v>3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</row>
    <row r="237" spans="1:39" x14ac:dyDescent="0.25">
      <c r="A237" t="s">
        <v>36</v>
      </c>
      <c r="B237" t="s">
        <v>82</v>
      </c>
      <c r="C237" t="s">
        <v>4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</row>
    <row r="238" spans="1:39" x14ac:dyDescent="0.25">
      <c r="A238" t="s">
        <v>36</v>
      </c>
      <c r="B238" t="s">
        <v>82</v>
      </c>
      <c r="C238" t="s">
        <v>5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</row>
    <row r="239" spans="1:39" x14ac:dyDescent="0.25">
      <c r="A239" t="s">
        <v>36</v>
      </c>
      <c r="B239" t="s">
        <v>82</v>
      </c>
      <c r="C239" t="s">
        <v>6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</row>
    <row r="240" spans="1:39" x14ac:dyDescent="0.25">
      <c r="A240" t="s">
        <v>36</v>
      </c>
      <c r="B240" t="s">
        <v>82</v>
      </c>
      <c r="C240" t="s">
        <v>23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</row>
    <row r="241" spans="1:39" x14ac:dyDescent="0.25">
      <c r="A241" t="s">
        <v>36</v>
      </c>
      <c r="B241" t="s">
        <v>83</v>
      </c>
      <c r="C241" t="s">
        <v>1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</row>
    <row r="242" spans="1:39" x14ac:dyDescent="0.25">
      <c r="A242" t="s">
        <v>36</v>
      </c>
      <c r="B242" t="s">
        <v>83</v>
      </c>
      <c r="C242" t="s">
        <v>2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</row>
    <row r="243" spans="1:39" x14ac:dyDescent="0.25">
      <c r="A243" t="s">
        <v>36</v>
      </c>
      <c r="B243" t="s">
        <v>83</v>
      </c>
      <c r="C243" t="s">
        <v>3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</row>
    <row r="244" spans="1:39" x14ac:dyDescent="0.25">
      <c r="A244" t="s">
        <v>36</v>
      </c>
      <c r="B244" t="s">
        <v>83</v>
      </c>
      <c r="C244" t="s">
        <v>4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</row>
    <row r="245" spans="1:39" x14ac:dyDescent="0.25">
      <c r="A245" t="s">
        <v>36</v>
      </c>
      <c r="B245" t="s">
        <v>83</v>
      </c>
      <c r="C245" t="s">
        <v>5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</row>
    <row r="246" spans="1:39" x14ac:dyDescent="0.25">
      <c r="A246" t="s">
        <v>36</v>
      </c>
      <c r="B246" t="s">
        <v>83</v>
      </c>
      <c r="C246" t="s">
        <v>6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</row>
    <row r="247" spans="1:39" x14ac:dyDescent="0.25">
      <c r="A247" t="s">
        <v>36</v>
      </c>
      <c r="B247" t="s">
        <v>83</v>
      </c>
      <c r="C247" t="s">
        <v>23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</row>
    <row r="248" spans="1:39" x14ac:dyDescent="0.25">
      <c r="A248" t="s">
        <v>36</v>
      </c>
      <c r="B248" t="s">
        <v>84</v>
      </c>
      <c r="C248" t="s">
        <v>1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</row>
    <row r="249" spans="1:39" x14ac:dyDescent="0.25">
      <c r="A249" t="s">
        <v>36</v>
      </c>
      <c r="B249" t="s">
        <v>84</v>
      </c>
      <c r="C249" t="s">
        <v>2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</row>
    <row r="250" spans="1:39" x14ac:dyDescent="0.25">
      <c r="A250" t="s">
        <v>36</v>
      </c>
      <c r="B250" t="s">
        <v>84</v>
      </c>
      <c r="C250" t="s">
        <v>3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</row>
    <row r="251" spans="1:39" x14ac:dyDescent="0.25">
      <c r="A251" t="s">
        <v>36</v>
      </c>
      <c r="B251" t="s">
        <v>84</v>
      </c>
      <c r="C251" t="s">
        <v>4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</row>
    <row r="252" spans="1:39" x14ac:dyDescent="0.25">
      <c r="A252" t="s">
        <v>36</v>
      </c>
      <c r="B252" t="s">
        <v>84</v>
      </c>
      <c r="C252" t="s">
        <v>5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</row>
    <row r="253" spans="1:39" x14ac:dyDescent="0.25">
      <c r="A253" t="s">
        <v>36</v>
      </c>
      <c r="B253" t="s">
        <v>84</v>
      </c>
      <c r="C253" t="s">
        <v>6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</row>
    <row r="254" spans="1:39" x14ac:dyDescent="0.25">
      <c r="A254" t="s">
        <v>36</v>
      </c>
      <c r="B254" t="s">
        <v>84</v>
      </c>
      <c r="C254" t="s">
        <v>23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</row>
    <row r="255" spans="1:39" x14ac:dyDescent="0.25">
      <c r="A255" t="s">
        <v>36</v>
      </c>
      <c r="B255" t="s">
        <v>85</v>
      </c>
      <c r="C255" t="s">
        <v>1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</row>
    <row r="256" spans="1:39" x14ac:dyDescent="0.25">
      <c r="A256" t="s">
        <v>36</v>
      </c>
      <c r="B256" t="s">
        <v>85</v>
      </c>
      <c r="C256" t="s">
        <v>2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</row>
    <row r="257" spans="1:39" x14ac:dyDescent="0.25">
      <c r="A257" t="s">
        <v>36</v>
      </c>
      <c r="B257" t="s">
        <v>85</v>
      </c>
      <c r="C257" t="s">
        <v>3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</row>
    <row r="258" spans="1:39" x14ac:dyDescent="0.25">
      <c r="A258" t="s">
        <v>36</v>
      </c>
      <c r="B258" t="s">
        <v>85</v>
      </c>
      <c r="C258" t="s">
        <v>4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</row>
    <row r="259" spans="1:39" x14ac:dyDescent="0.25">
      <c r="A259" t="s">
        <v>36</v>
      </c>
      <c r="B259" t="s">
        <v>85</v>
      </c>
      <c r="C259" t="s">
        <v>5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</row>
    <row r="260" spans="1:39" x14ac:dyDescent="0.25">
      <c r="A260" t="s">
        <v>36</v>
      </c>
      <c r="B260" t="s">
        <v>85</v>
      </c>
      <c r="C260" t="s">
        <v>6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</row>
    <row r="261" spans="1:39" x14ac:dyDescent="0.25">
      <c r="A261" t="s">
        <v>36</v>
      </c>
      <c r="B261" t="s">
        <v>85</v>
      </c>
      <c r="C261" t="s">
        <v>23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361"/>
  <sheetViews>
    <sheetView tabSelected="1" workbookViewId="0">
      <selection sqref="A1:F5329"/>
    </sheetView>
  </sheetViews>
  <sheetFormatPr defaultRowHeight="15" x14ac:dyDescent="0.25"/>
  <cols>
    <col min="1" max="1" width="9.42578125" bestFit="1" customWidth="1"/>
    <col min="2" max="2" width="19" customWidth="1"/>
    <col min="3" max="3" width="10.140625" customWidth="1"/>
    <col min="4" max="4" width="7.28515625" bestFit="1" customWidth="1"/>
    <col min="5" max="5" width="12" bestFit="1" customWidth="1"/>
    <col min="6" max="6" width="21.7109375" bestFit="1" customWidth="1"/>
    <col min="7" max="7" width="19" bestFit="1" customWidth="1"/>
    <col min="8" max="8" width="10.140625" bestFit="1" customWidth="1"/>
    <col min="9" max="9" width="7.28515625" bestFit="1" customWidth="1"/>
    <col min="10" max="10" width="12" bestFit="1" customWidth="1"/>
    <col min="11" max="11" width="21.7109375" bestFit="1" customWidth="1"/>
  </cols>
  <sheetData>
    <row r="1" spans="1:6" x14ac:dyDescent="0.25">
      <c r="A1" s="4" t="s">
        <v>19</v>
      </c>
      <c r="B1" s="4" t="s">
        <v>33</v>
      </c>
      <c r="C1" s="4" t="s">
        <v>30</v>
      </c>
      <c r="D1" s="4" t="s">
        <v>31</v>
      </c>
      <c r="E1" s="4" t="s">
        <v>32</v>
      </c>
      <c r="F1" s="3" t="s">
        <v>17</v>
      </c>
    </row>
    <row r="2" spans="1:6" x14ac:dyDescent="0.25">
      <c r="A2" s="4" t="s">
        <v>0</v>
      </c>
      <c r="B2" s="4" t="s">
        <v>1</v>
      </c>
      <c r="C2" s="4" t="s">
        <v>21</v>
      </c>
      <c r="D2" s="4">
        <v>2005</v>
      </c>
      <c r="E2" s="4">
        <v>120393.94465812801</v>
      </c>
      <c r="F2" s="3" t="s">
        <v>29</v>
      </c>
    </row>
    <row r="3" spans="1:6" x14ac:dyDescent="0.25">
      <c r="A3" s="4" t="s">
        <v>0</v>
      </c>
      <c r="B3" s="4" t="s">
        <v>1</v>
      </c>
      <c r="C3" s="4" t="s">
        <v>21</v>
      </c>
      <c r="D3" s="4">
        <v>2006</v>
      </c>
      <c r="E3" s="4">
        <v>119335.10154082894</v>
      </c>
      <c r="F3" s="3" t="s">
        <v>29</v>
      </c>
    </row>
    <row r="4" spans="1:6" x14ac:dyDescent="0.25">
      <c r="A4" s="4" t="s">
        <v>0</v>
      </c>
      <c r="B4" s="4" t="s">
        <v>1</v>
      </c>
      <c r="C4" s="4" t="s">
        <v>21</v>
      </c>
      <c r="D4" s="4">
        <v>2007</v>
      </c>
      <c r="E4" s="4">
        <v>128495.40715258461</v>
      </c>
      <c r="F4" s="3" t="s">
        <v>29</v>
      </c>
    </row>
    <row r="5" spans="1:6" x14ac:dyDescent="0.25">
      <c r="A5" s="4" t="s">
        <v>0</v>
      </c>
      <c r="B5" s="4" t="s">
        <v>1</v>
      </c>
      <c r="C5" s="4" t="s">
        <v>21</v>
      </c>
      <c r="D5" s="4">
        <v>2008</v>
      </c>
      <c r="E5" s="4">
        <v>126621.04200308448</v>
      </c>
      <c r="F5" s="3" t="s">
        <v>29</v>
      </c>
    </row>
    <row r="6" spans="1:6" x14ac:dyDescent="0.25">
      <c r="A6" s="4" t="s">
        <v>0</v>
      </c>
      <c r="B6" s="4" t="s">
        <v>1</v>
      </c>
      <c r="C6" s="4" t="s">
        <v>21</v>
      </c>
      <c r="D6" s="4">
        <v>2009</v>
      </c>
      <c r="E6" s="4">
        <v>113421.70271813478</v>
      </c>
      <c r="F6" s="3" t="s">
        <v>29</v>
      </c>
    </row>
    <row r="7" spans="1:6" x14ac:dyDescent="0.25">
      <c r="A7" s="4" t="s">
        <v>0</v>
      </c>
      <c r="B7" s="4" t="s">
        <v>1</v>
      </c>
      <c r="C7" s="4" t="s">
        <v>21</v>
      </c>
      <c r="D7" s="4">
        <v>2010</v>
      </c>
      <c r="E7" s="4">
        <v>115275.72885841444</v>
      </c>
      <c r="F7" s="3" t="s">
        <v>29</v>
      </c>
    </row>
    <row r="8" spans="1:6" x14ac:dyDescent="0.25">
      <c r="A8" s="4" t="s">
        <v>0</v>
      </c>
      <c r="B8" s="4" t="s">
        <v>1</v>
      </c>
      <c r="C8" s="4" t="s">
        <v>21</v>
      </c>
      <c r="D8" s="4">
        <v>2011</v>
      </c>
      <c r="E8" s="4">
        <v>119783.42174049366</v>
      </c>
      <c r="F8" s="3" t="s">
        <v>29</v>
      </c>
    </row>
    <row r="9" spans="1:6" x14ac:dyDescent="0.25">
      <c r="A9" s="4" t="s">
        <v>0</v>
      </c>
      <c r="B9" s="4" t="s">
        <v>1</v>
      </c>
      <c r="C9" s="4" t="s">
        <v>21</v>
      </c>
      <c r="D9" s="4">
        <v>2012</v>
      </c>
      <c r="E9" s="4">
        <v>121609.88327665607</v>
      </c>
      <c r="F9" s="3" t="s">
        <v>29</v>
      </c>
    </row>
    <row r="10" spans="1:6" x14ac:dyDescent="0.25">
      <c r="A10" s="4" t="s">
        <v>0</v>
      </c>
      <c r="B10" s="4" t="s">
        <v>1</v>
      </c>
      <c r="C10" s="4" t="s">
        <v>21</v>
      </c>
      <c r="D10" s="4">
        <v>2013</v>
      </c>
      <c r="E10" s="4">
        <v>130779.05255603722</v>
      </c>
      <c r="F10" s="3" t="s">
        <v>29</v>
      </c>
    </row>
    <row r="11" spans="1:6" x14ac:dyDescent="0.25">
      <c r="A11" s="4" t="s">
        <v>0</v>
      </c>
      <c r="B11" s="4" t="s">
        <v>1</v>
      </c>
      <c r="C11" s="4" t="s">
        <v>21</v>
      </c>
      <c r="D11" s="4">
        <v>2014</v>
      </c>
      <c r="E11" s="4">
        <v>130908.71006835497</v>
      </c>
      <c r="F11" s="3" t="s">
        <v>29</v>
      </c>
    </row>
    <row r="12" spans="1:6" x14ac:dyDescent="0.25">
      <c r="A12" s="4" t="s">
        <v>0</v>
      </c>
      <c r="B12" s="4" t="s">
        <v>1</v>
      </c>
      <c r="C12" s="4" t="s">
        <v>21</v>
      </c>
      <c r="D12" s="4">
        <v>2015</v>
      </c>
      <c r="E12" s="4">
        <v>114675.48064994118</v>
      </c>
      <c r="F12" s="3" t="s">
        <v>29</v>
      </c>
    </row>
    <row r="13" spans="1:6" x14ac:dyDescent="0.25">
      <c r="A13" s="4" t="s">
        <v>0</v>
      </c>
      <c r="B13" s="4" t="s">
        <v>1</v>
      </c>
      <c r="C13" s="4" t="s">
        <v>21</v>
      </c>
      <c r="D13" s="4">
        <v>2016</v>
      </c>
      <c r="E13" s="4">
        <v>107569.05421700577</v>
      </c>
      <c r="F13" s="3" t="s">
        <v>29</v>
      </c>
    </row>
    <row r="14" spans="1:6" x14ac:dyDescent="0.25">
      <c r="A14" s="4" t="s">
        <v>0</v>
      </c>
      <c r="B14" s="4" t="s">
        <v>1</v>
      </c>
      <c r="C14" s="4" t="s">
        <v>21</v>
      </c>
      <c r="D14" s="4">
        <v>2017</v>
      </c>
      <c r="E14" s="4">
        <v>106408.59598512293</v>
      </c>
      <c r="F14" s="3" t="s">
        <v>29</v>
      </c>
    </row>
    <row r="15" spans="1:6" x14ac:dyDescent="0.25">
      <c r="A15" s="4" t="s">
        <v>0</v>
      </c>
      <c r="B15" s="4" t="s">
        <v>1</v>
      </c>
      <c r="C15" s="4" t="s">
        <v>21</v>
      </c>
      <c r="D15" s="4">
        <v>2018</v>
      </c>
      <c r="E15" s="4">
        <v>101814.92553308001</v>
      </c>
      <c r="F15" s="3" t="s">
        <v>29</v>
      </c>
    </row>
    <row r="16" spans="1:6" x14ac:dyDescent="0.25">
      <c r="A16" s="4" t="s">
        <v>0</v>
      </c>
      <c r="B16" s="4" t="s">
        <v>1</v>
      </c>
      <c r="C16" s="4" t="s">
        <v>21</v>
      </c>
      <c r="D16" s="4">
        <v>2019</v>
      </c>
      <c r="E16" s="4">
        <v>102625.25281617776</v>
      </c>
      <c r="F16" s="3" t="s">
        <v>29</v>
      </c>
    </row>
    <row r="17" spans="1:6" x14ac:dyDescent="0.25">
      <c r="A17" s="4" t="s">
        <v>0</v>
      </c>
      <c r="B17" s="4" t="s">
        <v>1</v>
      </c>
      <c r="C17" s="4" t="s">
        <v>21</v>
      </c>
      <c r="D17" s="4">
        <v>2020</v>
      </c>
      <c r="E17" s="4">
        <v>95198.432704534265</v>
      </c>
      <c r="F17" s="3" t="s">
        <v>29</v>
      </c>
    </row>
    <row r="18" spans="1:6" x14ac:dyDescent="0.25">
      <c r="A18" s="4" t="s">
        <v>0</v>
      </c>
      <c r="B18" s="4" t="s">
        <v>1</v>
      </c>
      <c r="C18" s="4" t="s">
        <v>21</v>
      </c>
      <c r="D18" s="4">
        <v>2021</v>
      </c>
      <c r="E18" s="4">
        <v>95025.264153319178</v>
      </c>
      <c r="F18" s="3" t="s">
        <v>29</v>
      </c>
    </row>
    <row r="19" spans="1:6" x14ac:dyDescent="0.25">
      <c r="A19" s="4" t="s">
        <v>0</v>
      </c>
      <c r="B19" s="4" t="s">
        <v>1</v>
      </c>
      <c r="C19" s="4" t="s">
        <v>21</v>
      </c>
      <c r="D19" s="4">
        <v>2022</v>
      </c>
      <c r="E19" s="4">
        <v>94360.734100698464</v>
      </c>
      <c r="F19" s="3" t="s">
        <v>29</v>
      </c>
    </row>
    <row r="20" spans="1:6" x14ac:dyDescent="0.25">
      <c r="A20" s="4" t="s">
        <v>0</v>
      </c>
      <c r="B20" s="4" t="s">
        <v>1</v>
      </c>
      <c r="C20" s="4" t="s">
        <v>21</v>
      </c>
      <c r="D20" s="4">
        <v>2023</v>
      </c>
      <c r="E20" s="4">
        <v>98349.671773215159</v>
      </c>
      <c r="F20" s="3" t="s">
        <v>29</v>
      </c>
    </row>
    <row r="21" spans="1:6" x14ac:dyDescent="0.25">
      <c r="A21" s="4" t="s">
        <v>0</v>
      </c>
      <c r="B21" s="4" t="s">
        <v>1</v>
      </c>
      <c r="C21" s="4" t="s">
        <v>21</v>
      </c>
      <c r="D21" s="4">
        <v>2024</v>
      </c>
      <c r="E21" s="4">
        <v>99110.200118606022</v>
      </c>
      <c r="F21" s="3" t="s">
        <v>29</v>
      </c>
    </row>
    <row r="22" spans="1:6" x14ac:dyDescent="0.25">
      <c r="A22" s="4" t="s">
        <v>0</v>
      </c>
      <c r="B22" s="4" t="s">
        <v>1</v>
      </c>
      <c r="C22" s="4" t="s">
        <v>21</v>
      </c>
      <c r="D22" s="4">
        <v>2025</v>
      </c>
      <c r="E22" s="4">
        <v>100345.64193310867</v>
      </c>
      <c r="F22" s="3" t="s">
        <v>29</v>
      </c>
    </row>
    <row r="23" spans="1:6" x14ac:dyDescent="0.25">
      <c r="A23" s="4" t="s">
        <v>0</v>
      </c>
      <c r="B23" s="4" t="s">
        <v>1</v>
      </c>
      <c r="C23" s="4" t="s">
        <v>21</v>
      </c>
      <c r="D23" s="4">
        <v>2026</v>
      </c>
      <c r="E23" s="4">
        <v>100533.34281251438</v>
      </c>
      <c r="F23" s="3" t="s">
        <v>29</v>
      </c>
    </row>
    <row r="24" spans="1:6" x14ac:dyDescent="0.25">
      <c r="A24" s="4" t="s">
        <v>0</v>
      </c>
      <c r="B24" s="4" t="s">
        <v>1</v>
      </c>
      <c r="C24" s="4" t="s">
        <v>21</v>
      </c>
      <c r="D24" s="4">
        <v>2027</v>
      </c>
      <c r="E24" s="4">
        <v>101132.15775873269</v>
      </c>
      <c r="F24" s="3" t="s">
        <v>29</v>
      </c>
    </row>
    <row r="25" spans="1:6" x14ac:dyDescent="0.25">
      <c r="A25" s="4" t="s">
        <v>0</v>
      </c>
      <c r="B25" s="4" t="s">
        <v>1</v>
      </c>
      <c r="C25" s="4" t="s">
        <v>21</v>
      </c>
      <c r="D25" s="4">
        <v>2028</v>
      </c>
      <c r="E25" s="4">
        <v>103849.11839192938</v>
      </c>
      <c r="F25" s="3" t="s">
        <v>29</v>
      </c>
    </row>
    <row r="26" spans="1:6" x14ac:dyDescent="0.25">
      <c r="A26" s="4" t="s">
        <v>0</v>
      </c>
      <c r="B26" s="4" t="s">
        <v>1</v>
      </c>
      <c r="C26" s="4" t="s">
        <v>21</v>
      </c>
      <c r="D26" s="4">
        <v>2029</v>
      </c>
      <c r="E26" s="4">
        <v>107752.88103156401</v>
      </c>
      <c r="F26" s="3" t="s">
        <v>29</v>
      </c>
    </row>
    <row r="27" spans="1:6" x14ac:dyDescent="0.25">
      <c r="A27" s="4" t="s">
        <v>0</v>
      </c>
      <c r="B27" s="4" t="s">
        <v>1</v>
      </c>
      <c r="C27" s="4" t="s">
        <v>21</v>
      </c>
      <c r="D27" s="4">
        <v>2030</v>
      </c>
      <c r="E27" s="4">
        <v>110714.24334392061</v>
      </c>
      <c r="F27" s="3" t="s">
        <v>29</v>
      </c>
    </row>
    <row r="28" spans="1:6" x14ac:dyDescent="0.25">
      <c r="A28" s="4" t="s">
        <v>0</v>
      </c>
      <c r="B28" s="4" t="s">
        <v>1</v>
      </c>
      <c r="C28" s="4" t="s">
        <v>21</v>
      </c>
      <c r="D28" s="4">
        <v>2031</v>
      </c>
      <c r="E28" s="4">
        <v>111903.70864121815</v>
      </c>
      <c r="F28" s="3" t="s">
        <v>29</v>
      </c>
    </row>
    <row r="29" spans="1:6" x14ac:dyDescent="0.25">
      <c r="A29" s="4" t="s">
        <v>0</v>
      </c>
      <c r="B29" s="4" t="s">
        <v>1</v>
      </c>
      <c r="C29" s="4" t="s">
        <v>21</v>
      </c>
      <c r="D29" s="4">
        <v>2032</v>
      </c>
      <c r="E29" s="4">
        <v>111930.15736818955</v>
      </c>
      <c r="F29" s="3" t="s">
        <v>29</v>
      </c>
    </row>
    <row r="30" spans="1:6" x14ac:dyDescent="0.25">
      <c r="A30" s="4" t="s">
        <v>0</v>
      </c>
      <c r="B30" s="4" t="s">
        <v>1</v>
      </c>
      <c r="C30" s="4" t="s">
        <v>21</v>
      </c>
      <c r="D30" s="4">
        <v>2033</v>
      </c>
      <c r="E30" s="4">
        <v>113890.67790831999</v>
      </c>
      <c r="F30" s="3" t="s">
        <v>29</v>
      </c>
    </row>
    <row r="31" spans="1:6" x14ac:dyDescent="0.25">
      <c r="A31" s="4" t="s">
        <v>0</v>
      </c>
      <c r="B31" s="4" t="s">
        <v>1</v>
      </c>
      <c r="C31" s="4" t="s">
        <v>21</v>
      </c>
      <c r="D31" s="4">
        <v>2034</v>
      </c>
      <c r="E31" s="4">
        <v>116704.67924882157</v>
      </c>
      <c r="F31" s="3" t="s">
        <v>29</v>
      </c>
    </row>
    <row r="32" spans="1:6" x14ac:dyDescent="0.25">
      <c r="A32" s="4" t="s">
        <v>0</v>
      </c>
      <c r="B32" s="4" t="s">
        <v>1</v>
      </c>
      <c r="C32" s="4" t="s">
        <v>21</v>
      </c>
      <c r="D32" s="4">
        <v>2035</v>
      </c>
      <c r="E32" s="4">
        <v>119671.18681605303</v>
      </c>
      <c r="F32" s="3" t="s">
        <v>29</v>
      </c>
    </row>
    <row r="33" spans="1:6" x14ac:dyDescent="0.25">
      <c r="A33" s="4" t="s">
        <v>0</v>
      </c>
      <c r="B33" s="4" t="s">
        <v>1</v>
      </c>
      <c r="C33" s="4" t="s">
        <v>21</v>
      </c>
      <c r="D33" s="4">
        <v>2036</v>
      </c>
      <c r="E33" s="4">
        <v>121472.86027533459</v>
      </c>
      <c r="F33" s="3" t="s">
        <v>29</v>
      </c>
    </row>
    <row r="34" spans="1:6" x14ac:dyDescent="0.25">
      <c r="A34" s="4" t="s">
        <v>0</v>
      </c>
      <c r="B34" s="4" t="s">
        <v>1</v>
      </c>
      <c r="C34" s="4" t="s">
        <v>21</v>
      </c>
      <c r="D34" s="4">
        <v>2037</v>
      </c>
      <c r="E34" s="4">
        <v>122127.3916092432</v>
      </c>
      <c r="F34" s="3" t="s">
        <v>29</v>
      </c>
    </row>
    <row r="35" spans="1:6" x14ac:dyDescent="0.25">
      <c r="A35" s="4" t="s">
        <v>0</v>
      </c>
      <c r="B35" s="4" t="s">
        <v>1</v>
      </c>
      <c r="C35" s="4" t="s">
        <v>21</v>
      </c>
      <c r="D35" s="4">
        <v>2038</v>
      </c>
      <c r="E35" s="4">
        <v>122450.61094816882</v>
      </c>
      <c r="F35" s="3" t="s">
        <v>29</v>
      </c>
    </row>
    <row r="36" spans="1:6" x14ac:dyDescent="0.25">
      <c r="A36" s="4" t="s">
        <v>0</v>
      </c>
      <c r="B36" s="4" t="s">
        <v>1</v>
      </c>
      <c r="C36" s="4" t="s">
        <v>21</v>
      </c>
      <c r="D36" s="4">
        <v>2039</v>
      </c>
      <c r="E36" s="4">
        <v>122825.83483176694</v>
      </c>
      <c r="F36" s="3" t="s">
        <v>29</v>
      </c>
    </row>
    <row r="37" spans="1:6" x14ac:dyDescent="0.25">
      <c r="A37" s="4" t="s">
        <v>0</v>
      </c>
      <c r="B37" s="4" t="s">
        <v>1</v>
      </c>
      <c r="C37" s="4" t="s">
        <v>21</v>
      </c>
      <c r="D37" s="4">
        <v>2040</v>
      </c>
      <c r="E37" s="4">
        <v>123078.75082601867</v>
      </c>
      <c r="F37" s="3" t="s">
        <v>29</v>
      </c>
    </row>
    <row r="38" spans="1:6" x14ac:dyDescent="0.25">
      <c r="A38" s="4" t="s">
        <v>0</v>
      </c>
      <c r="B38" s="4" t="s">
        <v>2</v>
      </c>
      <c r="C38" s="4" t="s">
        <v>21</v>
      </c>
      <c r="D38" s="4">
        <v>2005</v>
      </c>
      <c r="E38" s="4">
        <v>95714.371685317979</v>
      </c>
      <c r="F38" s="3" t="s">
        <v>29</v>
      </c>
    </row>
    <row r="39" spans="1:6" x14ac:dyDescent="0.25">
      <c r="A39" s="4" t="s">
        <v>0</v>
      </c>
      <c r="B39" s="4" t="s">
        <v>2</v>
      </c>
      <c r="C39" s="4" t="s">
        <v>21</v>
      </c>
      <c r="D39" s="4">
        <v>2006</v>
      </c>
      <c r="E39" s="4">
        <v>94533.324805817247</v>
      </c>
      <c r="F39" s="3" t="s">
        <v>29</v>
      </c>
    </row>
    <row r="40" spans="1:6" x14ac:dyDescent="0.25">
      <c r="A40" s="4" t="s">
        <v>0</v>
      </c>
      <c r="B40" s="4" t="s">
        <v>2</v>
      </c>
      <c r="C40" s="4" t="s">
        <v>21</v>
      </c>
      <c r="D40" s="4">
        <v>2007</v>
      </c>
      <c r="E40" s="4">
        <v>92093.948245520878</v>
      </c>
      <c r="F40" s="3" t="s">
        <v>29</v>
      </c>
    </row>
    <row r="41" spans="1:6" x14ac:dyDescent="0.25">
      <c r="A41" s="4" t="s">
        <v>0</v>
      </c>
      <c r="B41" s="4" t="s">
        <v>2</v>
      </c>
      <c r="C41" s="4" t="s">
        <v>21</v>
      </c>
      <c r="D41" s="4">
        <v>2008</v>
      </c>
      <c r="E41" s="4">
        <v>87985.541330248874</v>
      </c>
      <c r="F41" s="3" t="s">
        <v>29</v>
      </c>
    </row>
    <row r="42" spans="1:6" x14ac:dyDescent="0.25">
      <c r="A42" s="4" t="s">
        <v>0</v>
      </c>
      <c r="B42" s="4" t="s">
        <v>2</v>
      </c>
      <c r="C42" s="4" t="s">
        <v>21</v>
      </c>
      <c r="D42" s="4">
        <v>2009</v>
      </c>
      <c r="E42" s="4">
        <v>80184.157122495002</v>
      </c>
      <c r="F42" s="3" t="s">
        <v>29</v>
      </c>
    </row>
    <row r="43" spans="1:6" x14ac:dyDescent="0.25">
      <c r="A43" s="4" t="s">
        <v>0</v>
      </c>
      <c r="B43" s="4" t="s">
        <v>2</v>
      </c>
      <c r="C43" s="4" t="s">
        <v>21</v>
      </c>
      <c r="D43" s="4">
        <v>2010</v>
      </c>
      <c r="E43" s="4">
        <v>79544.775663474953</v>
      </c>
      <c r="F43" s="3" t="s">
        <v>29</v>
      </c>
    </row>
    <row r="44" spans="1:6" x14ac:dyDescent="0.25">
      <c r="A44" s="4" t="s">
        <v>0</v>
      </c>
      <c r="B44" s="4" t="s">
        <v>2</v>
      </c>
      <c r="C44" s="4" t="s">
        <v>21</v>
      </c>
      <c r="D44" s="4">
        <v>2011</v>
      </c>
      <c r="E44" s="4">
        <v>79770.543291508366</v>
      </c>
      <c r="F44" s="3" t="s">
        <v>29</v>
      </c>
    </row>
    <row r="45" spans="1:6" x14ac:dyDescent="0.25">
      <c r="A45" s="4" t="s">
        <v>0</v>
      </c>
      <c r="B45" s="4" t="s">
        <v>2</v>
      </c>
      <c r="C45" s="4" t="s">
        <v>21</v>
      </c>
      <c r="D45" s="4">
        <v>2012</v>
      </c>
      <c r="E45" s="4">
        <v>86935.674939329067</v>
      </c>
      <c r="F45" s="3" t="s">
        <v>29</v>
      </c>
    </row>
    <row r="46" spans="1:6" x14ac:dyDescent="0.25">
      <c r="A46" s="4" t="s">
        <v>0</v>
      </c>
      <c r="B46" s="4" t="s">
        <v>2</v>
      </c>
      <c r="C46" s="4" t="s">
        <v>21</v>
      </c>
      <c r="D46" s="4">
        <v>2013</v>
      </c>
      <c r="E46" s="4">
        <v>89225.079665544938</v>
      </c>
      <c r="F46" s="3" t="s">
        <v>29</v>
      </c>
    </row>
    <row r="47" spans="1:6" x14ac:dyDescent="0.25">
      <c r="A47" s="4" t="s">
        <v>0</v>
      </c>
      <c r="B47" s="4" t="s">
        <v>2</v>
      </c>
      <c r="C47" s="4" t="s">
        <v>21</v>
      </c>
      <c r="D47" s="4">
        <v>2014</v>
      </c>
      <c r="E47" s="4">
        <v>98750.054845239487</v>
      </c>
      <c r="F47" s="3" t="s">
        <v>29</v>
      </c>
    </row>
    <row r="48" spans="1:6" x14ac:dyDescent="0.25">
      <c r="A48" s="4" t="s">
        <v>0</v>
      </c>
      <c r="B48" s="4" t="s">
        <v>2</v>
      </c>
      <c r="C48" s="4" t="s">
        <v>21</v>
      </c>
      <c r="D48" s="4">
        <v>2015</v>
      </c>
      <c r="E48" s="4">
        <v>86709.106279142259</v>
      </c>
      <c r="F48" s="3" t="s">
        <v>29</v>
      </c>
    </row>
    <row r="49" spans="1:6" x14ac:dyDescent="0.25">
      <c r="A49" s="4" t="s">
        <v>0</v>
      </c>
      <c r="B49" s="4" t="s">
        <v>2</v>
      </c>
      <c r="C49" s="4" t="s">
        <v>21</v>
      </c>
      <c r="D49" s="4">
        <v>2016</v>
      </c>
      <c r="E49" s="4">
        <v>81282.378465617643</v>
      </c>
      <c r="F49" s="3" t="s">
        <v>29</v>
      </c>
    </row>
    <row r="50" spans="1:6" x14ac:dyDescent="0.25">
      <c r="A50" s="4" t="s">
        <v>0</v>
      </c>
      <c r="B50" s="4" t="s">
        <v>2</v>
      </c>
      <c r="C50" s="4" t="s">
        <v>21</v>
      </c>
      <c r="D50" s="4">
        <v>2017</v>
      </c>
      <c r="E50" s="4">
        <v>85919.878422883514</v>
      </c>
      <c r="F50" s="3" t="s">
        <v>29</v>
      </c>
    </row>
    <row r="51" spans="1:6" x14ac:dyDescent="0.25">
      <c r="A51" s="4" t="s">
        <v>0</v>
      </c>
      <c r="B51" s="4" t="s">
        <v>2</v>
      </c>
      <c r="C51" s="4" t="s">
        <v>21</v>
      </c>
      <c r="D51" s="4">
        <v>2018</v>
      </c>
      <c r="E51" s="4">
        <v>96292.769060109713</v>
      </c>
      <c r="F51" s="3" t="s">
        <v>29</v>
      </c>
    </row>
    <row r="52" spans="1:6" x14ac:dyDescent="0.25">
      <c r="A52" s="4" t="s">
        <v>0</v>
      </c>
      <c r="B52" s="4" t="s">
        <v>2</v>
      </c>
      <c r="C52" s="4" t="s">
        <v>21</v>
      </c>
      <c r="D52" s="4">
        <v>2019</v>
      </c>
      <c r="E52" s="4">
        <v>103535.83483124446</v>
      </c>
      <c r="F52" s="3" t="s">
        <v>29</v>
      </c>
    </row>
    <row r="53" spans="1:6" x14ac:dyDescent="0.25">
      <c r="A53" s="4" t="s">
        <v>0</v>
      </c>
      <c r="B53" s="4" t="s">
        <v>2</v>
      </c>
      <c r="C53" s="4" t="s">
        <v>21</v>
      </c>
      <c r="D53" s="4">
        <v>2020</v>
      </c>
      <c r="E53" s="4">
        <v>111170.11924019946</v>
      </c>
      <c r="F53" s="3" t="s">
        <v>29</v>
      </c>
    </row>
    <row r="54" spans="1:6" x14ac:dyDescent="0.25">
      <c r="A54" s="4" t="s">
        <v>0</v>
      </c>
      <c r="B54" s="4" t="s">
        <v>2</v>
      </c>
      <c r="C54" s="4" t="s">
        <v>21</v>
      </c>
      <c r="D54" s="4">
        <v>2021</v>
      </c>
      <c r="E54" s="4">
        <v>114993.09045386681</v>
      </c>
      <c r="F54" s="3" t="s">
        <v>29</v>
      </c>
    </row>
    <row r="55" spans="1:6" x14ac:dyDescent="0.25">
      <c r="A55" s="4" t="s">
        <v>0</v>
      </c>
      <c r="B55" s="4" t="s">
        <v>2</v>
      </c>
      <c r="C55" s="4" t="s">
        <v>21</v>
      </c>
      <c r="D55" s="4">
        <v>2022</v>
      </c>
      <c r="E55" s="4">
        <v>117399.3431287967</v>
      </c>
      <c r="F55" s="3" t="s">
        <v>29</v>
      </c>
    </row>
    <row r="56" spans="1:6" x14ac:dyDescent="0.25">
      <c r="A56" s="4" t="s">
        <v>0</v>
      </c>
      <c r="B56" s="4" t="s">
        <v>2</v>
      </c>
      <c r="C56" s="4" t="s">
        <v>21</v>
      </c>
      <c r="D56" s="4">
        <v>2023</v>
      </c>
      <c r="E56" s="4">
        <v>117755.58660516517</v>
      </c>
      <c r="F56" s="3" t="s">
        <v>29</v>
      </c>
    </row>
    <row r="57" spans="1:6" x14ac:dyDescent="0.25">
      <c r="A57" s="4" t="s">
        <v>0</v>
      </c>
      <c r="B57" s="4" t="s">
        <v>2</v>
      </c>
      <c r="C57" s="4" t="s">
        <v>21</v>
      </c>
      <c r="D57" s="4">
        <v>2024</v>
      </c>
      <c r="E57" s="4">
        <v>119330.88204868921</v>
      </c>
      <c r="F57" s="3" t="s">
        <v>29</v>
      </c>
    </row>
    <row r="58" spans="1:6" x14ac:dyDescent="0.25">
      <c r="A58" s="4" t="s">
        <v>0</v>
      </c>
      <c r="B58" s="4" t="s">
        <v>2</v>
      </c>
      <c r="C58" s="4" t="s">
        <v>21</v>
      </c>
      <c r="D58" s="4">
        <v>2025</v>
      </c>
      <c r="E58" s="4">
        <v>119849.85681658323</v>
      </c>
      <c r="F58" s="3" t="s">
        <v>29</v>
      </c>
    </row>
    <row r="59" spans="1:6" x14ac:dyDescent="0.25">
      <c r="A59" s="4" t="s">
        <v>0</v>
      </c>
      <c r="B59" s="4" t="s">
        <v>2</v>
      </c>
      <c r="C59" s="4" t="s">
        <v>21</v>
      </c>
      <c r="D59" s="4">
        <v>2026</v>
      </c>
      <c r="E59" s="4">
        <v>119582.1589204574</v>
      </c>
      <c r="F59" s="3" t="s">
        <v>29</v>
      </c>
    </row>
    <row r="60" spans="1:6" x14ac:dyDescent="0.25">
      <c r="A60" s="4" t="s">
        <v>0</v>
      </c>
      <c r="B60" s="4" t="s">
        <v>2</v>
      </c>
      <c r="C60" s="4" t="s">
        <v>21</v>
      </c>
      <c r="D60" s="4">
        <v>2027</v>
      </c>
      <c r="E60" s="4">
        <v>119617.1562753562</v>
      </c>
      <c r="F60" s="3" t="s">
        <v>29</v>
      </c>
    </row>
    <row r="61" spans="1:6" x14ac:dyDescent="0.25">
      <c r="A61" s="4" t="s">
        <v>0</v>
      </c>
      <c r="B61" s="4" t="s">
        <v>2</v>
      </c>
      <c r="C61" s="4" t="s">
        <v>21</v>
      </c>
      <c r="D61" s="4">
        <v>2028</v>
      </c>
      <c r="E61" s="4">
        <v>118694.02899378882</v>
      </c>
      <c r="F61" s="3" t="s">
        <v>29</v>
      </c>
    </row>
    <row r="62" spans="1:6" x14ac:dyDescent="0.25">
      <c r="A62" s="4" t="s">
        <v>0</v>
      </c>
      <c r="B62" s="4" t="s">
        <v>2</v>
      </c>
      <c r="C62" s="4" t="s">
        <v>21</v>
      </c>
      <c r="D62" s="4">
        <v>2029</v>
      </c>
      <c r="E62" s="4">
        <v>117788.90926731867</v>
      </c>
      <c r="F62" s="3" t="s">
        <v>29</v>
      </c>
    </row>
    <row r="63" spans="1:6" x14ac:dyDescent="0.25">
      <c r="A63" s="4" t="s">
        <v>0</v>
      </c>
      <c r="B63" s="4" t="s">
        <v>2</v>
      </c>
      <c r="C63" s="4" t="s">
        <v>21</v>
      </c>
      <c r="D63" s="4">
        <v>2030</v>
      </c>
      <c r="E63" s="4">
        <v>117263.28094736612</v>
      </c>
      <c r="F63" s="3" t="s">
        <v>29</v>
      </c>
    </row>
    <row r="64" spans="1:6" x14ac:dyDescent="0.25">
      <c r="A64" s="4" t="s">
        <v>0</v>
      </c>
      <c r="B64" s="4" t="s">
        <v>2</v>
      </c>
      <c r="C64" s="4" t="s">
        <v>21</v>
      </c>
      <c r="D64" s="4">
        <v>2031</v>
      </c>
      <c r="E64" s="4">
        <v>117231.92941456786</v>
      </c>
      <c r="F64" s="3" t="s">
        <v>29</v>
      </c>
    </row>
    <row r="65" spans="1:6" x14ac:dyDescent="0.25">
      <c r="A65" s="4" t="s">
        <v>0</v>
      </c>
      <c r="B65" s="4" t="s">
        <v>2</v>
      </c>
      <c r="C65" s="4" t="s">
        <v>21</v>
      </c>
      <c r="D65" s="4">
        <v>2032</v>
      </c>
      <c r="E65" s="4">
        <v>117624.95566959106</v>
      </c>
      <c r="F65" s="3" t="s">
        <v>29</v>
      </c>
    </row>
    <row r="66" spans="1:6" x14ac:dyDescent="0.25">
      <c r="A66" s="4" t="s">
        <v>0</v>
      </c>
      <c r="B66" s="4" t="s">
        <v>2</v>
      </c>
      <c r="C66" s="4" t="s">
        <v>21</v>
      </c>
      <c r="D66" s="4">
        <v>2033</v>
      </c>
      <c r="E66" s="4">
        <v>117708.02192079424</v>
      </c>
      <c r="F66" s="3" t="s">
        <v>29</v>
      </c>
    </row>
    <row r="67" spans="1:6" x14ac:dyDescent="0.25">
      <c r="A67" s="4" t="s">
        <v>0</v>
      </c>
      <c r="B67" s="4" t="s">
        <v>2</v>
      </c>
      <c r="C67" s="4" t="s">
        <v>21</v>
      </c>
      <c r="D67" s="4">
        <v>2034</v>
      </c>
      <c r="E67" s="4">
        <v>118063.65724434052</v>
      </c>
      <c r="F67" s="3" t="s">
        <v>29</v>
      </c>
    </row>
    <row r="68" spans="1:6" x14ac:dyDescent="0.25">
      <c r="A68" s="4" t="s">
        <v>0</v>
      </c>
      <c r="B68" s="4" t="s">
        <v>2</v>
      </c>
      <c r="C68" s="4" t="s">
        <v>21</v>
      </c>
      <c r="D68" s="4">
        <v>2035</v>
      </c>
      <c r="E68" s="4">
        <v>119000.95539342372</v>
      </c>
      <c r="F68" s="3" t="s">
        <v>29</v>
      </c>
    </row>
    <row r="69" spans="1:6" x14ac:dyDescent="0.25">
      <c r="A69" s="4" t="s">
        <v>0</v>
      </c>
      <c r="B69" s="4" t="s">
        <v>2</v>
      </c>
      <c r="C69" s="4" t="s">
        <v>21</v>
      </c>
      <c r="D69" s="4">
        <v>2036</v>
      </c>
      <c r="E69" s="4">
        <v>120002.29772157645</v>
      </c>
      <c r="F69" s="3" t="s">
        <v>29</v>
      </c>
    </row>
    <row r="70" spans="1:6" x14ac:dyDescent="0.25">
      <c r="A70" s="4" t="s">
        <v>0</v>
      </c>
      <c r="B70" s="4" t="s">
        <v>2</v>
      </c>
      <c r="C70" s="4" t="s">
        <v>21</v>
      </c>
      <c r="D70" s="4">
        <v>2037</v>
      </c>
      <c r="E70" s="4">
        <v>121653.61190999438</v>
      </c>
      <c r="F70" s="3" t="s">
        <v>29</v>
      </c>
    </row>
    <row r="71" spans="1:6" x14ac:dyDescent="0.25">
      <c r="A71" s="4" t="s">
        <v>0</v>
      </c>
      <c r="B71" s="4" t="s">
        <v>2</v>
      </c>
      <c r="C71" s="4" t="s">
        <v>21</v>
      </c>
      <c r="D71" s="4">
        <v>2038</v>
      </c>
      <c r="E71" s="4">
        <v>122893.41746681249</v>
      </c>
      <c r="F71" s="3" t="s">
        <v>29</v>
      </c>
    </row>
    <row r="72" spans="1:6" x14ac:dyDescent="0.25">
      <c r="A72" s="4" t="s">
        <v>0</v>
      </c>
      <c r="B72" s="4" t="s">
        <v>2</v>
      </c>
      <c r="C72" s="4" t="s">
        <v>21</v>
      </c>
      <c r="D72" s="4">
        <v>2039</v>
      </c>
      <c r="E72" s="4">
        <v>124082.38315178272</v>
      </c>
      <c r="F72" s="3" t="s">
        <v>29</v>
      </c>
    </row>
    <row r="73" spans="1:6" x14ac:dyDescent="0.25">
      <c r="A73" s="4" t="s">
        <v>0</v>
      </c>
      <c r="B73" s="4" t="s">
        <v>2</v>
      </c>
      <c r="C73" s="4" t="s">
        <v>21</v>
      </c>
      <c r="D73" s="4">
        <v>2040</v>
      </c>
      <c r="E73" s="4">
        <v>125315.27497111468</v>
      </c>
      <c r="F73" s="3" t="s">
        <v>29</v>
      </c>
    </row>
    <row r="74" spans="1:6" x14ac:dyDescent="0.25">
      <c r="A74" s="4" t="s">
        <v>0</v>
      </c>
      <c r="B74" s="4" t="s">
        <v>3</v>
      </c>
      <c r="C74" s="4" t="s">
        <v>21</v>
      </c>
      <c r="D74" s="4">
        <v>2005</v>
      </c>
      <c r="E74" s="4">
        <v>24140</v>
      </c>
      <c r="F74" s="3" t="s">
        <v>29</v>
      </c>
    </row>
    <row r="75" spans="1:6" x14ac:dyDescent="0.25">
      <c r="A75" s="4" t="s">
        <v>0</v>
      </c>
      <c r="B75" s="4" t="s">
        <v>3</v>
      </c>
      <c r="C75" s="4" t="s">
        <v>21</v>
      </c>
      <c r="D75" s="4">
        <v>2006</v>
      </c>
      <c r="E75" s="4">
        <v>24810</v>
      </c>
      <c r="F75" s="3" t="s">
        <v>29</v>
      </c>
    </row>
    <row r="76" spans="1:6" x14ac:dyDescent="0.25">
      <c r="A76" s="4" t="s">
        <v>0</v>
      </c>
      <c r="B76" s="4" t="s">
        <v>3</v>
      </c>
      <c r="C76" s="4" t="s">
        <v>21</v>
      </c>
      <c r="D76" s="4">
        <v>2007</v>
      </c>
      <c r="E76" s="4">
        <v>24540</v>
      </c>
      <c r="F76" s="3" t="s">
        <v>29</v>
      </c>
    </row>
    <row r="77" spans="1:6" x14ac:dyDescent="0.25">
      <c r="A77" s="4" t="s">
        <v>0</v>
      </c>
      <c r="B77" s="4" t="s">
        <v>3</v>
      </c>
      <c r="C77" s="4" t="s">
        <v>21</v>
      </c>
      <c r="D77" s="4">
        <v>2008</v>
      </c>
      <c r="E77" s="4">
        <v>23110</v>
      </c>
      <c r="F77" s="3" t="s">
        <v>29</v>
      </c>
    </row>
    <row r="78" spans="1:6" x14ac:dyDescent="0.25">
      <c r="A78" s="4" t="s">
        <v>0</v>
      </c>
      <c r="B78" s="4" t="s">
        <v>3</v>
      </c>
      <c r="C78" s="4" t="s">
        <v>21</v>
      </c>
      <c r="D78" s="4">
        <v>2009</v>
      </c>
      <c r="E78" s="4">
        <v>21400</v>
      </c>
      <c r="F78" s="3" t="s">
        <v>29</v>
      </c>
    </row>
    <row r="79" spans="1:6" x14ac:dyDescent="0.25">
      <c r="A79" s="4" t="s">
        <v>0</v>
      </c>
      <c r="B79" s="4" t="s">
        <v>3</v>
      </c>
      <c r="C79" s="4" t="s">
        <v>21</v>
      </c>
      <c r="D79" s="4">
        <v>2010</v>
      </c>
      <c r="E79" s="4">
        <v>20920</v>
      </c>
      <c r="F79" s="3" t="s">
        <v>29</v>
      </c>
    </row>
    <row r="80" spans="1:6" x14ac:dyDescent="0.25">
      <c r="A80" s="4" t="s">
        <v>0</v>
      </c>
      <c r="B80" s="4" t="s">
        <v>3</v>
      </c>
      <c r="C80" s="4" t="s">
        <v>21</v>
      </c>
      <c r="D80" s="4">
        <v>2011</v>
      </c>
      <c r="E80" s="4">
        <v>20460</v>
      </c>
      <c r="F80" s="3" t="s">
        <v>29</v>
      </c>
    </row>
    <row r="81" spans="1:6" x14ac:dyDescent="0.25">
      <c r="A81" s="4" t="s">
        <v>0</v>
      </c>
      <c r="B81" s="4" t="s">
        <v>3</v>
      </c>
      <c r="C81" s="4" t="s">
        <v>21</v>
      </c>
      <c r="D81" s="4">
        <v>2012</v>
      </c>
      <c r="E81" s="4">
        <v>20000</v>
      </c>
      <c r="F81" s="3" t="s">
        <v>29</v>
      </c>
    </row>
    <row r="82" spans="1:6" x14ac:dyDescent="0.25">
      <c r="A82" s="4" t="s">
        <v>0</v>
      </c>
      <c r="B82" s="4" t="s">
        <v>3</v>
      </c>
      <c r="C82" s="4" t="s">
        <v>21</v>
      </c>
      <c r="D82" s="4">
        <v>2013</v>
      </c>
      <c r="E82" s="4">
        <v>21050</v>
      </c>
      <c r="F82" s="3" t="s">
        <v>29</v>
      </c>
    </row>
    <row r="83" spans="1:6" x14ac:dyDescent="0.25">
      <c r="A83" s="4" t="s">
        <v>0</v>
      </c>
      <c r="B83" s="4" t="s">
        <v>3</v>
      </c>
      <c r="C83" s="4" t="s">
        <v>21</v>
      </c>
      <c r="D83" s="4">
        <v>2014</v>
      </c>
      <c r="E83" s="4">
        <v>24800</v>
      </c>
      <c r="F83" s="3" t="s">
        <v>29</v>
      </c>
    </row>
    <row r="84" spans="1:6" x14ac:dyDescent="0.25">
      <c r="A84" s="4" t="s">
        <v>0</v>
      </c>
      <c r="B84" s="4" t="s">
        <v>3</v>
      </c>
      <c r="C84" s="4" t="s">
        <v>21</v>
      </c>
      <c r="D84" s="4">
        <v>2015</v>
      </c>
      <c r="E84" s="4">
        <v>30699.223013698629</v>
      </c>
      <c r="F84" s="3" t="s">
        <v>29</v>
      </c>
    </row>
    <row r="85" spans="1:6" x14ac:dyDescent="0.25">
      <c r="A85" s="4" t="s">
        <v>0</v>
      </c>
      <c r="B85" s="4" t="s">
        <v>3</v>
      </c>
      <c r="C85" s="4" t="s">
        <v>21</v>
      </c>
      <c r="D85" s="4">
        <v>2016</v>
      </c>
      <c r="E85" s="4">
        <v>32409.198894809721</v>
      </c>
      <c r="F85" s="3" t="s">
        <v>29</v>
      </c>
    </row>
    <row r="86" spans="1:6" x14ac:dyDescent="0.25">
      <c r="A86" s="4" t="s">
        <v>0</v>
      </c>
      <c r="B86" s="4" t="s">
        <v>3</v>
      </c>
      <c r="C86" s="4" t="s">
        <v>21</v>
      </c>
      <c r="D86" s="4">
        <v>2017</v>
      </c>
      <c r="E86" s="4">
        <v>39484.485890410957</v>
      </c>
      <c r="F86" s="3" t="s">
        <v>29</v>
      </c>
    </row>
    <row r="87" spans="1:6" x14ac:dyDescent="0.25">
      <c r="A87" s="4" t="s">
        <v>0</v>
      </c>
      <c r="B87" s="4" t="s">
        <v>3</v>
      </c>
      <c r="C87" s="4" t="s">
        <v>21</v>
      </c>
      <c r="D87" s="4">
        <v>2018</v>
      </c>
      <c r="E87" s="4">
        <v>40373.288315277328</v>
      </c>
      <c r="F87" s="3" t="s">
        <v>29</v>
      </c>
    </row>
    <row r="88" spans="1:6" x14ac:dyDescent="0.25">
      <c r="A88" s="4" t="s">
        <v>0</v>
      </c>
      <c r="B88" s="4" t="s">
        <v>3</v>
      </c>
      <c r="C88" s="4" t="s">
        <v>21</v>
      </c>
      <c r="D88" s="4">
        <v>2019</v>
      </c>
      <c r="E88" s="4">
        <v>39856.663530952865</v>
      </c>
      <c r="F88" s="3" t="s">
        <v>29</v>
      </c>
    </row>
    <row r="89" spans="1:6" x14ac:dyDescent="0.25">
      <c r="A89" s="4" t="s">
        <v>0</v>
      </c>
      <c r="B89" s="4" t="s">
        <v>3</v>
      </c>
      <c r="C89" s="4" t="s">
        <v>21</v>
      </c>
      <c r="D89" s="4">
        <v>2020</v>
      </c>
      <c r="E89" s="4">
        <v>39299.818537965097</v>
      </c>
      <c r="F89" s="3" t="s">
        <v>29</v>
      </c>
    </row>
    <row r="90" spans="1:6" x14ac:dyDescent="0.25">
      <c r="A90" s="4" t="s">
        <v>0</v>
      </c>
      <c r="B90" s="4" t="s">
        <v>3</v>
      </c>
      <c r="C90" s="4" t="s">
        <v>21</v>
      </c>
      <c r="D90" s="4">
        <v>2021</v>
      </c>
      <c r="E90" s="4">
        <v>38900.710835645725</v>
      </c>
      <c r="F90" s="3" t="s">
        <v>29</v>
      </c>
    </row>
    <row r="91" spans="1:6" x14ac:dyDescent="0.25">
      <c r="A91" s="4" t="s">
        <v>0</v>
      </c>
      <c r="B91" s="4" t="s">
        <v>3</v>
      </c>
      <c r="C91" s="4" t="s">
        <v>21</v>
      </c>
      <c r="D91" s="4">
        <v>2022</v>
      </c>
      <c r="E91" s="4">
        <v>38460.917880330693</v>
      </c>
      <c r="F91" s="3" t="s">
        <v>29</v>
      </c>
    </row>
    <row r="92" spans="1:6" x14ac:dyDescent="0.25">
      <c r="A92" s="4" t="s">
        <v>0</v>
      </c>
      <c r="B92" s="4" t="s">
        <v>3</v>
      </c>
      <c r="C92" s="4" t="s">
        <v>21</v>
      </c>
      <c r="D92" s="4">
        <v>2023</v>
      </c>
      <c r="E92" s="4">
        <v>38312.010572638646</v>
      </c>
      <c r="F92" s="3" t="s">
        <v>29</v>
      </c>
    </row>
    <row r="93" spans="1:6" x14ac:dyDescent="0.25">
      <c r="A93" s="4" t="s">
        <v>0</v>
      </c>
      <c r="B93" s="4" t="s">
        <v>3</v>
      </c>
      <c r="C93" s="4" t="s">
        <v>21</v>
      </c>
      <c r="D93" s="4">
        <v>2024</v>
      </c>
      <c r="E93" s="4">
        <v>38294.111413036248</v>
      </c>
      <c r="F93" s="3" t="s">
        <v>29</v>
      </c>
    </row>
    <row r="94" spans="1:6" x14ac:dyDescent="0.25">
      <c r="A94" s="4" t="s">
        <v>0</v>
      </c>
      <c r="B94" s="4" t="s">
        <v>3</v>
      </c>
      <c r="C94" s="4" t="s">
        <v>21</v>
      </c>
      <c r="D94" s="4">
        <v>2025</v>
      </c>
      <c r="E94" s="4">
        <v>38464.228501858321</v>
      </c>
      <c r="F94" s="3" t="s">
        <v>29</v>
      </c>
    </row>
    <row r="95" spans="1:6" x14ac:dyDescent="0.25">
      <c r="A95" s="4" t="s">
        <v>0</v>
      </c>
      <c r="B95" s="4" t="s">
        <v>3</v>
      </c>
      <c r="C95" s="4" t="s">
        <v>21</v>
      </c>
      <c r="D95" s="4">
        <v>2026</v>
      </c>
      <c r="E95" s="4">
        <v>38887.843231763749</v>
      </c>
      <c r="F95" s="3" t="s">
        <v>29</v>
      </c>
    </row>
    <row r="96" spans="1:6" x14ac:dyDescent="0.25">
      <c r="A96" s="4" t="s">
        <v>0</v>
      </c>
      <c r="B96" s="4" t="s">
        <v>3</v>
      </c>
      <c r="C96" s="4" t="s">
        <v>21</v>
      </c>
      <c r="D96" s="4">
        <v>2027</v>
      </c>
      <c r="E96" s="4">
        <v>39339.587661092999</v>
      </c>
      <c r="F96" s="3" t="s">
        <v>29</v>
      </c>
    </row>
    <row r="97" spans="1:6" x14ac:dyDescent="0.25">
      <c r="A97" s="4" t="s">
        <v>0</v>
      </c>
      <c r="B97" s="4" t="s">
        <v>3</v>
      </c>
      <c r="C97" s="4" t="s">
        <v>21</v>
      </c>
      <c r="D97" s="4">
        <v>2028</v>
      </c>
      <c r="E97" s="4">
        <v>39840.600289787413</v>
      </c>
      <c r="F97" s="3" t="s">
        <v>29</v>
      </c>
    </row>
    <row r="98" spans="1:6" x14ac:dyDescent="0.25">
      <c r="A98" s="4" t="s">
        <v>0</v>
      </c>
      <c r="B98" s="4" t="s">
        <v>3</v>
      </c>
      <c r="C98" s="4" t="s">
        <v>21</v>
      </c>
      <c r="D98" s="4">
        <v>2029</v>
      </c>
      <c r="E98" s="4">
        <v>40477.913846688069</v>
      </c>
      <c r="F98" s="3" t="s">
        <v>29</v>
      </c>
    </row>
    <row r="99" spans="1:6" x14ac:dyDescent="0.25">
      <c r="A99" s="4" t="s">
        <v>0</v>
      </c>
      <c r="B99" s="4" t="s">
        <v>3</v>
      </c>
      <c r="C99" s="4" t="s">
        <v>21</v>
      </c>
      <c r="D99" s="4">
        <v>2030</v>
      </c>
      <c r="E99" s="4">
        <v>41227.657249766693</v>
      </c>
      <c r="F99" s="3" t="s">
        <v>29</v>
      </c>
    </row>
    <row r="100" spans="1:6" x14ac:dyDescent="0.25">
      <c r="A100" s="4" t="s">
        <v>0</v>
      </c>
      <c r="B100" s="4" t="s">
        <v>3</v>
      </c>
      <c r="C100" s="4" t="s">
        <v>21</v>
      </c>
      <c r="D100" s="4">
        <v>2031</v>
      </c>
      <c r="E100" s="4">
        <v>42106.693375666466</v>
      </c>
      <c r="F100" s="3" t="s">
        <v>29</v>
      </c>
    </row>
    <row r="101" spans="1:6" x14ac:dyDescent="0.25">
      <c r="A101" s="4" t="s">
        <v>0</v>
      </c>
      <c r="B101" s="4" t="s">
        <v>3</v>
      </c>
      <c r="C101" s="4" t="s">
        <v>21</v>
      </c>
      <c r="D101" s="4">
        <v>2032</v>
      </c>
      <c r="E101" s="4">
        <v>43120.187400124763</v>
      </c>
      <c r="F101" s="3" t="s">
        <v>29</v>
      </c>
    </row>
    <row r="102" spans="1:6" x14ac:dyDescent="0.25">
      <c r="A102" s="4" t="s">
        <v>0</v>
      </c>
      <c r="B102" s="4" t="s">
        <v>3</v>
      </c>
      <c r="C102" s="4" t="s">
        <v>21</v>
      </c>
      <c r="D102" s="4">
        <v>2033</v>
      </c>
      <c r="E102" s="4">
        <v>44181.414832444039</v>
      </c>
      <c r="F102" s="3" t="s">
        <v>29</v>
      </c>
    </row>
    <row r="103" spans="1:6" x14ac:dyDescent="0.25">
      <c r="A103" s="4" t="s">
        <v>0</v>
      </c>
      <c r="B103" s="4" t="s">
        <v>3</v>
      </c>
      <c r="C103" s="4" t="s">
        <v>21</v>
      </c>
      <c r="D103" s="4">
        <v>2034</v>
      </c>
      <c r="E103" s="4">
        <v>45221.581935845439</v>
      </c>
      <c r="F103" s="4" t="s">
        <v>29</v>
      </c>
    </row>
    <row r="104" spans="1:6" x14ac:dyDescent="0.25">
      <c r="A104" s="4" t="s">
        <v>0</v>
      </c>
      <c r="B104" s="4" t="s">
        <v>3</v>
      </c>
      <c r="C104" s="4" t="s">
        <v>21</v>
      </c>
      <c r="D104" s="4">
        <v>2035</v>
      </c>
      <c r="E104" s="4">
        <v>46323.922866358393</v>
      </c>
      <c r="F104" s="4" t="s">
        <v>29</v>
      </c>
    </row>
    <row r="105" spans="1:6" x14ac:dyDescent="0.25">
      <c r="A105" s="4" t="s">
        <v>0</v>
      </c>
      <c r="B105" s="4" t="s">
        <v>3</v>
      </c>
      <c r="C105" s="4" t="s">
        <v>21</v>
      </c>
      <c r="D105" s="4">
        <v>2036</v>
      </c>
      <c r="E105" s="4">
        <v>47463.53387729892</v>
      </c>
      <c r="F105" s="4" t="s">
        <v>29</v>
      </c>
    </row>
    <row r="106" spans="1:6" x14ac:dyDescent="0.25">
      <c r="A106" s="4" t="s">
        <v>0</v>
      </c>
      <c r="B106" s="4" t="s">
        <v>3</v>
      </c>
      <c r="C106" s="4" t="s">
        <v>21</v>
      </c>
      <c r="D106" s="4">
        <v>2037</v>
      </c>
      <c r="E106" s="4">
        <v>48628.879715662071</v>
      </c>
      <c r="F106" s="4" t="s">
        <v>29</v>
      </c>
    </row>
    <row r="107" spans="1:6" x14ac:dyDescent="0.25">
      <c r="A107" s="4" t="s">
        <v>0</v>
      </c>
      <c r="B107" s="4" t="s">
        <v>3</v>
      </c>
      <c r="C107" s="4" t="s">
        <v>21</v>
      </c>
      <c r="D107" s="4">
        <v>2038</v>
      </c>
      <c r="E107" s="4">
        <v>49868.50812858875</v>
      </c>
      <c r="F107" s="4" t="s">
        <v>29</v>
      </c>
    </row>
    <row r="108" spans="1:6" x14ac:dyDescent="0.25">
      <c r="A108" s="4" t="s">
        <v>0</v>
      </c>
      <c r="B108" s="4" t="s">
        <v>3</v>
      </c>
      <c r="C108" s="4" t="s">
        <v>21</v>
      </c>
      <c r="D108" s="4">
        <v>2039</v>
      </c>
      <c r="E108" s="4">
        <v>51209.325826998014</v>
      </c>
      <c r="F108" s="4" t="s">
        <v>29</v>
      </c>
    </row>
    <row r="109" spans="1:6" x14ac:dyDescent="0.25">
      <c r="A109" s="4" t="s">
        <v>0</v>
      </c>
      <c r="B109" s="4" t="s">
        <v>3</v>
      </c>
      <c r="C109" s="4" t="s">
        <v>21</v>
      </c>
      <c r="D109" s="4">
        <v>2040</v>
      </c>
      <c r="E109" s="4">
        <v>52642.226398657149</v>
      </c>
      <c r="F109" s="4" t="s">
        <v>29</v>
      </c>
    </row>
    <row r="110" spans="1:6" x14ac:dyDescent="0.25">
      <c r="A110" s="4" t="s">
        <v>0</v>
      </c>
      <c r="B110" s="4" t="s">
        <v>4</v>
      </c>
      <c r="C110" s="4" t="s">
        <v>21</v>
      </c>
      <c r="D110" s="4">
        <v>2005</v>
      </c>
      <c r="E110" s="4">
        <v>2090</v>
      </c>
      <c r="F110" s="4" t="s">
        <v>29</v>
      </c>
    </row>
    <row r="111" spans="1:6" x14ac:dyDescent="0.25">
      <c r="A111" s="4" t="s">
        <v>0</v>
      </c>
      <c r="B111" s="4" t="s">
        <v>4</v>
      </c>
      <c r="C111" s="4" t="s">
        <v>21</v>
      </c>
      <c r="D111" s="4">
        <v>2006</v>
      </c>
      <c r="E111" s="4">
        <v>2350</v>
      </c>
      <c r="F111" s="4" t="s">
        <v>29</v>
      </c>
    </row>
    <row r="112" spans="1:6" x14ac:dyDescent="0.25">
      <c r="A112" s="4" t="s">
        <v>0</v>
      </c>
      <c r="B112" s="4" t="s">
        <v>4</v>
      </c>
      <c r="C112" s="4" t="s">
        <v>21</v>
      </c>
      <c r="D112" s="4">
        <v>2007</v>
      </c>
      <c r="E112" s="4">
        <v>2750</v>
      </c>
      <c r="F112" s="4" t="s">
        <v>29</v>
      </c>
    </row>
    <row r="113" spans="1:6" x14ac:dyDescent="0.25">
      <c r="A113" s="4" t="s">
        <v>0</v>
      </c>
      <c r="B113" s="4" t="s">
        <v>4</v>
      </c>
      <c r="C113" s="4" t="s">
        <v>21</v>
      </c>
      <c r="D113" s="4">
        <v>2008</v>
      </c>
      <c r="E113" s="4">
        <v>3130</v>
      </c>
      <c r="F113" s="4" t="s">
        <v>29</v>
      </c>
    </row>
    <row r="114" spans="1:6" x14ac:dyDescent="0.25">
      <c r="A114" s="4" t="s">
        <v>0</v>
      </c>
      <c r="B114" s="4" t="s">
        <v>4</v>
      </c>
      <c r="C114" s="4" t="s">
        <v>21</v>
      </c>
      <c r="D114" s="4">
        <v>2009</v>
      </c>
      <c r="E114" s="4">
        <v>2900</v>
      </c>
      <c r="F114" s="4" t="s">
        <v>29</v>
      </c>
    </row>
    <row r="115" spans="1:6" x14ac:dyDescent="0.25">
      <c r="A115" s="4" t="s">
        <v>0</v>
      </c>
      <c r="B115" s="4" t="s">
        <v>4</v>
      </c>
      <c r="C115" s="4" t="s">
        <v>21</v>
      </c>
      <c r="D115" s="4">
        <v>2010</v>
      </c>
      <c r="E115" s="4">
        <v>2710</v>
      </c>
      <c r="F115" s="4" t="s">
        <v>29</v>
      </c>
    </row>
    <row r="116" spans="1:6" x14ac:dyDescent="0.25">
      <c r="A116" s="4" t="s">
        <v>0</v>
      </c>
      <c r="B116" s="4" t="s">
        <v>4</v>
      </c>
      <c r="C116" s="4" t="s">
        <v>21</v>
      </c>
      <c r="D116" s="4">
        <v>2011</v>
      </c>
      <c r="E116" s="4">
        <v>2820</v>
      </c>
      <c r="F116" s="4" t="s">
        <v>29</v>
      </c>
    </row>
    <row r="117" spans="1:6" x14ac:dyDescent="0.25">
      <c r="A117" s="4" t="s">
        <v>0</v>
      </c>
      <c r="B117" s="4" t="s">
        <v>4</v>
      </c>
      <c r="C117" s="4" t="s">
        <v>21</v>
      </c>
      <c r="D117" s="4">
        <v>2012</v>
      </c>
      <c r="E117" s="4">
        <v>2900</v>
      </c>
      <c r="F117" s="4" t="s">
        <v>29</v>
      </c>
    </row>
    <row r="118" spans="1:6" x14ac:dyDescent="0.25">
      <c r="A118" s="4" t="s">
        <v>0</v>
      </c>
      <c r="B118" s="4" t="s">
        <v>4</v>
      </c>
      <c r="C118" s="4" t="s">
        <v>21</v>
      </c>
      <c r="D118" s="4">
        <v>2013</v>
      </c>
      <c r="E118" s="4">
        <v>3550</v>
      </c>
      <c r="F118" s="4" t="s">
        <v>29</v>
      </c>
    </row>
    <row r="119" spans="1:6" x14ac:dyDescent="0.25">
      <c r="A119" s="4" t="s">
        <v>0</v>
      </c>
      <c r="B119" s="4" t="s">
        <v>4</v>
      </c>
      <c r="C119" s="4" t="s">
        <v>21</v>
      </c>
      <c r="D119" s="4">
        <v>2014</v>
      </c>
      <c r="E119" s="4">
        <v>5210</v>
      </c>
      <c r="F119" s="4" t="s">
        <v>29</v>
      </c>
    </row>
    <row r="120" spans="1:6" x14ac:dyDescent="0.25">
      <c r="A120" s="4" t="s">
        <v>0</v>
      </c>
      <c r="B120" s="4" t="s">
        <v>4</v>
      </c>
      <c r="C120" s="4" t="s">
        <v>21</v>
      </c>
      <c r="D120" s="4">
        <v>2015</v>
      </c>
      <c r="E120" s="4">
        <v>5570</v>
      </c>
      <c r="F120" s="4" t="s">
        <v>29</v>
      </c>
    </row>
    <row r="121" spans="1:6" x14ac:dyDescent="0.25">
      <c r="A121" s="4" t="s">
        <v>0</v>
      </c>
      <c r="B121" s="4" t="s">
        <v>4</v>
      </c>
      <c r="C121" s="4" t="s">
        <v>21</v>
      </c>
      <c r="D121" s="4">
        <v>2016</v>
      </c>
      <c r="E121" s="4">
        <v>10168.111506849318</v>
      </c>
      <c r="F121" s="4" t="s">
        <v>29</v>
      </c>
    </row>
    <row r="122" spans="1:6" x14ac:dyDescent="0.25">
      <c r="A122" s="4" t="s">
        <v>0</v>
      </c>
      <c r="B122" s="4" t="s">
        <v>4</v>
      </c>
      <c r="C122" s="4" t="s">
        <v>21</v>
      </c>
      <c r="D122" s="4">
        <v>2017</v>
      </c>
      <c r="E122" s="4">
        <v>12126.514109589039</v>
      </c>
      <c r="F122" s="4" t="s">
        <v>29</v>
      </c>
    </row>
    <row r="123" spans="1:6" x14ac:dyDescent="0.25">
      <c r="A123" s="4" t="s">
        <v>0</v>
      </c>
      <c r="B123" s="4" t="s">
        <v>4</v>
      </c>
      <c r="C123" s="4" t="s">
        <v>21</v>
      </c>
      <c r="D123" s="4">
        <v>2018</v>
      </c>
      <c r="E123" s="4">
        <v>12584.115386571788</v>
      </c>
      <c r="F123" s="4" t="s">
        <v>29</v>
      </c>
    </row>
    <row r="124" spans="1:6" x14ac:dyDescent="0.25">
      <c r="A124" s="4" t="s">
        <v>0</v>
      </c>
      <c r="B124" s="4" t="s">
        <v>4</v>
      </c>
      <c r="C124" s="4" t="s">
        <v>21</v>
      </c>
      <c r="D124" s="4">
        <v>2019</v>
      </c>
      <c r="E124" s="4">
        <v>12565.327295097501</v>
      </c>
      <c r="F124" s="4" t="s">
        <v>29</v>
      </c>
    </row>
    <row r="125" spans="1:6" x14ac:dyDescent="0.25">
      <c r="A125" s="4" t="s">
        <v>0</v>
      </c>
      <c r="B125" s="4" t="s">
        <v>4</v>
      </c>
      <c r="C125" s="4" t="s">
        <v>21</v>
      </c>
      <c r="D125" s="4">
        <v>2020</v>
      </c>
      <c r="E125" s="4">
        <v>12550.937399539849</v>
      </c>
      <c r="F125" s="4" t="s">
        <v>29</v>
      </c>
    </row>
    <row r="126" spans="1:6" x14ac:dyDescent="0.25">
      <c r="A126" s="4" t="s">
        <v>0</v>
      </c>
      <c r="B126" s="4" t="s">
        <v>4</v>
      </c>
      <c r="C126" s="4" t="s">
        <v>21</v>
      </c>
      <c r="D126" s="4">
        <v>2021</v>
      </c>
      <c r="E126" s="4">
        <v>12576.231113767848</v>
      </c>
      <c r="F126" s="4" t="s">
        <v>29</v>
      </c>
    </row>
    <row r="127" spans="1:6" x14ac:dyDescent="0.25">
      <c r="A127" s="4" t="s">
        <v>0</v>
      </c>
      <c r="B127" s="4" t="s">
        <v>4</v>
      </c>
      <c r="C127" s="4" t="s">
        <v>21</v>
      </c>
      <c r="D127" s="4">
        <v>2022</v>
      </c>
      <c r="E127" s="4">
        <v>12646.228409206036</v>
      </c>
      <c r="F127" s="4" t="s">
        <v>29</v>
      </c>
    </row>
    <row r="128" spans="1:6" x14ac:dyDescent="0.25">
      <c r="A128" s="4" t="s">
        <v>0</v>
      </c>
      <c r="B128" s="4" t="s">
        <v>4</v>
      </c>
      <c r="C128" s="4" t="s">
        <v>21</v>
      </c>
      <c r="D128" s="4">
        <v>2023</v>
      </c>
      <c r="E128" s="4">
        <v>12744.775449409368</v>
      </c>
      <c r="F128" s="4" t="s">
        <v>29</v>
      </c>
    </row>
    <row r="129" spans="1:6" x14ac:dyDescent="0.25">
      <c r="A129" s="4" t="s">
        <v>0</v>
      </c>
      <c r="B129" s="4" t="s">
        <v>4</v>
      </c>
      <c r="C129" s="4" t="s">
        <v>21</v>
      </c>
      <c r="D129" s="4">
        <v>2024</v>
      </c>
      <c r="E129" s="4">
        <v>12885.555128639748</v>
      </c>
      <c r="F129" s="4" t="s">
        <v>29</v>
      </c>
    </row>
    <row r="130" spans="1:6" x14ac:dyDescent="0.25">
      <c r="A130" s="4" t="s">
        <v>0</v>
      </c>
      <c r="B130" s="4" t="s">
        <v>4</v>
      </c>
      <c r="C130" s="4" t="s">
        <v>21</v>
      </c>
      <c r="D130" s="4">
        <v>2025</v>
      </c>
      <c r="E130" s="4">
        <v>13088.455808954142</v>
      </c>
      <c r="F130" s="4" t="s">
        <v>29</v>
      </c>
    </row>
    <row r="131" spans="1:6" x14ac:dyDescent="0.25">
      <c r="A131" s="4" t="s">
        <v>0</v>
      </c>
      <c r="B131" s="4" t="s">
        <v>4</v>
      </c>
      <c r="C131" s="4" t="s">
        <v>21</v>
      </c>
      <c r="D131" s="4">
        <v>2026</v>
      </c>
      <c r="E131" s="4">
        <v>13378.642772678904</v>
      </c>
      <c r="F131" s="4" t="s">
        <v>29</v>
      </c>
    </row>
    <row r="132" spans="1:6" x14ac:dyDescent="0.25">
      <c r="A132" s="4" t="s">
        <v>0</v>
      </c>
      <c r="B132" s="4" t="s">
        <v>4</v>
      </c>
      <c r="C132" s="4" t="s">
        <v>21</v>
      </c>
      <c r="D132" s="4">
        <v>2027</v>
      </c>
      <c r="E132" s="4">
        <v>13681.791161452875</v>
      </c>
      <c r="F132" s="4" t="s">
        <v>29</v>
      </c>
    </row>
    <row r="133" spans="1:6" x14ac:dyDescent="0.25">
      <c r="A133" s="4" t="s">
        <v>0</v>
      </c>
      <c r="B133" s="4" t="s">
        <v>4</v>
      </c>
      <c r="C133" s="4" t="s">
        <v>21</v>
      </c>
      <c r="D133" s="4">
        <v>2028</v>
      </c>
      <c r="E133" s="4">
        <v>14006.816816625358</v>
      </c>
      <c r="F133" s="4" t="s">
        <v>29</v>
      </c>
    </row>
    <row r="134" spans="1:6" x14ac:dyDescent="0.25">
      <c r="A134" s="4" t="s">
        <v>0</v>
      </c>
      <c r="B134" s="4" t="s">
        <v>4</v>
      </c>
      <c r="C134" s="4" t="s">
        <v>21</v>
      </c>
      <c r="D134" s="4">
        <v>2029</v>
      </c>
      <c r="E134" s="4">
        <v>14385.865760821791</v>
      </c>
      <c r="F134" s="4" t="s">
        <v>29</v>
      </c>
    </row>
    <row r="135" spans="1:6" x14ac:dyDescent="0.25">
      <c r="A135" s="4" t="s">
        <v>0</v>
      </c>
      <c r="B135" s="4" t="s">
        <v>4</v>
      </c>
      <c r="C135" s="4" t="s">
        <v>21</v>
      </c>
      <c r="D135" s="4">
        <v>2030</v>
      </c>
      <c r="E135" s="4">
        <v>14812.309050425041</v>
      </c>
      <c r="F135" s="4" t="s">
        <v>29</v>
      </c>
    </row>
    <row r="136" spans="1:6" x14ac:dyDescent="0.25">
      <c r="A136" s="4" t="s">
        <v>0</v>
      </c>
      <c r="B136" s="4" t="s">
        <v>4</v>
      </c>
      <c r="C136" s="4" t="s">
        <v>21</v>
      </c>
      <c r="D136" s="4">
        <v>2031</v>
      </c>
      <c r="E136" s="4">
        <v>15292.24412321122</v>
      </c>
      <c r="F136" s="4" t="s">
        <v>29</v>
      </c>
    </row>
    <row r="137" spans="1:6" x14ac:dyDescent="0.25">
      <c r="A137" s="4" t="s">
        <v>0</v>
      </c>
      <c r="B137" s="4" t="s">
        <v>4</v>
      </c>
      <c r="C137" s="4" t="s">
        <v>21</v>
      </c>
      <c r="D137" s="4">
        <v>2032</v>
      </c>
      <c r="E137" s="4">
        <v>15829.264691627643</v>
      </c>
      <c r="F137" s="4" t="s">
        <v>29</v>
      </c>
    </row>
    <row r="138" spans="1:6" x14ac:dyDescent="0.25">
      <c r="A138" s="4" t="s">
        <v>0</v>
      </c>
      <c r="B138" s="4" t="s">
        <v>4</v>
      </c>
      <c r="C138" s="4" t="s">
        <v>21</v>
      </c>
      <c r="D138" s="4">
        <v>2033</v>
      </c>
      <c r="E138" s="4">
        <v>16393.418854913376</v>
      </c>
      <c r="F138" s="4" t="s">
        <v>29</v>
      </c>
    </row>
    <row r="139" spans="1:6" x14ac:dyDescent="0.25">
      <c r="A139" s="4" t="s">
        <v>0</v>
      </c>
      <c r="B139" s="4" t="s">
        <v>4</v>
      </c>
      <c r="C139" s="4" t="s">
        <v>21</v>
      </c>
      <c r="D139" s="4">
        <v>2034</v>
      </c>
      <c r="E139" s="4">
        <v>16958.552828327985</v>
      </c>
      <c r="F139" s="4" t="s">
        <v>29</v>
      </c>
    </row>
    <row r="140" spans="1:6" x14ac:dyDescent="0.25">
      <c r="A140" s="4" t="s">
        <v>0</v>
      </c>
      <c r="B140" s="4" t="s">
        <v>4</v>
      </c>
      <c r="C140" s="4" t="s">
        <v>21</v>
      </c>
      <c r="D140" s="4">
        <v>2035</v>
      </c>
      <c r="E140" s="4">
        <v>17556.254504430715</v>
      </c>
      <c r="F140" s="4" t="s">
        <v>29</v>
      </c>
    </row>
    <row r="141" spans="1:6" x14ac:dyDescent="0.25">
      <c r="A141" s="4" t="s">
        <v>0</v>
      </c>
      <c r="B141" s="4" t="s">
        <v>4</v>
      </c>
      <c r="C141" s="4" t="s">
        <v>21</v>
      </c>
      <c r="D141" s="4">
        <v>2036</v>
      </c>
      <c r="E141" s="4">
        <v>18178.821734912835</v>
      </c>
      <c r="F141" s="4" t="s">
        <v>29</v>
      </c>
    </row>
    <row r="142" spans="1:6" x14ac:dyDescent="0.25">
      <c r="A142" s="4" t="s">
        <v>0</v>
      </c>
      <c r="B142" s="4" t="s">
        <v>4</v>
      </c>
      <c r="C142" s="4" t="s">
        <v>21</v>
      </c>
      <c r="D142" s="4">
        <v>2037</v>
      </c>
      <c r="E142" s="4">
        <v>18820.267903266926</v>
      </c>
      <c r="F142" s="4" t="s">
        <v>29</v>
      </c>
    </row>
    <row r="143" spans="1:6" x14ac:dyDescent="0.25">
      <c r="A143" s="4" t="s">
        <v>0</v>
      </c>
      <c r="B143" s="4" t="s">
        <v>4</v>
      </c>
      <c r="C143" s="4" t="s">
        <v>21</v>
      </c>
      <c r="D143" s="4">
        <v>2038</v>
      </c>
      <c r="E143" s="4">
        <v>19501.623219777797</v>
      </c>
      <c r="F143" s="4" t="s">
        <v>29</v>
      </c>
    </row>
    <row r="144" spans="1:6" x14ac:dyDescent="0.25">
      <c r="A144" s="4" t="s">
        <v>0</v>
      </c>
      <c r="B144" s="4" t="s">
        <v>4</v>
      </c>
      <c r="C144" s="4" t="s">
        <v>21</v>
      </c>
      <c r="D144" s="4">
        <v>2039</v>
      </c>
      <c r="E144" s="4">
        <v>20233.840668361361</v>
      </c>
      <c r="F144" s="4" t="s">
        <v>29</v>
      </c>
    </row>
    <row r="145" spans="1:6" x14ac:dyDescent="0.25">
      <c r="A145" s="4" t="s">
        <v>0</v>
      </c>
      <c r="B145" s="4" t="s">
        <v>4</v>
      </c>
      <c r="C145" s="4" t="s">
        <v>21</v>
      </c>
      <c r="D145" s="4">
        <v>2040</v>
      </c>
      <c r="E145" s="4">
        <v>21015.079160773239</v>
      </c>
      <c r="F145" s="4" t="s">
        <v>29</v>
      </c>
    </row>
    <row r="146" spans="1:6" x14ac:dyDescent="0.25">
      <c r="A146" s="4" t="s">
        <v>0</v>
      </c>
      <c r="B146" s="4" t="s">
        <v>5</v>
      </c>
      <c r="C146" s="4" t="s">
        <v>21</v>
      </c>
      <c r="D146" s="4">
        <v>2005</v>
      </c>
      <c r="E146" s="4">
        <v>99600</v>
      </c>
      <c r="F146" s="4" t="s">
        <v>29</v>
      </c>
    </row>
    <row r="147" spans="1:6" x14ac:dyDescent="0.25">
      <c r="A147" s="4" t="s">
        <v>0</v>
      </c>
      <c r="B147" s="4" t="s">
        <v>5</v>
      </c>
      <c r="C147" s="4" t="s">
        <v>21</v>
      </c>
      <c r="D147" s="4">
        <v>2006</v>
      </c>
      <c r="E147" s="4">
        <v>120900</v>
      </c>
      <c r="F147" s="4" t="s">
        <v>29</v>
      </c>
    </row>
    <row r="148" spans="1:6" x14ac:dyDescent="0.25">
      <c r="A148" s="4" t="s">
        <v>0</v>
      </c>
      <c r="B148" s="4" t="s">
        <v>5</v>
      </c>
      <c r="C148" s="4" t="s">
        <v>21</v>
      </c>
      <c r="D148" s="4">
        <v>2007</v>
      </c>
      <c r="E148" s="4">
        <v>124700</v>
      </c>
      <c r="F148" s="4" t="s">
        <v>29</v>
      </c>
    </row>
    <row r="149" spans="1:6" x14ac:dyDescent="0.25">
      <c r="A149" s="4" t="s">
        <v>0</v>
      </c>
      <c r="B149" s="4" t="s">
        <v>5</v>
      </c>
      <c r="C149" s="4" t="s">
        <v>21</v>
      </c>
      <c r="D149" s="4">
        <v>2008</v>
      </c>
      <c r="E149" s="4">
        <v>114700</v>
      </c>
      <c r="F149" s="4" t="s">
        <v>29</v>
      </c>
    </row>
    <row r="150" spans="1:6" x14ac:dyDescent="0.25">
      <c r="A150" s="4" t="s">
        <v>0</v>
      </c>
      <c r="B150" s="4" t="s">
        <v>5</v>
      </c>
      <c r="C150" s="4" t="s">
        <v>21</v>
      </c>
      <c r="D150" s="4">
        <v>2009</v>
      </c>
      <c r="E150" s="4">
        <v>131200</v>
      </c>
      <c r="F150" s="4" t="s">
        <v>29</v>
      </c>
    </row>
    <row r="151" spans="1:6" x14ac:dyDescent="0.25">
      <c r="A151" s="4" t="s">
        <v>0</v>
      </c>
      <c r="B151" s="4" t="s">
        <v>5</v>
      </c>
      <c r="C151" s="4" t="s">
        <v>21</v>
      </c>
      <c r="D151" s="4">
        <v>2010</v>
      </c>
      <c r="E151" s="4">
        <v>136242.99205479454</v>
      </c>
      <c r="F151" s="4" t="s">
        <v>29</v>
      </c>
    </row>
    <row r="152" spans="1:6" x14ac:dyDescent="0.25">
      <c r="A152" s="4" t="s">
        <v>0</v>
      </c>
      <c r="B152" s="4" t="s">
        <v>5</v>
      </c>
      <c r="C152" s="4" t="s">
        <v>21</v>
      </c>
      <c r="D152" s="4">
        <v>2011</v>
      </c>
      <c r="E152" s="4">
        <v>141899.05890410958</v>
      </c>
      <c r="F152" s="4" t="s">
        <v>29</v>
      </c>
    </row>
    <row r="153" spans="1:6" x14ac:dyDescent="0.25">
      <c r="A153" s="4" t="s">
        <v>0</v>
      </c>
      <c r="B153" s="4" t="s">
        <v>5</v>
      </c>
      <c r="C153" s="4" t="s">
        <v>21</v>
      </c>
      <c r="D153" s="4">
        <v>2012</v>
      </c>
      <c r="E153" s="4">
        <v>148216.19643835619</v>
      </c>
      <c r="F153" s="4" t="s">
        <v>29</v>
      </c>
    </row>
    <row r="154" spans="1:6" x14ac:dyDescent="0.25">
      <c r="A154" s="4" t="s">
        <v>0</v>
      </c>
      <c r="B154" s="4" t="s">
        <v>5</v>
      </c>
      <c r="C154" s="4" t="s">
        <v>21</v>
      </c>
      <c r="D154" s="4">
        <v>2013</v>
      </c>
      <c r="E154" s="4">
        <v>155178.08602739728</v>
      </c>
      <c r="F154" s="4" t="s">
        <v>29</v>
      </c>
    </row>
    <row r="155" spans="1:6" x14ac:dyDescent="0.25">
      <c r="A155" s="4" t="s">
        <v>0</v>
      </c>
      <c r="B155" s="4" t="s">
        <v>5</v>
      </c>
      <c r="C155" s="4" t="s">
        <v>21</v>
      </c>
      <c r="D155" s="4">
        <v>2014</v>
      </c>
      <c r="E155" s="4">
        <v>152653.42301369866</v>
      </c>
      <c r="F155" s="4" t="s">
        <v>29</v>
      </c>
    </row>
    <row r="156" spans="1:6" x14ac:dyDescent="0.25">
      <c r="A156" s="4" t="s">
        <v>0</v>
      </c>
      <c r="B156" s="4" t="s">
        <v>5</v>
      </c>
      <c r="C156" s="4" t="s">
        <v>21</v>
      </c>
      <c r="D156" s="4">
        <v>2015</v>
      </c>
      <c r="E156" s="4">
        <v>184650.64986301371</v>
      </c>
      <c r="F156" s="4" t="s">
        <v>29</v>
      </c>
    </row>
    <row r="157" spans="1:6" x14ac:dyDescent="0.25">
      <c r="A157" s="4" t="s">
        <v>0</v>
      </c>
      <c r="B157" s="4" t="s">
        <v>5</v>
      </c>
      <c r="C157" s="4" t="s">
        <v>21</v>
      </c>
      <c r="D157" s="4">
        <v>2016</v>
      </c>
      <c r="E157" s="4">
        <v>182833.43972602743</v>
      </c>
      <c r="F157" s="4" t="s">
        <v>29</v>
      </c>
    </row>
    <row r="158" spans="1:6" x14ac:dyDescent="0.25">
      <c r="A158" s="4" t="s">
        <v>0</v>
      </c>
      <c r="B158" s="4" t="s">
        <v>5</v>
      </c>
      <c r="C158" s="4" t="s">
        <v>21</v>
      </c>
      <c r="D158" s="4">
        <v>2017</v>
      </c>
      <c r="E158" s="4">
        <v>202815.78219178083</v>
      </c>
      <c r="F158" s="4" t="s">
        <v>29</v>
      </c>
    </row>
    <row r="159" spans="1:6" x14ac:dyDescent="0.25">
      <c r="A159" s="4" t="s">
        <v>0</v>
      </c>
      <c r="B159" s="4" t="s">
        <v>5</v>
      </c>
      <c r="C159" s="4" t="s">
        <v>21</v>
      </c>
      <c r="D159" s="4">
        <v>2018</v>
      </c>
      <c r="E159" s="4">
        <v>234799.82978469165</v>
      </c>
      <c r="F159" s="4" t="s">
        <v>29</v>
      </c>
    </row>
    <row r="160" spans="1:6" x14ac:dyDescent="0.25">
      <c r="A160" s="4" t="s">
        <v>0</v>
      </c>
      <c r="B160" s="4" t="s">
        <v>5</v>
      </c>
      <c r="C160" s="4" t="s">
        <v>21</v>
      </c>
      <c r="D160" s="4">
        <v>2019</v>
      </c>
      <c r="E160" s="4">
        <v>254156.63379981264</v>
      </c>
      <c r="F160" s="4" t="s">
        <v>29</v>
      </c>
    </row>
    <row r="161" spans="1:6" x14ac:dyDescent="0.25">
      <c r="A161" s="4" t="s">
        <v>0</v>
      </c>
      <c r="B161" s="4" t="s">
        <v>5</v>
      </c>
      <c r="C161" s="4" t="s">
        <v>21</v>
      </c>
      <c r="D161" s="4">
        <v>2020</v>
      </c>
      <c r="E161" s="4">
        <v>259617.83437279184</v>
      </c>
      <c r="F161" s="4" t="s">
        <v>29</v>
      </c>
    </row>
    <row r="162" spans="1:6" x14ac:dyDescent="0.25">
      <c r="A162" s="4" t="s">
        <v>0</v>
      </c>
      <c r="B162" s="4" t="s">
        <v>5</v>
      </c>
      <c r="C162" s="4" t="s">
        <v>21</v>
      </c>
      <c r="D162" s="4">
        <v>2021</v>
      </c>
      <c r="E162" s="4">
        <v>261022.58625520545</v>
      </c>
      <c r="F162" s="4" t="s">
        <v>29</v>
      </c>
    </row>
    <row r="163" spans="1:6" x14ac:dyDescent="0.25">
      <c r="A163" s="4" t="s">
        <v>0</v>
      </c>
      <c r="B163" s="4" t="s">
        <v>5</v>
      </c>
      <c r="C163" s="4" t="s">
        <v>21</v>
      </c>
      <c r="D163" s="4">
        <v>2022</v>
      </c>
      <c r="E163" s="4">
        <v>261826.63235775448</v>
      </c>
      <c r="F163" s="4" t="s">
        <v>29</v>
      </c>
    </row>
    <row r="164" spans="1:6" x14ac:dyDescent="0.25">
      <c r="A164" s="4" t="s">
        <v>0</v>
      </c>
      <c r="B164" s="4" t="s">
        <v>5</v>
      </c>
      <c r="C164" s="4" t="s">
        <v>21</v>
      </c>
      <c r="D164" s="4">
        <v>2023</v>
      </c>
      <c r="E164" s="4">
        <v>261826.61697683489</v>
      </c>
      <c r="F164" s="4" t="s">
        <v>29</v>
      </c>
    </row>
    <row r="165" spans="1:6" x14ac:dyDescent="0.25">
      <c r="A165" s="4" t="s">
        <v>0</v>
      </c>
      <c r="B165" s="4" t="s">
        <v>5</v>
      </c>
      <c r="C165" s="4" t="s">
        <v>21</v>
      </c>
      <c r="D165" s="4">
        <v>2024</v>
      </c>
      <c r="E165" s="4">
        <v>261826.62684564892</v>
      </c>
      <c r="F165" s="4" t="s">
        <v>29</v>
      </c>
    </row>
    <row r="166" spans="1:6" x14ac:dyDescent="0.25">
      <c r="A166" s="4" t="s">
        <v>0</v>
      </c>
      <c r="B166" s="4" t="s">
        <v>5</v>
      </c>
      <c r="C166" s="4" t="s">
        <v>21</v>
      </c>
      <c r="D166" s="4">
        <v>2025</v>
      </c>
      <c r="E166" s="4">
        <v>261826.62716015082</v>
      </c>
      <c r="F166" s="4" t="s">
        <v>29</v>
      </c>
    </row>
    <row r="167" spans="1:6" x14ac:dyDescent="0.25">
      <c r="A167" s="4" t="s">
        <v>0</v>
      </c>
      <c r="B167" s="4" t="s">
        <v>5</v>
      </c>
      <c r="C167" s="4" t="s">
        <v>21</v>
      </c>
      <c r="D167" s="4">
        <v>2026</v>
      </c>
      <c r="E167" s="4">
        <v>261826.62703786089</v>
      </c>
      <c r="F167" s="4" t="s">
        <v>29</v>
      </c>
    </row>
    <row r="168" spans="1:6" x14ac:dyDescent="0.25">
      <c r="A168" s="4" t="s">
        <v>0</v>
      </c>
      <c r="B168" s="4" t="s">
        <v>5</v>
      </c>
      <c r="C168" s="4" t="s">
        <v>21</v>
      </c>
      <c r="D168" s="4">
        <v>2027</v>
      </c>
      <c r="E168" s="4">
        <v>261826.627032105</v>
      </c>
      <c r="F168" s="4" t="s">
        <v>29</v>
      </c>
    </row>
    <row r="169" spans="1:6" x14ac:dyDescent="0.25">
      <c r="A169" s="4" t="s">
        <v>0</v>
      </c>
      <c r="B169" s="4" t="s">
        <v>5</v>
      </c>
      <c r="C169" s="4" t="s">
        <v>21</v>
      </c>
      <c r="D169" s="4">
        <v>2028</v>
      </c>
      <c r="E169" s="4">
        <v>261826.62703364203</v>
      </c>
      <c r="F169" s="4" t="s">
        <v>29</v>
      </c>
    </row>
    <row r="170" spans="1:6" x14ac:dyDescent="0.25">
      <c r="A170" s="4" t="s">
        <v>0</v>
      </c>
      <c r="B170" s="4" t="s">
        <v>5</v>
      </c>
      <c r="C170" s="4" t="s">
        <v>21</v>
      </c>
      <c r="D170" s="4">
        <v>2029</v>
      </c>
      <c r="E170" s="4">
        <v>261826.62703373685</v>
      </c>
      <c r="F170" s="4" t="s">
        <v>29</v>
      </c>
    </row>
    <row r="171" spans="1:6" x14ac:dyDescent="0.25">
      <c r="A171" s="4" t="s">
        <v>0</v>
      </c>
      <c r="B171" s="4" t="s">
        <v>5</v>
      </c>
      <c r="C171" s="4" t="s">
        <v>21</v>
      </c>
      <c r="D171" s="4">
        <v>2030</v>
      </c>
      <c r="E171" s="4">
        <v>261826.6270337177</v>
      </c>
      <c r="F171" s="4" t="s">
        <v>29</v>
      </c>
    </row>
    <row r="172" spans="1:6" x14ac:dyDescent="0.25">
      <c r="A172" s="4" t="s">
        <v>0</v>
      </c>
      <c r="B172" s="4" t="s">
        <v>5</v>
      </c>
      <c r="C172" s="4" t="s">
        <v>21</v>
      </c>
      <c r="D172" s="4">
        <v>2031</v>
      </c>
      <c r="E172" s="4">
        <v>261826.62703371618</v>
      </c>
      <c r="F172" s="4" t="s">
        <v>29</v>
      </c>
    </row>
    <row r="173" spans="1:6" x14ac:dyDescent="0.25">
      <c r="A173" s="4" t="s">
        <v>0</v>
      </c>
      <c r="B173" s="4" t="s">
        <v>5</v>
      </c>
      <c r="C173" s="4" t="s">
        <v>21</v>
      </c>
      <c r="D173" s="4">
        <v>2032</v>
      </c>
      <c r="E173" s="4">
        <v>261826.62703371639</v>
      </c>
      <c r="F173" s="4" t="s">
        <v>29</v>
      </c>
    </row>
    <row r="174" spans="1:6" x14ac:dyDescent="0.25">
      <c r="A174" s="4" t="s">
        <v>0</v>
      </c>
      <c r="B174" s="4" t="s">
        <v>5</v>
      </c>
      <c r="C174" s="4" t="s">
        <v>21</v>
      </c>
      <c r="D174" s="4">
        <v>2033</v>
      </c>
      <c r="E174" s="4">
        <v>261826.62703371639</v>
      </c>
      <c r="F174" s="4" t="s">
        <v>29</v>
      </c>
    </row>
    <row r="175" spans="1:6" x14ac:dyDescent="0.25">
      <c r="A175" s="4" t="s">
        <v>0</v>
      </c>
      <c r="B175" s="4" t="s">
        <v>5</v>
      </c>
      <c r="C175" s="4" t="s">
        <v>21</v>
      </c>
      <c r="D175" s="4">
        <v>2034</v>
      </c>
      <c r="E175" s="4">
        <v>261826.62703371639</v>
      </c>
      <c r="F175" s="4" t="s">
        <v>29</v>
      </c>
    </row>
    <row r="176" spans="1:6" x14ac:dyDescent="0.25">
      <c r="A176" s="4" t="s">
        <v>0</v>
      </c>
      <c r="B176" s="4" t="s">
        <v>5</v>
      </c>
      <c r="C176" s="4" t="s">
        <v>21</v>
      </c>
      <c r="D176" s="4">
        <v>2035</v>
      </c>
      <c r="E176" s="4">
        <v>261826.62703371639</v>
      </c>
      <c r="F176" s="4" t="s">
        <v>29</v>
      </c>
    </row>
    <row r="177" spans="1:6" x14ac:dyDescent="0.25">
      <c r="A177" s="4" t="s">
        <v>0</v>
      </c>
      <c r="B177" s="4" t="s">
        <v>5</v>
      </c>
      <c r="C177" s="4" t="s">
        <v>21</v>
      </c>
      <c r="D177" s="4">
        <v>2036</v>
      </c>
      <c r="E177" s="4">
        <v>261826.62703371639</v>
      </c>
      <c r="F177" s="4" t="s">
        <v>29</v>
      </c>
    </row>
    <row r="178" spans="1:6" x14ac:dyDescent="0.25">
      <c r="A178" s="4" t="s">
        <v>0</v>
      </c>
      <c r="B178" s="4" t="s">
        <v>5</v>
      </c>
      <c r="C178" s="4" t="s">
        <v>21</v>
      </c>
      <c r="D178" s="4">
        <v>2037</v>
      </c>
      <c r="E178" s="4">
        <v>261826.62703371639</v>
      </c>
      <c r="F178" s="4" t="s">
        <v>29</v>
      </c>
    </row>
    <row r="179" spans="1:6" x14ac:dyDescent="0.25">
      <c r="A179" s="4" t="s">
        <v>0</v>
      </c>
      <c r="B179" s="4" t="s">
        <v>5</v>
      </c>
      <c r="C179" s="4" t="s">
        <v>21</v>
      </c>
      <c r="D179" s="4">
        <v>2038</v>
      </c>
      <c r="E179" s="4">
        <v>261826.62703371639</v>
      </c>
      <c r="F179" s="4" t="s">
        <v>29</v>
      </c>
    </row>
    <row r="180" spans="1:6" x14ac:dyDescent="0.25">
      <c r="A180" s="4" t="s">
        <v>0</v>
      </c>
      <c r="B180" s="4" t="s">
        <v>5</v>
      </c>
      <c r="C180" s="4" t="s">
        <v>21</v>
      </c>
      <c r="D180" s="4">
        <v>2039</v>
      </c>
      <c r="E180" s="4">
        <v>261826.62703371639</v>
      </c>
      <c r="F180" s="4" t="s">
        <v>29</v>
      </c>
    </row>
    <row r="181" spans="1:6" x14ac:dyDescent="0.25">
      <c r="A181" s="4" t="s">
        <v>0</v>
      </c>
      <c r="B181" s="4" t="s">
        <v>5</v>
      </c>
      <c r="C181" s="4" t="s">
        <v>21</v>
      </c>
      <c r="D181" s="4">
        <v>2040</v>
      </c>
      <c r="E181" s="4">
        <v>261826.62703371639</v>
      </c>
      <c r="F181" s="4" t="s">
        <v>29</v>
      </c>
    </row>
    <row r="182" spans="1:6" x14ac:dyDescent="0.25">
      <c r="A182" s="4" t="s">
        <v>0</v>
      </c>
      <c r="B182" s="4" t="s">
        <v>6</v>
      </c>
      <c r="C182" s="4" t="s">
        <v>21</v>
      </c>
      <c r="D182" s="4">
        <v>2005</v>
      </c>
      <c r="E182" s="4">
        <v>69700</v>
      </c>
      <c r="F182" s="4" t="s">
        <v>29</v>
      </c>
    </row>
    <row r="183" spans="1:6" x14ac:dyDescent="0.25">
      <c r="A183" s="4" t="s">
        <v>0</v>
      </c>
      <c r="B183" s="4" t="s">
        <v>6</v>
      </c>
      <c r="C183" s="4" t="s">
        <v>21</v>
      </c>
      <c r="D183" s="4">
        <v>2006</v>
      </c>
      <c r="E183" s="4">
        <v>78500</v>
      </c>
      <c r="F183" s="4" t="s">
        <v>29</v>
      </c>
    </row>
    <row r="184" spans="1:6" x14ac:dyDescent="0.25">
      <c r="A184" s="4" t="s">
        <v>0</v>
      </c>
      <c r="B184" s="4" t="s">
        <v>6</v>
      </c>
      <c r="C184" s="4" t="s">
        <v>21</v>
      </c>
      <c r="D184" s="4">
        <v>2007</v>
      </c>
      <c r="E184" s="4">
        <v>85200</v>
      </c>
      <c r="F184" s="4" t="s">
        <v>29</v>
      </c>
    </row>
    <row r="185" spans="1:6" x14ac:dyDescent="0.25">
      <c r="A185" s="4" t="s">
        <v>0</v>
      </c>
      <c r="B185" s="4" t="s">
        <v>6</v>
      </c>
      <c r="C185" s="4" t="s">
        <v>21</v>
      </c>
      <c r="D185" s="4">
        <v>2008</v>
      </c>
      <c r="E185" s="4">
        <v>92700</v>
      </c>
      <c r="F185" s="4" t="s">
        <v>29</v>
      </c>
    </row>
    <row r="186" spans="1:6" x14ac:dyDescent="0.25">
      <c r="A186" s="4" t="s">
        <v>0</v>
      </c>
      <c r="B186" s="4" t="s">
        <v>6</v>
      </c>
      <c r="C186" s="4" t="s">
        <v>21</v>
      </c>
      <c r="D186" s="4">
        <v>2009</v>
      </c>
      <c r="E186" s="4">
        <v>105500</v>
      </c>
      <c r="F186" s="4" t="s">
        <v>29</v>
      </c>
    </row>
    <row r="187" spans="1:6" x14ac:dyDescent="0.25">
      <c r="A187" s="4" t="s">
        <v>0</v>
      </c>
      <c r="B187" s="4" t="s">
        <v>6</v>
      </c>
      <c r="C187" s="4" t="s">
        <v>21</v>
      </c>
      <c r="D187" s="4">
        <v>2010</v>
      </c>
      <c r="E187" s="4">
        <v>119629.14712328766</v>
      </c>
      <c r="F187" s="4" t="s">
        <v>29</v>
      </c>
    </row>
    <row r="188" spans="1:6" x14ac:dyDescent="0.25">
      <c r="A188" s="4" t="s">
        <v>0</v>
      </c>
      <c r="B188" s="4" t="s">
        <v>6</v>
      </c>
      <c r="C188" s="4" t="s">
        <v>21</v>
      </c>
      <c r="D188" s="4">
        <v>2011</v>
      </c>
      <c r="E188" s="4">
        <v>134719.58268493149</v>
      </c>
      <c r="F188" s="4" t="s">
        <v>29</v>
      </c>
    </row>
    <row r="189" spans="1:6" x14ac:dyDescent="0.25">
      <c r="A189" s="4" t="s">
        <v>0</v>
      </c>
      <c r="B189" s="4" t="s">
        <v>6</v>
      </c>
      <c r="C189" s="4" t="s">
        <v>21</v>
      </c>
      <c r="D189" s="4">
        <v>2012</v>
      </c>
      <c r="E189" s="4">
        <v>157385.20219178079</v>
      </c>
      <c r="F189" s="4" t="s">
        <v>29</v>
      </c>
    </row>
    <row r="190" spans="1:6" x14ac:dyDescent="0.25">
      <c r="A190" s="4" t="s">
        <v>0</v>
      </c>
      <c r="B190" s="4" t="s">
        <v>6</v>
      </c>
      <c r="C190" s="4" t="s">
        <v>21</v>
      </c>
      <c r="D190" s="4">
        <v>2013</v>
      </c>
      <c r="E190" s="4">
        <v>175859.07172602741</v>
      </c>
      <c r="F190" s="4" t="s">
        <v>29</v>
      </c>
    </row>
    <row r="191" spans="1:6" x14ac:dyDescent="0.25">
      <c r="A191" s="4" t="s">
        <v>0</v>
      </c>
      <c r="B191" s="4" t="s">
        <v>6</v>
      </c>
      <c r="C191" s="4" t="s">
        <v>21</v>
      </c>
      <c r="D191" s="4">
        <v>2014</v>
      </c>
      <c r="E191" s="4">
        <v>200748.64076712329</v>
      </c>
      <c r="F191" s="4" t="s">
        <v>29</v>
      </c>
    </row>
    <row r="192" spans="1:6" x14ac:dyDescent="0.25">
      <c r="A192" s="4" t="s">
        <v>0</v>
      </c>
      <c r="B192" s="4" t="s">
        <v>6</v>
      </c>
      <c r="C192" s="4" t="s">
        <v>21</v>
      </c>
      <c r="D192" s="4">
        <v>2015</v>
      </c>
      <c r="E192" s="4">
        <v>216516.94391559192</v>
      </c>
      <c r="F192" s="4" t="s">
        <v>29</v>
      </c>
    </row>
    <row r="193" spans="1:6" x14ac:dyDescent="0.25">
      <c r="A193" s="4" t="s">
        <v>0</v>
      </c>
      <c r="B193" s="4" t="s">
        <v>6</v>
      </c>
      <c r="C193" s="4" t="s">
        <v>21</v>
      </c>
      <c r="D193" s="4">
        <v>2016</v>
      </c>
      <c r="E193" s="4">
        <v>222306.83333061248</v>
      </c>
      <c r="F193" s="4" t="s">
        <v>29</v>
      </c>
    </row>
    <row r="194" spans="1:6" x14ac:dyDescent="0.25">
      <c r="A194" s="4" t="s">
        <v>0</v>
      </c>
      <c r="B194" s="4" t="s">
        <v>6</v>
      </c>
      <c r="C194" s="4" t="s">
        <v>21</v>
      </c>
      <c r="D194" s="4">
        <v>2017</v>
      </c>
      <c r="E194" s="4">
        <v>245914.92329379948</v>
      </c>
      <c r="F194" s="4" t="s">
        <v>29</v>
      </c>
    </row>
    <row r="195" spans="1:6" x14ac:dyDescent="0.25">
      <c r="A195" s="4" t="s">
        <v>0</v>
      </c>
      <c r="B195" s="4" t="s">
        <v>6</v>
      </c>
      <c r="C195" s="4" t="s">
        <v>21</v>
      </c>
      <c r="D195" s="4">
        <v>2018</v>
      </c>
      <c r="E195" s="4">
        <v>261640.34547641588</v>
      </c>
      <c r="F195" s="4" t="s">
        <v>29</v>
      </c>
    </row>
    <row r="196" spans="1:6" x14ac:dyDescent="0.25">
      <c r="A196" s="4" t="s">
        <v>0</v>
      </c>
      <c r="B196" s="4" t="s">
        <v>6</v>
      </c>
      <c r="C196" s="4" t="s">
        <v>21</v>
      </c>
      <c r="D196" s="4">
        <v>2019</v>
      </c>
      <c r="E196" s="4">
        <v>273757.26348823449</v>
      </c>
      <c r="F196" s="4" t="s">
        <v>29</v>
      </c>
    </row>
    <row r="197" spans="1:6" x14ac:dyDescent="0.25">
      <c r="A197" s="4" t="s">
        <v>0</v>
      </c>
      <c r="B197" s="4" t="s">
        <v>6</v>
      </c>
      <c r="C197" s="4" t="s">
        <v>21</v>
      </c>
      <c r="D197" s="4">
        <v>2020</v>
      </c>
      <c r="E197" s="4">
        <v>283681.48916161514</v>
      </c>
      <c r="F197" s="4" t="s">
        <v>29</v>
      </c>
    </row>
    <row r="198" spans="1:6" x14ac:dyDescent="0.25">
      <c r="A198" s="4" t="s">
        <v>0</v>
      </c>
      <c r="B198" s="4" t="s">
        <v>6</v>
      </c>
      <c r="C198" s="4" t="s">
        <v>21</v>
      </c>
      <c r="D198" s="4">
        <v>2021</v>
      </c>
      <c r="E198" s="4">
        <v>288325.86230611883</v>
      </c>
      <c r="F198" s="4" t="s">
        <v>29</v>
      </c>
    </row>
    <row r="199" spans="1:6" x14ac:dyDescent="0.25">
      <c r="A199" s="4" t="s">
        <v>0</v>
      </c>
      <c r="B199" s="4" t="s">
        <v>6</v>
      </c>
      <c r="C199" s="4" t="s">
        <v>21</v>
      </c>
      <c r="D199" s="4">
        <v>2022</v>
      </c>
      <c r="E199" s="4">
        <v>292682.61261761619</v>
      </c>
      <c r="F199" s="4" t="s">
        <v>29</v>
      </c>
    </row>
    <row r="200" spans="1:6" x14ac:dyDescent="0.25">
      <c r="A200" s="4" t="s">
        <v>0</v>
      </c>
      <c r="B200" s="4" t="s">
        <v>6</v>
      </c>
      <c r="C200" s="4" t="s">
        <v>21</v>
      </c>
      <c r="D200" s="4">
        <v>2023</v>
      </c>
      <c r="E200" s="4">
        <v>305074.30851720634</v>
      </c>
      <c r="F200" s="4" t="s">
        <v>29</v>
      </c>
    </row>
    <row r="201" spans="1:6" x14ac:dyDescent="0.25">
      <c r="A201" s="4" t="s">
        <v>0</v>
      </c>
      <c r="B201" s="4" t="s">
        <v>6</v>
      </c>
      <c r="C201" s="4" t="s">
        <v>21</v>
      </c>
      <c r="D201" s="4">
        <v>2024</v>
      </c>
      <c r="E201" s="4">
        <v>321274.03996566811</v>
      </c>
      <c r="F201" s="4" t="s">
        <v>29</v>
      </c>
    </row>
    <row r="202" spans="1:6" x14ac:dyDescent="0.25">
      <c r="A202" s="4" t="s">
        <v>0</v>
      </c>
      <c r="B202" s="4" t="s">
        <v>6</v>
      </c>
      <c r="C202" s="4" t="s">
        <v>21</v>
      </c>
      <c r="D202" s="4">
        <v>2025</v>
      </c>
      <c r="E202" s="4">
        <v>335609.62472703506</v>
      </c>
      <c r="F202" s="4" t="s">
        <v>29</v>
      </c>
    </row>
    <row r="203" spans="1:6" x14ac:dyDescent="0.25">
      <c r="A203" s="4" t="s">
        <v>0</v>
      </c>
      <c r="B203" s="4" t="s">
        <v>6</v>
      </c>
      <c r="C203" s="4" t="s">
        <v>21</v>
      </c>
      <c r="D203" s="4">
        <v>2026</v>
      </c>
      <c r="E203" s="4">
        <v>347611.63784378621</v>
      </c>
      <c r="F203" s="4" t="s">
        <v>29</v>
      </c>
    </row>
    <row r="204" spans="1:6" x14ac:dyDescent="0.25">
      <c r="A204" s="4" t="s">
        <v>0</v>
      </c>
      <c r="B204" s="4" t="s">
        <v>6</v>
      </c>
      <c r="C204" s="4" t="s">
        <v>21</v>
      </c>
      <c r="D204" s="4">
        <v>2027</v>
      </c>
      <c r="E204" s="4">
        <v>357438.79739750124</v>
      </c>
      <c r="F204" s="4" t="s">
        <v>29</v>
      </c>
    </row>
    <row r="205" spans="1:6" x14ac:dyDescent="0.25">
      <c r="A205" s="4" t="s">
        <v>0</v>
      </c>
      <c r="B205" s="4" t="s">
        <v>6</v>
      </c>
      <c r="C205" s="4" t="s">
        <v>21</v>
      </c>
      <c r="D205" s="4">
        <v>2028</v>
      </c>
      <c r="E205" s="4">
        <v>363322.19141001039</v>
      </c>
      <c r="F205" s="4" t="s">
        <v>29</v>
      </c>
    </row>
    <row r="206" spans="1:6" x14ac:dyDescent="0.25">
      <c r="A206" s="4" t="s">
        <v>0</v>
      </c>
      <c r="B206" s="4" t="s">
        <v>6</v>
      </c>
      <c r="C206" s="4" t="s">
        <v>21</v>
      </c>
      <c r="D206" s="4">
        <v>2029</v>
      </c>
      <c r="E206" s="4">
        <v>374347.36929064599</v>
      </c>
      <c r="F206" s="4" t="s">
        <v>29</v>
      </c>
    </row>
    <row r="207" spans="1:6" x14ac:dyDescent="0.25">
      <c r="A207" s="4" t="s">
        <v>0</v>
      </c>
      <c r="B207" s="4" t="s">
        <v>6</v>
      </c>
      <c r="C207" s="4" t="s">
        <v>21</v>
      </c>
      <c r="D207" s="4">
        <v>2030</v>
      </c>
      <c r="E207" s="4">
        <v>389463.41547696618</v>
      </c>
      <c r="F207" s="4" t="s">
        <v>29</v>
      </c>
    </row>
    <row r="208" spans="1:6" x14ac:dyDescent="0.25">
      <c r="A208" s="4" t="s">
        <v>0</v>
      </c>
      <c r="B208" s="4" t="s">
        <v>6</v>
      </c>
      <c r="C208" s="4" t="s">
        <v>21</v>
      </c>
      <c r="D208" s="4">
        <v>2031</v>
      </c>
      <c r="E208" s="4">
        <v>404762.48132987262</v>
      </c>
      <c r="F208" s="4" t="s">
        <v>29</v>
      </c>
    </row>
    <row r="209" spans="1:6" x14ac:dyDescent="0.25">
      <c r="A209" s="4" t="s">
        <v>0</v>
      </c>
      <c r="B209" s="4" t="s">
        <v>6</v>
      </c>
      <c r="C209" s="4" t="s">
        <v>21</v>
      </c>
      <c r="D209" s="4">
        <v>2032</v>
      </c>
      <c r="E209" s="4">
        <v>415366.21752313961</v>
      </c>
      <c r="F209" s="4" t="s">
        <v>29</v>
      </c>
    </row>
    <row r="210" spans="1:6" x14ac:dyDescent="0.25">
      <c r="A210" s="4" t="s">
        <v>0</v>
      </c>
      <c r="B210" s="4" t="s">
        <v>6</v>
      </c>
      <c r="C210" s="4" t="s">
        <v>21</v>
      </c>
      <c r="D210" s="4">
        <v>2033</v>
      </c>
      <c r="E210" s="4">
        <v>423553.11931871559</v>
      </c>
      <c r="F210" s="4" t="s">
        <v>29</v>
      </c>
    </row>
    <row r="211" spans="1:6" x14ac:dyDescent="0.25">
      <c r="A211" s="4" t="s">
        <v>0</v>
      </c>
      <c r="B211" s="4" t="s">
        <v>6</v>
      </c>
      <c r="C211" s="4" t="s">
        <v>21</v>
      </c>
      <c r="D211" s="4">
        <v>2034</v>
      </c>
      <c r="E211" s="4">
        <v>427446.44898418512</v>
      </c>
      <c r="F211" s="4" t="s">
        <v>29</v>
      </c>
    </row>
    <row r="212" spans="1:6" x14ac:dyDescent="0.25">
      <c r="A212" s="4" t="s">
        <v>0</v>
      </c>
      <c r="B212" s="4" t="s">
        <v>6</v>
      </c>
      <c r="C212" s="4" t="s">
        <v>21</v>
      </c>
      <c r="D212" s="4">
        <v>2035</v>
      </c>
      <c r="E212" s="4">
        <v>431999.06093894248</v>
      </c>
      <c r="F212" s="4" t="s">
        <v>29</v>
      </c>
    </row>
    <row r="213" spans="1:6" x14ac:dyDescent="0.25">
      <c r="A213" s="4" t="s">
        <v>0</v>
      </c>
      <c r="B213" s="4" t="s">
        <v>6</v>
      </c>
      <c r="C213" s="4" t="s">
        <v>21</v>
      </c>
      <c r="D213" s="4">
        <v>2036</v>
      </c>
      <c r="E213" s="4">
        <v>435121.59766249108</v>
      </c>
      <c r="F213" s="4" t="s">
        <v>29</v>
      </c>
    </row>
    <row r="214" spans="1:6" x14ac:dyDescent="0.25">
      <c r="A214" s="4" t="s">
        <v>0</v>
      </c>
      <c r="B214" s="4" t="s">
        <v>6</v>
      </c>
      <c r="C214" s="4" t="s">
        <v>21</v>
      </c>
      <c r="D214" s="4">
        <v>2037</v>
      </c>
      <c r="E214" s="4">
        <v>438919.68093110045</v>
      </c>
      <c r="F214" s="4" t="s">
        <v>29</v>
      </c>
    </row>
    <row r="215" spans="1:6" x14ac:dyDescent="0.25">
      <c r="A215" s="4" t="s">
        <v>0</v>
      </c>
      <c r="B215" s="4" t="s">
        <v>6</v>
      </c>
      <c r="C215" s="4" t="s">
        <v>21</v>
      </c>
      <c r="D215" s="4">
        <v>2038</v>
      </c>
      <c r="E215" s="4">
        <v>442581.9779715378</v>
      </c>
      <c r="F215" s="4" t="s">
        <v>29</v>
      </c>
    </row>
    <row r="216" spans="1:6" x14ac:dyDescent="0.25">
      <c r="A216" s="4" t="s">
        <v>0</v>
      </c>
      <c r="B216" s="4" t="s">
        <v>6</v>
      </c>
      <c r="C216" s="4" t="s">
        <v>21</v>
      </c>
      <c r="D216" s="4">
        <v>2039</v>
      </c>
      <c r="E216" s="4">
        <v>445484.32281426439</v>
      </c>
      <c r="F216" s="4" t="s">
        <v>29</v>
      </c>
    </row>
    <row r="217" spans="1:6" x14ac:dyDescent="0.25">
      <c r="A217" s="4" t="s">
        <v>0</v>
      </c>
      <c r="B217" s="4" t="s">
        <v>6</v>
      </c>
      <c r="C217" s="4" t="s">
        <v>21</v>
      </c>
      <c r="D217" s="4">
        <v>2040</v>
      </c>
      <c r="E217" s="4">
        <v>448409.4473377855</v>
      </c>
      <c r="F217" s="4" t="s">
        <v>29</v>
      </c>
    </row>
    <row r="218" spans="1:6" x14ac:dyDescent="0.25">
      <c r="A218" s="4" t="s">
        <v>0</v>
      </c>
      <c r="B218" s="4" t="s">
        <v>23</v>
      </c>
      <c r="C218" s="4" t="s">
        <v>21</v>
      </c>
      <c r="D218" s="4">
        <v>2005</v>
      </c>
      <c r="E218" s="4">
        <v>411638.31634344597</v>
      </c>
      <c r="F218" s="4" t="s">
        <v>29</v>
      </c>
    </row>
    <row r="219" spans="1:6" x14ac:dyDescent="0.25">
      <c r="A219" s="4" t="s">
        <v>0</v>
      </c>
      <c r="B219" s="4" t="s">
        <v>23</v>
      </c>
      <c r="C219" s="4" t="s">
        <v>21</v>
      </c>
      <c r="D219" s="4">
        <v>2006</v>
      </c>
      <c r="E219" s="4">
        <v>440428.42634664616</v>
      </c>
      <c r="F219" s="4" t="s">
        <v>29</v>
      </c>
    </row>
    <row r="220" spans="1:6" x14ac:dyDescent="0.25">
      <c r="A220" s="4" t="s">
        <v>0</v>
      </c>
      <c r="B220" s="4" t="s">
        <v>23</v>
      </c>
      <c r="C220" s="4" t="s">
        <v>21</v>
      </c>
      <c r="D220" s="4">
        <v>2007</v>
      </c>
      <c r="E220" s="4">
        <v>457779.35539810546</v>
      </c>
      <c r="F220" s="4" t="s">
        <v>29</v>
      </c>
    </row>
    <row r="221" spans="1:6" x14ac:dyDescent="0.25">
      <c r="A221" s="4" t="s">
        <v>0</v>
      </c>
      <c r="B221" s="4" t="s">
        <v>23</v>
      </c>
      <c r="C221" s="4" t="s">
        <v>21</v>
      </c>
      <c r="D221" s="4">
        <v>2008</v>
      </c>
      <c r="E221" s="4">
        <v>448246.58333333337</v>
      </c>
      <c r="F221" s="4" t="s">
        <v>29</v>
      </c>
    </row>
    <row r="222" spans="1:6" x14ac:dyDescent="0.25">
      <c r="A222" s="4" t="s">
        <v>0</v>
      </c>
      <c r="B222" s="4" t="s">
        <v>23</v>
      </c>
      <c r="C222" s="4" t="s">
        <v>21</v>
      </c>
      <c r="D222" s="4">
        <v>2009</v>
      </c>
      <c r="E222" s="4">
        <v>454605.8598406298</v>
      </c>
      <c r="F222" s="4" t="s">
        <v>29</v>
      </c>
    </row>
    <row r="223" spans="1:6" x14ac:dyDescent="0.25">
      <c r="A223" s="4" t="s">
        <v>0</v>
      </c>
      <c r="B223" s="4" t="s">
        <v>23</v>
      </c>
      <c r="C223" s="4" t="s">
        <v>21</v>
      </c>
      <c r="D223" s="4">
        <v>2010</v>
      </c>
      <c r="E223" s="4">
        <v>474322.64369997161</v>
      </c>
      <c r="F223" s="4" t="s">
        <v>29</v>
      </c>
    </row>
    <row r="224" spans="1:6" x14ac:dyDescent="0.25">
      <c r="A224" s="4" t="s">
        <v>0</v>
      </c>
      <c r="B224" s="4" t="s">
        <v>23</v>
      </c>
      <c r="C224" s="4" t="s">
        <v>21</v>
      </c>
      <c r="D224" s="4">
        <v>2011</v>
      </c>
      <c r="E224" s="4">
        <v>499452.60662104306</v>
      </c>
      <c r="F224" s="4" t="s">
        <v>29</v>
      </c>
    </row>
    <row r="225" spans="1:6" x14ac:dyDescent="0.25">
      <c r="A225" s="4" t="s">
        <v>0</v>
      </c>
      <c r="B225" s="4" t="s">
        <v>23</v>
      </c>
      <c r="C225" s="4" t="s">
        <v>21</v>
      </c>
      <c r="D225" s="4">
        <v>2012</v>
      </c>
      <c r="E225" s="4">
        <v>537046.95684612216</v>
      </c>
      <c r="F225" s="4" t="s">
        <v>29</v>
      </c>
    </row>
    <row r="226" spans="1:6" x14ac:dyDescent="0.25">
      <c r="A226" s="4" t="s">
        <v>0</v>
      </c>
      <c r="B226" s="4" t="s">
        <v>23</v>
      </c>
      <c r="C226" s="4" t="s">
        <v>21</v>
      </c>
      <c r="D226" s="4">
        <v>2013</v>
      </c>
      <c r="E226" s="4">
        <v>575641.28997500683</v>
      </c>
      <c r="F226" s="4" t="s">
        <v>29</v>
      </c>
    </row>
    <row r="227" spans="1:6" x14ac:dyDescent="0.25">
      <c r="A227" s="4" t="s">
        <v>0</v>
      </c>
      <c r="B227" s="4" t="s">
        <v>23</v>
      </c>
      <c r="C227" s="4" t="s">
        <v>21</v>
      </c>
      <c r="D227" s="4">
        <v>2014</v>
      </c>
      <c r="E227" s="4">
        <v>613070.82869441644</v>
      </c>
      <c r="F227" s="4" t="s">
        <v>29</v>
      </c>
    </row>
    <row r="228" spans="1:6" x14ac:dyDescent="0.25">
      <c r="A228" s="4" t="s">
        <v>0</v>
      </c>
      <c r="B228" s="4" t="s">
        <v>23</v>
      </c>
      <c r="C228" s="4" t="s">
        <v>21</v>
      </c>
      <c r="D228" s="4">
        <v>2015</v>
      </c>
      <c r="E228" s="4">
        <v>638821.40372138773</v>
      </c>
      <c r="F228" s="4" t="s">
        <v>29</v>
      </c>
    </row>
    <row r="229" spans="1:6" x14ac:dyDescent="0.25">
      <c r="A229" s="4" t="s">
        <v>0</v>
      </c>
      <c r="B229" s="4" t="s">
        <v>23</v>
      </c>
      <c r="C229" s="4" t="s">
        <v>21</v>
      </c>
      <c r="D229" s="4">
        <v>2016</v>
      </c>
      <c r="E229" s="4">
        <v>636569.01614092244</v>
      </c>
      <c r="F229" s="4" t="s">
        <v>29</v>
      </c>
    </row>
    <row r="230" spans="1:6" x14ac:dyDescent="0.25">
      <c r="A230" s="4" t="s">
        <v>0</v>
      </c>
      <c r="B230" s="4" t="s">
        <v>23</v>
      </c>
      <c r="C230" s="4" t="s">
        <v>21</v>
      </c>
      <c r="D230" s="4">
        <v>2017</v>
      </c>
      <c r="E230" s="4">
        <v>692670.17989358678</v>
      </c>
      <c r="F230" s="4" t="s">
        <v>29</v>
      </c>
    </row>
    <row r="231" spans="1:6" x14ac:dyDescent="0.25">
      <c r="A231" s="4" t="s">
        <v>0</v>
      </c>
      <c r="B231" s="4" t="s">
        <v>23</v>
      </c>
      <c r="C231" s="4" t="s">
        <v>21</v>
      </c>
      <c r="D231" s="4">
        <v>2018</v>
      </c>
      <c r="E231" s="4">
        <v>747505.27355614631</v>
      </c>
      <c r="F231" s="4" t="s">
        <v>29</v>
      </c>
    </row>
    <row r="232" spans="1:6" x14ac:dyDescent="0.25">
      <c r="A232" s="4" t="s">
        <v>0</v>
      </c>
      <c r="B232" s="4" t="s">
        <v>23</v>
      </c>
      <c r="C232" s="4" t="s">
        <v>21</v>
      </c>
      <c r="D232" s="4">
        <v>2019</v>
      </c>
      <c r="E232" s="4">
        <v>786496.97576151974</v>
      </c>
      <c r="F232" s="4" t="s">
        <v>29</v>
      </c>
    </row>
    <row r="233" spans="1:6" x14ac:dyDescent="0.25">
      <c r="A233" s="4" t="s">
        <v>0</v>
      </c>
      <c r="B233" s="4" t="s">
        <v>23</v>
      </c>
      <c r="C233" s="4" t="s">
        <v>21</v>
      </c>
      <c r="D233" s="4">
        <v>2020</v>
      </c>
      <c r="E233" s="4">
        <v>801518.6314166456</v>
      </c>
      <c r="F233" s="4" t="s">
        <v>29</v>
      </c>
    </row>
    <row r="234" spans="1:6" x14ac:dyDescent="0.25">
      <c r="A234" s="4" t="s">
        <v>0</v>
      </c>
      <c r="B234" s="4" t="s">
        <v>23</v>
      </c>
      <c r="C234" s="4" t="s">
        <v>21</v>
      </c>
      <c r="D234" s="4">
        <v>2021</v>
      </c>
      <c r="E234" s="4">
        <v>810843.74511792383</v>
      </c>
      <c r="F234" s="4" t="s">
        <v>29</v>
      </c>
    </row>
    <row r="235" spans="1:6" x14ac:dyDescent="0.25">
      <c r="A235" s="4" t="s">
        <v>0</v>
      </c>
      <c r="B235" s="4" t="s">
        <v>23</v>
      </c>
      <c r="C235" s="4" t="s">
        <v>21</v>
      </c>
      <c r="D235" s="4">
        <v>2022</v>
      </c>
      <c r="E235" s="4">
        <v>817376.46849440259</v>
      </c>
      <c r="F235" s="4" t="s">
        <v>29</v>
      </c>
    </row>
    <row r="236" spans="1:6" x14ac:dyDescent="0.25">
      <c r="A236" s="4" t="s">
        <v>0</v>
      </c>
      <c r="B236" s="4" t="s">
        <v>23</v>
      </c>
      <c r="C236" s="4" t="s">
        <v>21</v>
      </c>
      <c r="D236" s="4">
        <v>2023</v>
      </c>
      <c r="E236" s="4">
        <v>834062.9698944696</v>
      </c>
      <c r="F236" s="4" t="s">
        <v>29</v>
      </c>
    </row>
    <row r="237" spans="1:6" x14ac:dyDescent="0.25">
      <c r="A237" s="4" t="s">
        <v>0</v>
      </c>
      <c r="B237" s="4" t="s">
        <v>23</v>
      </c>
      <c r="C237" s="4" t="s">
        <v>21</v>
      </c>
      <c r="D237" s="4">
        <v>2024</v>
      </c>
      <c r="E237" s="4">
        <v>852721.41552028817</v>
      </c>
      <c r="F237" s="4" t="s">
        <v>29</v>
      </c>
    </row>
    <row r="238" spans="1:6" x14ac:dyDescent="0.25">
      <c r="A238" s="4" t="s">
        <v>0</v>
      </c>
      <c r="B238" s="4" t="s">
        <v>23</v>
      </c>
      <c r="C238" s="4" t="s">
        <v>21</v>
      </c>
      <c r="D238" s="4">
        <v>2025</v>
      </c>
      <c r="E238" s="4">
        <v>869184.43494769023</v>
      </c>
      <c r="F238" s="4" t="s">
        <v>29</v>
      </c>
    </row>
    <row r="239" spans="1:6" x14ac:dyDescent="0.25">
      <c r="A239" s="4" t="s">
        <v>0</v>
      </c>
      <c r="B239" s="4" t="s">
        <v>23</v>
      </c>
      <c r="C239" s="4" t="s">
        <v>21</v>
      </c>
      <c r="D239" s="4">
        <v>2026</v>
      </c>
      <c r="E239" s="4">
        <v>881820.25261906162</v>
      </c>
      <c r="F239" s="4" t="s">
        <v>29</v>
      </c>
    </row>
    <row r="240" spans="1:6" x14ac:dyDescent="0.25">
      <c r="A240" s="4" t="s">
        <v>0</v>
      </c>
      <c r="B240" s="4" t="s">
        <v>23</v>
      </c>
      <c r="C240" s="4" t="s">
        <v>21</v>
      </c>
      <c r="D240" s="4">
        <v>2027</v>
      </c>
      <c r="E240" s="4">
        <v>893036.11728624115</v>
      </c>
      <c r="F240" s="4" t="s">
        <v>29</v>
      </c>
    </row>
    <row r="241" spans="1:6" x14ac:dyDescent="0.25">
      <c r="A241" s="4" t="s">
        <v>0</v>
      </c>
      <c r="B241" s="4" t="s">
        <v>23</v>
      </c>
      <c r="C241" s="4" t="s">
        <v>21</v>
      </c>
      <c r="D241" s="4">
        <v>2028</v>
      </c>
      <c r="E241" s="4">
        <v>901539.38293578336</v>
      </c>
      <c r="F241" s="4" t="s">
        <v>29</v>
      </c>
    </row>
    <row r="242" spans="1:6" x14ac:dyDescent="0.25">
      <c r="A242" s="4" t="s">
        <v>0</v>
      </c>
      <c r="B242" s="4" t="s">
        <v>23</v>
      </c>
      <c r="C242" s="4" t="s">
        <v>21</v>
      </c>
      <c r="D242" s="4">
        <v>2029</v>
      </c>
      <c r="E242" s="4">
        <v>916579.56623077532</v>
      </c>
      <c r="F242" s="4" t="s">
        <v>29</v>
      </c>
    </row>
    <row r="243" spans="1:6" x14ac:dyDescent="0.25">
      <c r="A243" s="4" t="s">
        <v>0</v>
      </c>
      <c r="B243" s="4" t="s">
        <v>23</v>
      </c>
      <c r="C243" s="4" t="s">
        <v>21</v>
      </c>
      <c r="D243" s="4">
        <v>2030</v>
      </c>
      <c r="E243" s="4">
        <v>935307.5331021623</v>
      </c>
      <c r="F243" s="4" t="s">
        <v>29</v>
      </c>
    </row>
    <row r="244" spans="1:6" x14ac:dyDescent="0.25">
      <c r="A244" s="4" t="s">
        <v>0</v>
      </c>
      <c r="B244" s="4" t="s">
        <v>23</v>
      </c>
      <c r="C244" s="4" t="s">
        <v>21</v>
      </c>
      <c r="D244" s="4">
        <v>2031</v>
      </c>
      <c r="E244" s="4">
        <v>953123.68391825247</v>
      </c>
      <c r="F244" s="4" t="s">
        <v>29</v>
      </c>
    </row>
    <row r="245" spans="1:6" x14ac:dyDescent="0.25">
      <c r="A245" s="4" t="s">
        <v>0</v>
      </c>
      <c r="B245" s="4" t="s">
        <v>23</v>
      </c>
      <c r="C245" s="4" t="s">
        <v>21</v>
      </c>
      <c r="D245" s="4">
        <v>2032</v>
      </c>
      <c r="E245" s="4">
        <v>965697.40968638891</v>
      </c>
      <c r="F245" s="4" t="s">
        <v>29</v>
      </c>
    </row>
    <row r="246" spans="1:6" x14ac:dyDescent="0.25">
      <c r="A246" s="4" t="s">
        <v>0</v>
      </c>
      <c r="B246" s="4" t="s">
        <v>23</v>
      </c>
      <c r="C246" s="4" t="s">
        <v>21</v>
      </c>
      <c r="D246" s="4">
        <v>2033</v>
      </c>
      <c r="E246" s="4">
        <v>977553.27986890357</v>
      </c>
      <c r="F246" s="4" t="s">
        <v>29</v>
      </c>
    </row>
    <row r="247" spans="1:6" x14ac:dyDescent="0.25">
      <c r="A247" s="4" t="s">
        <v>0</v>
      </c>
      <c r="B247" s="4" t="s">
        <v>23</v>
      </c>
      <c r="C247" s="4" t="s">
        <v>21</v>
      </c>
      <c r="D247" s="4">
        <v>2034</v>
      </c>
      <c r="E247" s="4">
        <v>986221.54727523704</v>
      </c>
      <c r="F247" s="4" t="s">
        <v>29</v>
      </c>
    </row>
    <row r="248" spans="1:6" x14ac:dyDescent="0.25">
      <c r="A248" s="4" t="s">
        <v>0</v>
      </c>
      <c r="B248" s="4" t="s">
        <v>23</v>
      </c>
      <c r="C248" s="4" t="s">
        <v>21</v>
      </c>
      <c r="D248" s="4">
        <v>2035</v>
      </c>
      <c r="E248" s="4">
        <v>996378.00755292468</v>
      </c>
      <c r="F248" s="4" t="s">
        <v>29</v>
      </c>
    </row>
    <row r="249" spans="1:6" x14ac:dyDescent="0.25">
      <c r="A249" s="4" t="s">
        <v>0</v>
      </c>
      <c r="B249" s="4" t="s">
        <v>23</v>
      </c>
      <c r="C249" s="4" t="s">
        <v>21</v>
      </c>
      <c r="D249" s="4">
        <v>2036</v>
      </c>
      <c r="E249" s="4">
        <v>1004065.7383053303</v>
      </c>
      <c r="F249" s="4" t="s">
        <v>29</v>
      </c>
    </row>
    <row r="250" spans="1:6" x14ac:dyDescent="0.25">
      <c r="A250" s="4" t="s">
        <v>0</v>
      </c>
      <c r="B250" s="4" t="s">
        <v>23</v>
      </c>
      <c r="C250" s="4" t="s">
        <v>21</v>
      </c>
      <c r="D250" s="4">
        <v>2037</v>
      </c>
      <c r="E250" s="4">
        <v>1011976.4591029834</v>
      </c>
      <c r="F250" s="4" t="s">
        <v>29</v>
      </c>
    </row>
    <row r="251" spans="1:6" x14ac:dyDescent="0.25">
      <c r="A251" s="4" t="s">
        <v>0</v>
      </c>
      <c r="B251" s="4" t="s">
        <v>23</v>
      </c>
      <c r="C251" s="4" t="s">
        <v>21</v>
      </c>
      <c r="D251" s="4">
        <v>2038</v>
      </c>
      <c r="E251" s="4">
        <v>1019122.7647686021</v>
      </c>
      <c r="F251" s="4" t="s">
        <v>29</v>
      </c>
    </row>
    <row r="252" spans="1:6" x14ac:dyDescent="0.25">
      <c r="A252" s="4" t="s">
        <v>0</v>
      </c>
      <c r="B252" s="4" t="s">
        <v>23</v>
      </c>
      <c r="C252" s="4" t="s">
        <v>21</v>
      </c>
      <c r="D252" s="4">
        <v>2039</v>
      </c>
      <c r="E252" s="4">
        <v>1025662.3343268898</v>
      </c>
      <c r="F252" s="4" t="s">
        <v>29</v>
      </c>
    </row>
    <row r="253" spans="1:6" x14ac:dyDescent="0.25">
      <c r="A253" s="4" t="s">
        <v>0</v>
      </c>
      <c r="B253" s="4" t="s">
        <v>23</v>
      </c>
      <c r="C253" s="4" t="s">
        <v>21</v>
      </c>
      <c r="D253" s="4">
        <v>2040</v>
      </c>
      <c r="E253" s="4">
        <v>1032287.4057280656</v>
      </c>
      <c r="F253" s="4" t="s">
        <v>29</v>
      </c>
    </row>
    <row r="254" spans="1:6" x14ac:dyDescent="0.25">
      <c r="A254" s="4" t="s">
        <v>73</v>
      </c>
      <c r="B254" s="4" t="s">
        <v>1</v>
      </c>
      <c r="C254" s="4" t="s">
        <v>21</v>
      </c>
      <c r="D254" s="4">
        <v>2005</v>
      </c>
      <c r="E254" s="4">
        <v>4645.0814215309774</v>
      </c>
      <c r="F254" s="4" t="s">
        <v>29</v>
      </c>
    </row>
    <row r="255" spans="1:6" x14ac:dyDescent="0.25">
      <c r="A255" s="4" t="s">
        <v>73</v>
      </c>
      <c r="B255" s="4" t="s">
        <v>1</v>
      </c>
      <c r="C255" s="4" t="s">
        <v>21</v>
      </c>
      <c r="D255" s="4">
        <v>2006</v>
      </c>
      <c r="E255" s="4">
        <v>4506.6333115719408</v>
      </c>
      <c r="F255" s="4" t="s">
        <v>29</v>
      </c>
    </row>
    <row r="256" spans="1:6" x14ac:dyDescent="0.25">
      <c r="A256" s="4" t="s">
        <v>73</v>
      </c>
      <c r="B256" s="4" t="s">
        <v>1</v>
      </c>
      <c r="C256" s="4" t="s">
        <v>21</v>
      </c>
      <c r="D256" s="4">
        <v>2007</v>
      </c>
      <c r="E256" s="4">
        <v>4045.0273214285717</v>
      </c>
      <c r="F256" s="4" t="s">
        <v>29</v>
      </c>
    </row>
    <row r="257" spans="1:6" x14ac:dyDescent="0.25">
      <c r="A257" s="4" t="s">
        <v>73</v>
      </c>
      <c r="B257" s="4" t="s">
        <v>1</v>
      </c>
      <c r="C257" s="4" t="s">
        <v>21</v>
      </c>
      <c r="D257" s="4">
        <v>2008</v>
      </c>
      <c r="E257" s="4">
        <v>3676.5833333333326</v>
      </c>
      <c r="F257" s="4" t="s">
        <v>29</v>
      </c>
    </row>
    <row r="258" spans="1:6" x14ac:dyDescent="0.25">
      <c r="A258" s="4" t="s">
        <v>73</v>
      </c>
      <c r="B258" s="4" t="s">
        <v>1</v>
      </c>
      <c r="C258" s="4" t="s">
        <v>21</v>
      </c>
      <c r="D258" s="4">
        <v>2009</v>
      </c>
      <c r="E258" s="4">
        <v>3498.2216820276499</v>
      </c>
      <c r="F258" s="4" t="s">
        <v>29</v>
      </c>
    </row>
    <row r="259" spans="1:6" x14ac:dyDescent="0.25">
      <c r="A259" s="4" t="s">
        <v>73</v>
      </c>
      <c r="B259" s="4" t="s">
        <v>1</v>
      </c>
      <c r="C259" s="4" t="s">
        <v>21</v>
      </c>
      <c r="D259" s="4">
        <v>2010</v>
      </c>
      <c r="E259" s="4">
        <v>3464.9128584229393</v>
      </c>
      <c r="F259" s="4" t="s">
        <v>29</v>
      </c>
    </row>
    <row r="260" spans="1:6" x14ac:dyDescent="0.25">
      <c r="A260" s="4" t="s">
        <v>73</v>
      </c>
      <c r="B260" s="4" t="s">
        <v>1</v>
      </c>
      <c r="C260" s="4" t="s">
        <v>21</v>
      </c>
      <c r="D260" s="4">
        <v>2011</v>
      </c>
      <c r="E260" s="4">
        <v>3237.5430209933434</v>
      </c>
      <c r="F260" s="4" t="s">
        <v>29</v>
      </c>
    </row>
    <row r="261" spans="1:6" x14ac:dyDescent="0.25">
      <c r="A261" s="4" t="s">
        <v>73</v>
      </c>
      <c r="B261" s="4" t="s">
        <v>1</v>
      </c>
      <c r="C261" s="4" t="s">
        <v>21</v>
      </c>
      <c r="D261" s="4">
        <v>2012</v>
      </c>
      <c r="E261" s="4">
        <v>3325.7563966135208</v>
      </c>
      <c r="F261" s="4" t="s">
        <v>29</v>
      </c>
    </row>
    <row r="262" spans="1:6" x14ac:dyDescent="0.25">
      <c r="A262" s="4" t="s">
        <v>73</v>
      </c>
      <c r="B262" s="4" t="s">
        <v>1</v>
      </c>
      <c r="C262" s="4" t="s">
        <v>21</v>
      </c>
      <c r="D262" s="4">
        <v>2013</v>
      </c>
      <c r="E262" s="4">
        <v>3123.6676024065546</v>
      </c>
      <c r="F262" s="4" t="s">
        <v>29</v>
      </c>
    </row>
    <row r="263" spans="1:6" x14ac:dyDescent="0.25">
      <c r="A263" s="4" t="s">
        <v>73</v>
      </c>
      <c r="B263" s="4" t="s">
        <v>1</v>
      </c>
      <c r="C263" s="4" t="s">
        <v>21</v>
      </c>
      <c r="D263" s="4">
        <v>2014</v>
      </c>
      <c r="E263" s="4">
        <v>3412.9239823348694</v>
      </c>
      <c r="F263" s="4" t="s">
        <v>29</v>
      </c>
    </row>
    <row r="264" spans="1:6" x14ac:dyDescent="0.25">
      <c r="A264" s="4" t="s">
        <v>73</v>
      </c>
      <c r="B264" s="4" t="s">
        <v>1</v>
      </c>
      <c r="C264" s="4" t="s">
        <v>21</v>
      </c>
      <c r="D264" s="4">
        <v>2015</v>
      </c>
      <c r="E264" s="4">
        <v>3376.5470302099329</v>
      </c>
      <c r="F264" s="4" t="s">
        <v>29</v>
      </c>
    </row>
    <row r="265" spans="1:6" x14ac:dyDescent="0.25">
      <c r="A265" s="4" t="s">
        <v>73</v>
      </c>
      <c r="B265" s="4" t="s">
        <v>1</v>
      </c>
      <c r="C265" s="4" t="s">
        <v>21</v>
      </c>
      <c r="D265" s="4">
        <v>2016</v>
      </c>
      <c r="E265" s="4">
        <v>3694.2616858237539</v>
      </c>
      <c r="F265" s="4" t="s">
        <v>29</v>
      </c>
    </row>
    <row r="266" spans="1:6" x14ac:dyDescent="0.25">
      <c r="A266" s="4" t="s">
        <v>73</v>
      </c>
      <c r="B266" s="4" t="s">
        <v>1</v>
      </c>
      <c r="C266" s="4" t="s">
        <v>21</v>
      </c>
      <c r="D266" s="4">
        <v>2017</v>
      </c>
      <c r="E266" s="4">
        <v>3350.1810418182517</v>
      </c>
      <c r="F266" s="4" t="s">
        <v>29</v>
      </c>
    </row>
    <row r="267" spans="1:6" x14ac:dyDescent="0.25">
      <c r="A267" s="4" t="s">
        <v>73</v>
      </c>
      <c r="B267" s="4" t="s">
        <v>1</v>
      </c>
      <c r="C267" s="4" t="s">
        <v>21</v>
      </c>
      <c r="D267" s="4">
        <v>2018</v>
      </c>
      <c r="E267" s="4">
        <v>3193.9120688736821</v>
      </c>
      <c r="F267" s="4" t="s">
        <v>29</v>
      </c>
    </row>
    <row r="268" spans="1:6" x14ac:dyDescent="0.25">
      <c r="A268" s="4" t="s">
        <v>73</v>
      </c>
      <c r="B268" s="4" t="s">
        <v>1</v>
      </c>
      <c r="C268" s="4" t="s">
        <v>21</v>
      </c>
      <c r="D268" s="4">
        <v>2019</v>
      </c>
      <c r="E268" s="4">
        <v>3031.5244929963951</v>
      </c>
      <c r="F268" s="4" t="s">
        <v>29</v>
      </c>
    </row>
    <row r="269" spans="1:6" x14ac:dyDescent="0.25">
      <c r="A269" s="4" t="s">
        <v>73</v>
      </c>
      <c r="B269" s="4" t="s">
        <v>1</v>
      </c>
      <c r="C269" s="4" t="s">
        <v>21</v>
      </c>
      <c r="D269" s="4">
        <v>2020</v>
      </c>
      <c r="E269" s="4">
        <v>2844.4458833119847</v>
      </c>
      <c r="F269" s="4" t="s">
        <v>29</v>
      </c>
    </row>
    <row r="270" spans="1:6" x14ac:dyDescent="0.25">
      <c r="A270" s="4" t="s">
        <v>73</v>
      </c>
      <c r="B270" s="4" t="s">
        <v>1</v>
      </c>
      <c r="C270" s="4" t="s">
        <v>21</v>
      </c>
      <c r="D270" s="4">
        <v>2021</v>
      </c>
      <c r="E270" s="4">
        <v>2715.8786603007889</v>
      </c>
      <c r="F270" s="4" t="s">
        <v>29</v>
      </c>
    </row>
    <row r="271" spans="1:6" x14ac:dyDescent="0.25">
      <c r="A271" s="4" t="s">
        <v>73</v>
      </c>
      <c r="B271" s="4" t="s">
        <v>1</v>
      </c>
      <c r="C271" s="4" t="s">
        <v>21</v>
      </c>
      <c r="D271" s="4">
        <v>2022</v>
      </c>
      <c r="E271" s="4">
        <v>2636.1284514003723</v>
      </c>
      <c r="F271" s="4" t="s">
        <v>29</v>
      </c>
    </row>
    <row r="272" spans="1:6" x14ac:dyDescent="0.25">
      <c r="A272" s="4" t="s">
        <v>73</v>
      </c>
      <c r="B272" s="4" t="s">
        <v>1</v>
      </c>
      <c r="C272" s="4" t="s">
        <v>21</v>
      </c>
      <c r="D272" s="4">
        <v>2023</v>
      </c>
      <c r="E272" s="4">
        <v>2566.8420625183112</v>
      </c>
      <c r="F272" s="4" t="s">
        <v>29</v>
      </c>
    </row>
    <row r="273" spans="1:6" x14ac:dyDescent="0.25">
      <c r="A273" s="4" t="s">
        <v>73</v>
      </c>
      <c r="B273" s="4" t="s">
        <v>1</v>
      </c>
      <c r="C273" s="4" t="s">
        <v>21</v>
      </c>
      <c r="D273" s="4">
        <v>2024</v>
      </c>
      <c r="E273" s="4">
        <v>2512.8314971532914</v>
      </c>
      <c r="F273" s="4" t="s">
        <v>29</v>
      </c>
    </row>
    <row r="274" spans="1:6" x14ac:dyDescent="0.25">
      <c r="A274" s="4" t="s">
        <v>73</v>
      </c>
      <c r="B274" s="4" t="s">
        <v>1</v>
      </c>
      <c r="C274" s="4" t="s">
        <v>21</v>
      </c>
      <c r="D274" s="4">
        <v>2025</v>
      </c>
      <c r="E274" s="4">
        <v>2495.9046053920633</v>
      </c>
      <c r="F274" s="4" t="s">
        <v>29</v>
      </c>
    </row>
    <row r="275" spans="1:6" x14ac:dyDescent="0.25">
      <c r="A275" s="4" t="s">
        <v>73</v>
      </c>
      <c r="B275" s="4" t="s">
        <v>1</v>
      </c>
      <c r="C275" s="4" t="s">
        <v>21</v>
      </c>
      <c r="D275" s="4">
        <v>2026</v>
      </c>
      <c r="E275" s="4">
        <v>2486.1824787426904</v>
      </c>
      <c r="F275" s="4" t="s">
        <v>29</v>
      </c>
    </row>
    <row r="276" spans="1:6" x14ac:dyDescent="0.25">
      <c r="A276" s="4" t="s">
        <v>73</v>
      </c>
      <c r="B276" s="4" t="s">
        <v>1</v>
      </c>
      <c r="C276" s="4" t="s">
        <v>21</v>
      </c>
      <c r="D276" s="4">
        <v>2027</v>
      </c>
      <c r="E276" s="4">
        <v>2490.5083126447157</v>
      </c>
      <c r="F276" s="4" t="s">
        <v>29</v>
      </c>
    </row>
    <row r="277" spans="1:6" x14ac:dyDescent="0.25">
      <c r="A277" s="4" t="s">
        <v>73</v>
      </c>
      <c r="B277" s="4" t="s">
        <v>1</v>
      </c>
      <c r="C277" s="4" t="s">
        <v>21</v>
      </c>
      <c r="D277" s="4">
        <v>2028</v>
      </c>
      <c r="E277" s="4">
        <v>2507.0351702012654</v>
      </c>
      <c r="F277" s="4" t="s">
        <v>29</v>
      </c>
    </row>
    <row r="278" spans="1:6" x14ac:dyDescent="0.25">
      <c r="A278" s="4" t="s">
        <v>73</v>
      </c>
      <c r="B278" s="4" t="s">
        <v>1</v>
      </c>
      <c r="C278" s="4" t="s">
        <v>21</v>
      </c>
      <c r="D278" s="4">
        <v>2029</v>
      </c>
      <c r="E278" s="4">
        <v>2530.2048362136698</v>
      </c>
      <c r="F278" s="4" t="s">
        <v>29</v>
      </c>
    </row>
    <row r="279" spans="1:6" x14ac:dyDescent="0.25">
      <c r="A279" s="4" t="s">
        <v>73</v>
      </c>
      <c r="B279" s="4" t="s">
        <v>1</v>
      </c>
      <c r="C279" s="4" t="s">
        <v>21</v>
      </c>
      <c r="D279" s="4">
        <v>2030</v>
      </c>
      <c r="E279" s="4">
        <v>2557.1329063469057</v>
      </c>
      <c r="F279" s="4" t="s">
        <v>29</v>
      </c>
    </row>
    <row r="280" spans="1:6" x14ac:dyDescent="0.25">
      <c r="A280" s="4" t="s">
        <v>73</v>
      </c>
      <c r="B280" s="4" t="s">
        <v>1</v>
      </c>
      <c r="C280" s="4" t="s">
        <v>21</v>
      </c>
      <c r="D280" s="4">
        <v>2031</v>
      </c>
      <c r="E280" s="4">
        <v>2587.7690533707728</v>
      </c>
      <c r="F280" s="4" t="s">
        <v>29</v>
      </c>
    </row>
    <row r="281" spans="1:6" x14ac:dyDescent="0.25">
      <c r="A281" s="4" t="s">
        <v>73</v>
      </c>
      <c r="B281" s="4" t="s">
        <v>1</v>
      </c>
      <c r="C281" s="4" t="s">
        <v>21</v>
      </c>
      <c r="D281" s="4">
        <v>2032</v>
      </c>
      <c r="E281" s="4">
        <v>2624.007422483181</v>
      </c>
      <c r="F281" s="4" t="s">
        <v>29</v>
      </c>
    </row>
    <row r="282" spans="1:6" x14ac:dyDescent="0.25">
      <c r="A282" s="4" t="s">
        <v>73</v>
      </c>
      <c r="B282" s="4" t="s">
        <v>1</v>
      </c>
      <c r="C282" s="4" t="s">
        <v>21</v>
      </c>
      <c r="D282" s="4">
        <v>2033</v>
      </c>
      <c r="E282" s="4">
        <v>2665.6794373192702</v>
      </c>
      <c r="F282" s="4" t="s">
        <v>29</v>
      </c>
    </row>
    <row r="283" spans="1:6" x14ac:dyDescent="0.25">
      <c r="A283" s="4" t="s">
        <v>73</v>
      </c>
      <c r="B283" s="4" t="s">
        <v>1</v>
      </c>
      <c r="C283" s="4" t="s">
        <v>21</v>
      </c>
      <c r="D283" s="4">
        <v>2034</v>
      </c>
      <c r="E283" s="4">
        <v>2712.625301073595</v>
      </c>
      <c r="F283" s="4" t="s">
        <v>29</v>
      </c>
    </row>
    <row r="284" spans="1:6" x14ac:dyDescent="0.25">
      <c r="A284" s="4" t="s">
        <v>73</v>
      </c>
      <c r="B284" s="4" t="s">
        <v>1</v>
      </c>
      <c r="C284" s="4" t="s">
        <v>21</v>
      </c>
      <c r="D284" s="4">
        <v>2035</v>
      </c>
      <c r="E284" s="4">
        <v>2759.8365273536006</v>
      </c>
      <c r="F284" s="4" t="s">
        <v>29</v>
      </c>
    </row>
    <row r="285" spans="1:6" x14ac:dyDescent="0.25">
      <c r="A285" s="4" t="s">
        <v>73</v>
      </c>
      <c r="B285" s="4" t="s">
        <v>1</v>
      </c>
      <c r="C285" s="4" t="s">
        <v>21</v>
      </c>
      <c r="D285" s="4">
        <v>2036</v>
      </c>
      <c r="E285" s="4">
        <v>2807.5495575596183</v>
      </c>
      <c r="F285" s="4" t="s">
        <v>29</v>
      </c>
    </row>
    <row r="286" spans="1:6" x14ac:dyDescent="0.25">
      <c r="A286" s="4" t="s">
        <v>73</v>
      </c>
      <c r="B286" s="4" t="s">
        <v>1</v>
      </c>
      <c r="C286" s="4" t="s">
        <v>21</v>
      </c>
      <c r="D286" s="4">
        <v>2037</v>
      </c>
      <c r="E286" s="4">
        <v>2863.3714671264838</v>
      </c>
      <c r="F286" s="4" t="s">
        <v>29</v>
      </c>
    </row>
    <row r="287" spans="1:6" x14ac:dyDescent="0.25">
      <c r="A287" s="4" t="s">
        <v>73</v>
      </c>
      <c r="B287" s="4" t="s">
        <v>1</v>
      </c>
      <c r="C287" s="4" t="s">
        <v>21</v>
      </c>
      <c r="D287" s="4">
        <v>2038</v>
      </c>
      <c r="E287" s="4">
        <v>2923.5055539402219</v>
      </c>
      <c r="F287" s="4" t="s">
        <v>29</v>
      </c>
    </row>
    <row r="288" spans="1:6" x14ac:dyDescent="0.25">
      <c r="A288" s="4" t="s">
        <v>73</v>
      </c>
      <c r="B288" s="4" t="s">
        <v>1</v>
      </c>
      <c r="C288" s="4" t="s">
        <v>21</v>
      </c>
      <c r="D288" s="4">
        <v>2039</v>
      </c>
      <c r="E288" s="4">
        <v>2987.2788545642306</v>
      </c>
      <c r="F288" s="4" t="s">
        <v>29</v>
      </c>
    </row>
    <row r="289" spans="1:6" x14ac:dyDescent="0.25">
      <c r="A289" s="4" t="s">
        <v>73</v>
      </c>
      <c r="B289" s="4" t="s">
        <v>1</v>
      </c>
      <c r="C289" s="4" t="s">
        <v>21</v>
      </c>
      <c r="D289" s="4">
        <v>2040</v>
      </c>
      <c r="E289" s="4">
        <v>3055.6838440489678</v>
      </c>
      <c r="F289" s="4" t="s">
        <v>29</v>
      </c>
    </row>
    <row r="290" spans="1:6" x14ac:dyDescent="0.25">
      <c r="A290" s="4" t="s">
        <v>73</v>
      </c>
      <c r="B290" s="4" t="s">
        <v>2</v>
      </c>
      <c r="C290" s="4" t="s">
        <v>21</v>
      </c>
      <c r="D290" s="4">
        <v>2005</v>
      </c>
      <c r="E290" s="4">
        <v>0</v>
      </c>
      <c r="F290" s="4" t="s">
        <v>29</v>
      </c>
    </row>
    <row r="291" spans="1:6" x14ac:dyDescent="0.25">
      <c r="A291" s="4" t="s">
        <v>73</v>
      </c>
      <c r="B291" s="4" t="s">
        <v>2</v>
      </c>
      <c r="C291" s="4" t="s">
        <v>21</v>
      </c>
      <c r="D291" s="4">
        <v>2006</v>
      </c>
      <c r="E291" s="4">
        <v>0</v>
      </c>
      <c r="F291" s="4" t="s">
        <v>29</v>
      </c>
    </row>
    <row r="292" spans="1:6" x14ac:dyDescent="0.25">
      <c r="A292" s="4" t="s">
        <v>73</v>
      </c>
      <c r="B292" s="4" t="s">
        <v>2</v>
      </c>
      <c r="C292" s="4" t="s">
        <v>21</v>
      </c>
      <c r="D292" s="4">
        <v>2007</v>
      </c>
      <c r="E292" s="4">
        <v>0</v>
      </c>
      <c r="F292" s="4" t="s">
        <v>29</v>
      </c>
    </row>
    <row r="293" spans="1:6" x14ac:dyDescent="0.25">
      <c r="A293" s="4" t="s">
        <v>73</v>
      </c>
      <c r="B293" s="4" t="s">
        <v>2</v>
      </c>
      <c r="C293" s="4" t="s">
        <v>21</v>
      </c>
      <c r="D293" s="4">
        <v>2008</v>
      </c>
      <c r="E293" s="4">
        <v>0</v>
      </c>
      <c r="F293" s="4" t="s">
        <v>29</v>
      </c>
    </row>
    <row r="294" spans="1:6" x14ac:dyDescent="0.25">
      <c r="A294" s="4" t="s">
        <v>73</v>
      </c>
      <c r="B294" s="4" t="s">
        <v>2</v>
      </c>
      <c r="C294" s="4" t="s">
        <v>21</v>
      </c>
      <c r="D294" s="4">
        <v>2009</v>
      </c>
      <c r="E294" s="4">
        <v>0</v>
      </c>
      <c r="F294" s="4" t="s">
        <v>29</v>
      </c>
    </row>
    <row r="295" spans="1:6" x14ac:dyDescent="0.25">
      <c r="A295" s="4" t="s">
        <v>73</v>
      </c>
      <c r="B295" s="4" t="s">
        <v>2</v>
      </c>
      <c r="C295" s="4" t="s">
        <v>21</v>
      </c>
      <c r="D295" s="4">
        <v>2010</v>
      </c>
      <c r="E295" s="4">
        <v>0</v>
      </c>
      <c r="F295" s="4" t="s">
        <v>29</v>
      </c>
    </row>
    <row r="296" spans="1:6" x14ac:dyDescent="0.25">
      <c r="A296" s="4" t="s">
        <v>73</v>
      </c>
      <c r="B296" s="4" t="s">
        <v>2</v>
      </c>
      <c r="C296" s="4" t="s">
        <v>21</v>
      </c>
      <c r="D296" s="4">
        <v>2011</v>
      </c>
      <c r="E296" s="4">
        <v>0</v>
      </c>
      <c r="F296" s="4" t="s">
        <v>29</v>
      </c>
    </row>
    <row r="297" spans="1:6" x14ac:dyDescent="0.25">
      <c r="A297" s="4" t="s">
        <v>73</v>
      </c>
      <c r="B297" s="4" t="s">
        <v>2</v>
      </c>
      <c r="C297" s="4" t="s">
        <v>21</v>
      </c>
      <c r="D297" s="4">
        <v>2012</v>
      </c>
      <c r="E297" s="4">
        <v>0</v>
      </c>
      <c r="F297" s="4" t="s">
        <v>29</v>
      </c>
    </row>
    <row r="298" spans="1:6" x14ac:dyDescent="0.25">
      <c r="A298" s="4" t="s">
        <v>73</v>
      </c>
      <c r="B298" s="4" t="s">
        <v>2</v>
      </c>
      <c r="C298" s="4" t="s">
        <v>21</v>
      </c>
      <c r="D298" s="4">
        <v>2013</v>
      </c>
      <c r="E298" s="4">
        <v>0</v>
      </c>
      <c r="F298" s="4" t="s">
        <v>29</v>
      </c>
    </row>
    <row r="299" spans="1:6" x14ac:dyDescent="0.25">
      <c r="A299" s="4" t="s">
        <v>73</v>
      </c>
      <c r="B299" s="4" t="s">
        <v>2</v>
      </c>
      <c r="C299" s="4" t="s">
        <v>21</v>
      </c>
      <c r="D299" s="4">
        <v>2014</v>
      </c>
      <c r="E299" s="4">
        <v>0</v>
      </c>
      <c r="F299" s="4" t="s">
        <v>29</v>
      </c>
    </row>
    <row r="300" spans="1:6" x14ac:dyDescent="0.25">
      <c r="A300" s="4" t="s">
        <v>73</v>
      </c>
      <c r="B300" s="4" t="s">
        <v>2</v>
      </c>
      <c r="C300" s="4" t="s">
        <v>21</v>
      </c>
      <c r="D300" s="4">
        <v>2015</v>
      </c>
      <c r="E300" s="4">
        <v>0</v>
      </c>
      <c r="F300" s="4" t="s">
        <v>29</v>
      </c>
    </row>
    <row r="301" spans="1:6" x14ac:dyDescent="0.25">
      <c r="A301" s="4" t="s">
        <v>73</v>
      </c>
      <c r="B301" s="4" t="s">
        <v>2</v>
      </c>
      <c r="C301" s="4" t="s">
        <v>21</v>
      </c>
      <c r="D301" s="4">
        <v>2016</v>
      </c>
      <c r="E301" s="4">
        <v>0</v>
      </c>
      <c r="F301" s="4" t="s">
        <v>29</v>
      </c>
    </row>
    <row r="302" spans="1:6" x14ac:dyDescent="0.25">
      <c r="A302" s="4" t="s">
        <v>73</v>
      </c>
      <c r="B302" s="4" t="s">
        <v>2</v>
      </c>
      <c r="C302" s="4" t="s">
        <v>21</v>
      </c>
      <c r="D302" s="4">
        <v>2017</v>
      </c>
      <c r="E302" s="4">
        <v>0</v>
      </c>
      <c r="F302" s="4" t="s">
        <v>29</v>
      </c>
    </row>
    <row r="303" spans="1:6" x14ac:dyDescent="0.25">
      <c r="A303" s="4" t="s">
        <v>73</v>
      </c>
      <c r="B303" s="4" t="s">
        <v>2</v>
      </c>
      <c r="C303" s="4" t="s">
        <v>21</v>
      </c>
      <c r="D303" s="4">
        <v>2018</v>
      </c>
      <c r="E303" s="4">
        <v>0</v>
      </c>
      <c r="F303" s="4" t="s">
        <v>29</v>
      </c>
    </row>
    <row r="304" spans="1:6" x14ac:dyDescent="0.25">
      <c r="A304" s="4" t="s">
        <v>73</v>
      </c>
      <c r="B304" s="4" t="s">
        <v>2</v>
      </c>
      <c r="C304" s="4" t="s">
        <v>21</v>
      </c>
      <c r="D304" s="4">
        <v>2019</v>
      </c>
      <c r="E304" s="4">
        <v>0</v>
      </c>
      <c r="F304" s="4" t="s">
        <v>29</v>
      </c>
    </row>
    <row r="305" spans="1:6" x14ac:dyDescent="0.25">
      <c r="A305" s="4" t="s">
        <v>73</v>
      </c>
      <c r="B305" s="4" t="s">
        <v>2</v>
      </c>
      <c r="C305" s="4" t="s">
        <v>21</v>
      </c>
      <c r="D305" s="4">
        <v>2020</v>
      </c>
      <c r="E305" s="4">
        <v>0</v>
      </c>
      <c r="F305" s="4" t="s">
        <v>29</v>
      </c>
    </row>
    <row r="306" spans="1:6" x14ac:dyDescent="0.25">
      <c r="A306" s="4" t="s">
        <v>73</v>
      </c>
      <c r="B306" s="4" t="s">
        <v>2</v>
      </c>
      <c r="C306" s="4" t="s">
        <v>21</v>
      </c>
      <c r="D306" s="4">
        <v>2021</v>
      </c>
      <c r="E306" s="4">
        <v>0</v>
      </c>
      <c r="F306" s="4" t="s">
        <v>29</v>
      </c>
    </row>
    <row r="307" spans="1:6" x14ac:dyDescent="0.25">
      <c r="A307" s="4" t="s">
        <v>73</v>
      </c>
      <c r="B307" s="4" t="s">
        <v>2</v>
      </c>
      <c r="C307" s="4" t="s">
        <v>21</v>
      </c>
      <c r="D307" s="4">
        <v>2022</v>
      </c>
      <c r="E307" s="4">
        <v>0</v>
      </c>
      <c r="F307" s="4" t="s">
        <v>29</v>
      </c>
    </row>
    <row r="308" spans="1:6" x14ac:dyDescent="0.25">
      <c r="A308" s="4" t="s">
        <v>73</v>
      </c>
      <c r="B308" s="4" t="s">
        <v>2</v>
      </c>
      <c r="C308" s="4" t="s">
        <v>21</v>
      </c>
      <c r="D308" s="4">
        <v>2023</v>
      </c>
      <c r="E308" s="4">
        <v>0</v>
      </c>
      <c r="F308" s="4" t="s">
        <v>29</v>
      </c>
    </row>
    <row r="309" spans="1:6" x14ac:dyDescent="0.25">
      <c r="A309" s="4" t="s">
        <v>73</v>
      </c>
      <c r="B309" s="4" t="s">
        <v>2</v>
      </c>
      <c r="C309" s="4" t="s">
        <v>21</v>
      </c>
      <c r="D309" s="4">
        <v>2024</v>
      </c>
      <c r="E309" s="4">
        <v>0</v>
      </c>
      <c r="F309" s="4" t="s">
        <v>29</v>
      </c>
    </row>
    <row r="310" spans="1:6" x14ac:dyDescent="0.25">
      <c r="A310" s="4" t="s">
        <v>73</v>
      </c>
      <c r="B310" s="4" t="s">
        <v>2</v>
      </c>
      <c r="C310" s="4" t="s">
        <v>21</v>
      </c>
      <c r="D310" s="4">
        <v>2025</v>
      </c>
      <c r="E310" s="4">
        <v>0</v>
      </c>
      <c r="F310" s="4" t="s">
        <v>29</v>
      </c>
    </row>
    <row r="311" spans="1:6" x14ac:dyDescent="0.25">
      <c r="A311" s="4" t="s">
        <v>73</v>
      </c>
      <c r="B311" s="4" t="s">
        <v>2</v>
      </c>
      <c r="C311" s="4" t="s">
        <v>21</v>
      </c>
      <c r="D311" s="4">
        <v>2026</v>
      </c>
      <c r="E311" s="4">
        <v>0</v>
      </c>
      <c r="F311" s="4" t="s">
        <v>29</v>
      </c>
    </row>
    <row r="312" spans="1:6" x14ac:dyDescent="0.25">
      <c r="A312" s="4" t="s">
        <v>73</v>
      </c>
      <c r="B312" s="4" t="s">
        <v>2</v>
      </c>
      <c r="C312" s="4" t="s">
        <v>21</v>
      </c>
      <c r="D312" s="4">
        <v>2027</v>
      </c>
      <c r="E312" s="4">
        <v>0</v>
      </c>
      <c r="F312" s="4" t="s">
        <v>29</v>
      </c>
    </row>
    <row r="313" spans="1:6" x14ac:dyDescent="0.25">
      <c r="A313" s="4" t="s">
        <v>73</v>
      </c>
      <c r="B313" s="4" t="s">
        <v>2</v>
      </c>
      <c r="C313" s="4" t="s">
        <v>21</v>
      </c>
      <c r="D313" s="4">
        <v>2028</v>
      </c>
      <c r="E313" s="4">
        <v>0</v>
      </c>
      <c r="F313" s="4" t="s">
        <v>29</v>
      </c>
    </row>
    <row r="314" spans="1:6" x14ac:dyDescent="0.25">
      <c r="A314" s="4" t="s">
        <v>73</v>
      </c>
      <c r="B314" s="4" t="s">
        <v>2</v>
      </c>
      <c r="C314" s="4" t="s">
        <v>21</v>
      </c>
      <c r="D314" s="4">
        <v>2029</v>
      </c>
      <c r="E314" s="4">
        <v>0</v>
      </c>
      <c r="F314" s="4" t="s">
        <v>29</v>
      </c>
    </row>
    <row r="315" spans="1:6" x14ac:dyDescent="0.25">
      <c r="A315" s="4" t="s">
        <v>73</v>
      </c>
      <c r="B315" s="4" t="s">
        <v>2</v>
      </c>
      <c r="C315" s="4" t="s">
        <v>21</v>
      </c>
      <c r="D315" s="4">
        <v>2030</v>
      </c>
      <c r="E315" s="4">
        <v>0</v>
      </c>
      <c r="F315" s="4" t="s">
        <v>29</v>
      </c>
    </row>
    <row r="316" spans="1:6" x14ac:dyDescent="0.25">
      <c r="A316" s="4" t="s">
        <v>73</v>
      </c>
      <c r="B316" s="4" t="s">
        <v>2</v>
      </c>
      <c r="C316" s="4" t="s">
        <v>21</v>
      </c>
      <c r="D316" s="4">
        <v>2031</v>
      </c>
      <c r="E316" s="4">
        <v>0</v>
      </c>
      <c r="F316" s="4" t="s">
        <v>29</v>
      </c>
    </row>
    <row r="317" spans="1:6" x14ac:dyDescent="0.25">
      <c r="A317" s="4" t="s">
        <v>73</v>
      </c>
      <c r="B317" s="4" t="s">
        <v>2</v>
      </c>
      <c r="C317" s="4" t="s">
        <v>21</v>
      </c>
      <c r="D317" s="4">
        <v>2032</v>
      </c>
      <c r="E317" s="4">
        <v>0</v>
      </c>
      <c r="F317" s="4" t="s">
        <v>29</v>
      </c>
    </row>
    <row r="318" spans="1:6" x14ac:dyDescent="0.25">
      <c r="A318" s="4" t="s">
        <v>73</v>
      </c>
      <c r="B318" s="4" t="s">
        <v>2</v>
      </c>
      <c r="C318" s="4" t="s">
        <v>21</v>
      </c>
      <c r="D318" s="4">
        <v>2033</v>
      </c>
      <c r="E318" s="4">
        <v>0</v>
      </c>
      <c r="F318" s="4" t="s">
        <v>29</v>
      </c>
    </row>
    <row r="319" spans="1:6" x14ac:dyDescent="0.25">
      <c r="A319" s="4" t="s">
        <v>73</v>
      </c>
      <c r="B319" s="4" t="s">
        <v>2</v>
      </c>
      <c r="C319" s="4" t="s">
        <v>21</v>
      </c>
      <c r="D319" s="4">
        <v>2034</v>
      </c>
      <c r="E319" s="4">
        <v>0</v>
      </c>
      <c r="F319" s="4" t="s">
        <v>29</v>
      </c>
    </row>
    <row r="320" spans="1:6" x14ac:dyDescent="0.25">
      <c r="A320" s="4" t="s">
        <v>73</v>
      </c>
      <c r="B320" s="4" t="s">
        <v>2</v>
      </c>
      <c r="C320" s="4" t="s">
        <v>21</v>
      </c>
      <c r="D320" s="4">
        <v>2035</v>
      </c>
      <c r="E320" s="4">
        <v>0</v>
      </c>
      <c r="F320" s="4" t="s">
        <v>29</v>
      </c>
    </row>
    <row r="321" spans="1:6" x14ac:dyDescent="0.25">
      <c r="A321" s="4" t="s">
        <v>73</v>
      </c>
      <c r="B321" s="4" t="s">
        <v>2</v>
      </c>
      <c r="C321" s="4" t="s">
        <v>21</v>
      </c>
      <c r="D321" s="4">
        <v>2036</v>
      </c>
      <c r="E321" s="4">
        <v>0</v>
      </c>
      <c r="F321" s="4" t="s">
        <v>29</v>
      </c>
    </row>
    <row r="322" spans="1:6" x14ac:dyDescent="0.25">
      <c r="A322" s="4" t="s">
        <v>73</v>
      </c>
      <c r="B322" s="4" t="s">
        <v>2</v>
      </c>
      <c r="C322" s="4" t="s">
        <v>21</v>
      </c>
      <c r="D322" s="4">
        <v>2037</v>
      </c>
      <c r="E322" s="4">
        <v>0</v>
      </c>
      <c r="F322" s="4" t="s">
        <v>29</v>
      </c>
    </row>
    <row r="323" spans="1:6" x14ac:dyDescent="0.25">
      <c r="A323" s="4" t="s">
        <v>73</v>
      </c>
      <c r="B323" s="4" t="s">
        <v>2</v>
      </c>
      <c r="C323" s="4" t="s">
        <v>21</v>
      </c>
      <c r="D323" s="4">
        <v>2038</v>
      </c>
      <c r="E323" s="4">
        <v>0</v>
      </c>
      <c r="F323" s="4" t="s">
        <v>29</v>
      </c>
    </row>
    <row r="324" spans="1:6" x14ac:dyDescent="0.25">
      <c r="A324" s="4" t="s">
        <v>73</v>
      </c>
      <c r="B324" s="4" t="s">
        <v>2</v>
      </c>
      <c r="C324" s="4" t="s">
        <v>21</v>
      </c>
      <c r="D324" s="4">
        <v>2039</v>
      </c>
      <c r="E324" s="4">
        <v>0</v>
      </c>
      <c r="F324" s="4" t="s">
        <v>29</v>
      </c>
    </row>
    <row r="325" spans="1:6" x14ac:dyDescent="0.25">
      <c r="A325" s="4" t="s">
        <v>73</v>
      </c>
      <c r="B325" s="4" t="s">
        <v>2</v>
      </c>
      <c r="C325" s="4" t="s">
        <v>21</v>
      </c>
      <c r="D325" s="4">
        <v>2040</v>
      </c>
      <c r="E325" s="4">
        <v>0</v>
      </c>
      <c r="F325" s="4" t="s">
        <v>29</v>
      </c>
    </row>
    <row r="326" spans="1:6" x14ac:dyDescent="0.25">
      <c r="A326" s="4" t="s">
        <v>73</v>
      </c>
      <c r="B326" s="4" t="s">
        <v>3</v>
      </c>
      <c r="C326" s="4" t="s">
        <v>21</v>
      </c>
      <c r="D326" s="4">
        <v>2005</v>
      </c>
      <c r="E326" s="4">
        <v>1430</v>
      </c>
      <c r="F326" s="4" t="s">
        <v>29</v>
      </c>
    </row>
    <row r="327" spans="1:6" x14ac:dyDescent="0.25">
      <c r="A327" s="4" t="s">
        <v>73</v>
      </c>
      <c r="B327" s="4" t="s">
        <v>3</v>
      </c>
      <c r="C327" s="4" t="s">
        <v>21</v>
      </c>
      <c r="D327" s="4">
        <v>2006</v>
      </c>
      <c r="E327" s="4">
        <v>1450</v>
      </c>
      <c r="F327" s="4" t="s">
        <v>29</v>
      </c>
    </row>
    <row r="328" spans="1:6" x14ac:dyDescent="0.25">
      <c r="A328" s="4" t="s">
        <v>73</v>
      </c>
      <c r="B328" s="4" t="s">
        <v>3</v>
      </c>
      <c r="C328" s="4" t="s">
        <v>21</v>
      </c>
      <c r="D328" s="4">
        <v>2007</v>
      </c>
      <c r="E328" s="4">
        <v>1290</v>
      </c>
      <c r="F328" s="4" t="s">
        <v>29</v>
      </c>
    </row>
    <row r="329" spans="1:6" x14ac:dyDescent="0.25">
      <c r="A329" s="4" t="s">
        <v>73</v>
      </c>
      <c r="B329" s="4" t="s">
        <v>3</v>
      </c>
      <c r="C329" s="4" t="s">
        <v>21</v>
      </c>
      <c r="D329" s="4">
        <v>2008</v>
      </c>
      <c r="E329" s="4">
        <v>1170</v>
      </c>
      <c r="F329" s="4" t="s">
        <v>29</v>
      </c>
    </row>
    <row r="330" spans="1:6" x14ac:dyDescent="0.25">
      <c r="A330" s="4" t="s">
        <v>73</v>
      </c>
      <c r="B330" s="4" t="s">
        <v>3</v>
      </c>
      <c r="C330" s="4" t="s">
        <v>21</v>
      </c>
      <c r="D330" s="4">
        <v>2009</v>
      </c>
      <c r="E330" s="4">
        <v>1260</v>
      </c>
      <c r="F330" s="4" t="s">
        <v>29</v>
      </c>
    </row>
    <row r="331" spans="1:6" x14ac:dyDescent="0.25">
      <c r="A331" s="4" t="s">
        <v>73</v>
      </c>
      <c r="B331" s="4" t="s">
        <v>3</v>
      </c>
      <c r="C331" s="4" t="s">
        <v>21</v>
      </c>
      <c r="D331" s="4">
        <v>2010</v>
      </c>
      <c r="E331" s="4">
        <v>1420</v>
      </c>
      <c r="F331" s="4" t="s">
        <v>29</v>
      </c>
    </row>
    <row r="332" spans="1:6" x14ac:dyDescent="0.25">
      <c r="A332" s="4" t="s">
        <v>73</v>
      </c>
      <c r="B332" s="4" t="s">
        <v>3</v>
      </c>
      <c r="C332" s="4" t="s">
        <v>21</v>
      </c>
      <c r="D332" s="4">
        <v>2011</v>
      </c>
      <c r="E332" s="4">
        <v>1780</v>
      </c>
      <c r="F332" s="4" t="s">
        <v>29</v>
      </c>
    </row>
    <row r="333" spans="1:6" x14ac:dyDescent="0.25">
      <c r="A333" s="4" t="s">
        <v>73</v>
      </c>
      <c r="B333" s="4" t="s">
        <v>3</v>
      </c>
      <c r="C333" s="4" t="s">
        <v>21</v>
      </c>
      <c r="D333" s="4">
        <v>2012</v>
      </c>
      <c r="E333" s="4">
        <v>2029.9999999999998</v>
      </c>
      <c r="F333" s="4" t="s">
        <v>29</v>
      </c>
    </row>
    <row r="334" spans="1:6" x14ac:dyDescent="0.25">
      <c r="A334" s="4" t="s">
        <v>73</v>
      </c>
      <c r="B334" s="4" t="s">
        <v>3</v>
      </c>
      <c r="C334" s="4" t="s">
        <v>21</v>
      </c>
      <c r="D334" s="4">
        <v>2013</v>
      </c>
      <c r="E334" s="4">
        <v>2460</v>
      </c>
      <c r="F334" s="4" t="s">
        <v>29</v>
      </c>
    </row>
    <row r="335" spans="1:6" x14ac:dyDescent="0.25">
      <c r="A335" s="4" t="s">
        <v>73</v>
      </c>
      <c r="B335" s="4" t="s">
        <v>3</v>
      </c>
      <c r="C335" s="4" t="s">
        <v>21</v>
      </c>
      <c r="D335" s="4">
        <v>2014</v>
      </c>
      <c r="E335" s="4">
        <v>3010</v>
      </c>
      <c r="F335" s="4" t="s">
        <v>29</v>
      </c>
    </row>
    <row r="336" spans="1:6" x14ac:dyDescent="0.25">
      <c r="A336" s="4" t="s">
        <v>73</v>
      </c>
      <c r="B336" s="4" t="s">
        <v>3</v>
      </c>
      <c r="C336" s="4" t="s">
        <v>21</v>
      </c>
      <c r="D336" s="4">
        <v>2015</v>
      </c>
      <c r="E336" s="4">
        <v>3470</v>
      </c>
      <c r="F336" s="4" t="s">
        <v>29</v>
      </c>
    </row>
    <row r="337" spans="1:6" x14ac:dyDescent="0.25">
      <c r="A337" s="4" t="s">
        <v>73</v>
      </c>
      <c r="B337" s="4" t="s">
        <v>3</v>
      </c>
      <c r="C337" s="4" t="s">
        <v>21</v>
      </c>
      <c r="D337" s="4">
        <v>2016</v>
      </c>
      <c r="E337" s="4">
        <v>4181.2090410958917</v>
      </c>
      <c r="F337" s="4" t="s">
        <v>29</v>
      </c>
    </row>
    <row r="338" spans="1:6" x14ac:dyDescent="0.25">
      <c r="A338" s="4" t="s">
        <v>73</v>
      </c>
      <c r="B338" s="4" t="s">
        <v>3</v>
      </c>
      <c r="C338" s="4" t="s">
        <v>21</v>
      </c>
      <c r="D338" s="4">
        <v>2017</v>
      </c>
      <c r="E338" s="4">
        <v>5720.4719178082196</v>
      </c>
      <c r="F338" s="4" t="s">
        <v>29</v>
      </c>
    </row>
    <row r="339" spans="1:6" x14ac:dyDescent="0.25">
      <c r="A339" s="4" t="s">
        <v>73</v>
      </c>
      <c r="B339" s="4" t="s">
        <v>3</v>
      </c>
      <c r="C339" s="4" t="s">
        <v>21</v>
      </c>
      <c r="D339" s="4">
        <v>2018</v>
      </c>
      <c r="E339" s="4">
        <v>6171.8127176489343</v>
      </c>
      <c r="F339" s="4" t="s">
        <v>29</v>
      </c>
    </row>
    <row r="340" spans="1:6" x14ac:dyDescent="0.25">
      <c r="A340" s="4" t="s">
        <v>73</v>
      </c>
      <c r="B340" s="4" t="s">
        <v>3</v>
      </c>
      <c r="C340" s="4" t="s">
        <v>21</v>
      </c>
      <c r="D340" s="4">
        <v>2019</v>
      </c>
      <c r="E340" s="4">
        <v>6185.7098534800916</v>
      </c>
      <c r="F340" s="4" t="s">
        <v>29</v>
      </c>
    </row>
    <row r="341" spans="1:6" x14ac:dyDescent="0.25">
      <c r="A341" s="4" t="s">
        <v>73</v>
      </c>
      <c r="B341" s="4" t="s">
        <v>3</v>
      </c>
      <c r="C341" s="4" t="s">
        <v>21</v>
      </c>
      <c r="D341" s="4">
        <v>2020</v>
      </c>
      <c r="E341" s="4">
        <v>6218.8485080231803</v>
      </c>
      <c r="F341" s="4" t="s">
        <v>29</v>
      </c>
    </row>
    <row r="342" spans="1:6" x14ac:dyDescent="0.25">
      <c r="A342" s="4" t="s">
        <v>73</v>
      </c>
      <c r="B342" s="4" t="s">
        <v>3</v>
      </c>
      <c r="C342" s="4" t="s">
        <v>21</v>
      </c>
      <c r="D342" s="4">
        <v>2021</v>
      </c>
      <c r="E342" s="4">
        <v>6290.2660566952936</v>
      </c>
      <c r="F342" s="4" t="s">
        <v>29</v>
      </c>
    </row>
    <row r="343" spans="1:6" x14ac:dyDescent="0.25">
      <c r="A343" s="4" t="s">
        <v>73</v>
      </c>
      <c r="B343" s="4" t="s">
        <v>3</v>
      </c>
      <c r="C343" s="4" t="s">
        <v>21</v>
      </c>
      <c r="D343" s="4">
        <v>2022</v>
      </c>
      <c r="E343" s="4">
        <v>6383.7960240107332</v>
      </c>
      <c r="F343" s="4" t="s">
        <v>29</v>
      </c>
    </row>
    <row r="344" spans="1:6" x14ac:dyDescent="0.25">
      <c r="A344" s="4" t="s">
        <v>73</v>
      </c>
      <c r="B344" s="4" t="s">
        <v>3</v>
      </c>
      <c r="C344" s="4" t="s">
        <v>21</v>
      </c>
      <c r="D344" s="4">
        <v>2023</v>
      </c>
      <c r="E344" s="4">
        <v>6483.9473170782858</v>
      </c>
      <c r="F344" s="4" t="s">
        <v>29</v>
      </c>
    </row>
    <row r="345" spans="1:6" x14ac:dyDescent="0.25">
      <c r="A345" s="4" t="s">
        <v>73</v>
      </c>
      <c r="B345" s="4" t="s">
        <v>3</v>
      </c>
      <c r="C345" s="4" t="s">
        <v>21</v>
      </c>
      <c r="D345" s="4">
        <v>2024</v>
      </c>
      <c r="E345" s="4">
        <v>6592.255194581775</v>
      </c>
      <c r="F345" s="4" t="s">
        <v>29</v>
      </c>
    </row>
    <row r="346" spans="1:6" x14ac:dyDescent="0.25">
      <c r="A346" s="4" t="s">
        <v>73</v>
      </c>
      <c r="B346" s="4" t="s">
        <v>3</v>
      </c>
      <c r="C346" s="4" t="s">
        <v>21</v>
      </c>
      <c r="D346" s="4">
        <v>2025</v>
      </c>
      <c r="E346" s="4">
        <v>6714.4285785093834</v>
      </c>
      <c r="F346" s="4" t="s">
        <v>29</v>
      </c>
    </row>
    <row r="347" spans="1:6" x14ac:dyDescent="0.25">
      <c r="A347" s="4" t="s">
        <v>73</v>
      </c>
      <c r="B347" s="4" t="s">
        <v>3</v>
      </c>
      <c r="C347" s="4" t="s">
        <v>21</v>
      </c>
      <c r="D347" s="4">
        <v>2026</v>
      </c>
      <c r="E347" s="4">
        <v>6866.1000291334549</v>
      </c>
      <c r="F347" s="4" t="s">
        <v>29</v>
      </c>
    </row>
    <row r="348" spans="1:6" x14ac:dyDescent="0.25">
      <c r="A348" s="4" t="s">
        <v>73</v>
      </c>
      <c r="B348" s="4" t="s">
        <v>3</v>
      </c>
      <c r="C348" s="4" t="s">
        <v>21</v>
      </c>
      <c r="D348" s="4">
        <v>2027</v>
      </c>
      <c r="E348" s="4">
        <v>7015.9348214947486</v>
      </c>
      <c r="F348" s="4" t="s">
        <v>29</v>
      </c>
    </row>
    <row r="349" spans="1:6" x14ac:dyDescent="0.25">
      <c r="A349" s="4" t="s">
        <v>73</v>
      </c>
      <c r="B349" s="4" t="s">
        <v>3</v>
      </c>
      <c r="C349" s="4" t="s">
        <v>21</v>
      </c>
      <c r="D349" s="4">
        <v>2028</v>
      </c>
      <c r="E349" s="4">
        <v>7173.7338741824651</v>
      </c>
      <c r="F349" s="4" t="s">
        <v>29</v>
      </c>
    </row>
    <row r="350" spans="1:6" x14ac:dyDescent="0.25">
      <c r="A350" s="4" t="s">
        <v>73</v>
      </c>
      <c r="B350" s="4" t="s">
        <v>3</v>
      </c>
      <c r="C350" s="4" t="s">
        <v>21</v>
      </c>
      <c r="D350" s="4">
        <v>2029</v>
      </c>
      <c r="E350" s="4">
        <v>7358.2578584062649</v>
      </c>
      <c r="F350" s="4" t="s">
        <v>29</v>
      </c>
    </row>
    <row r="351" spans="1:6" x14ac:dyDescent="0.25">
      <c r="A351" s="4" t="s">
        <v>73</v>
      </c>
      <c r="B351" s="4" t="s">
        <v>3</v>
      </c>
      <c r="C351" s="4" t="s">
        <v>21</v>
      </c>
      <c r="D351" s="4">
        <v>2030</v>
      </c>
      <c r="E351" s="4">
        <v>7567.3842866366404</v>
      </c>
      <c r="F351" s="4" t="s">
        <v>29</v>
      </c>
    </row>
    <row r="352" spans="1:6" x14ac:dyDescent="0.25">
      <c r="A352" s="4" t="s">
        <v>73</v>
      </c>
      <c r="B352" s="4" t="s">
        <v>3</v>
      </c>
      <c r="C352" s="4" t="s">
        <v>21</v>
      </c>
      <c r="D352" s="4">
        <v>2031</v>
      </c>
      <c r="E352" s="4">
        <v>7797.4339225150725</v>
      </c>
      <c r="F352" s="4" t="s">
        <v>29</v>
      </c>
    </row>
    <row r="353" spans="1:6" x14ac:dyDescent="0.25">
      <c r="A353" s="4" t="s">
        <v>73</v>
      </c>
      <c r="B353" s="4" t="s">
        <v>3</v>
      </c>
      <c r="C353" s="4" t="s">
        <v>21</v>
      </c>
      <c r="D353" s="4">
        <v>2032</v>
      </c>
      <c r="E353" s="4">
        <v>8050.4500217602235</v>
      </c>
      <c r="F353" s="4" t="s">
        <v>29</v>
      </c>
    </row>
    <row r="354" spans="1:6" x14ac:dyDescent="0.25">
      <c r="A354" s="4" t="s">
        <v>73</v>
      </c>
      <c r="B354" s="4" t="s">
        <v>3</v>
      </c>
      <c r="C354" s="4" t="s">
        <v>21</v>
      </c>
      <c r="D354" s="4">
        <v>2033</v>
      </c>
      <c r="E354" s="4">
        <v>8313.689293803749</v>
      </c>
      <c r="F354" s="4" t="s">
        <v>29</v>
      </c>
    </row>
    <row r="355" spans="1:6" x14ac:dyDescent="0.25">
      <c r="A355" s="4" t="s">
        <v>73</v>
      </c>
      <c r="B355" s="4" t="s">
        <v>3</v>
      </c>
      <c r="C355" s="4" t="s">
        <v>21</v>
      </c>
      <c r="D355" s="4">
        <v>2034</v>
      </c>
      <c r="E355" s="4">
        <v>8569.3842659904094</v>
      </c>
      <c r="F355" s="4" t="s">
        <v>29</v>
      </c>
    </row>
    <row r="356" spans="1:6" x14ac:dyDescent="0.25">
      <c r="A356" s="4" t="s">
        <v>73</v>
      </c>
      <c r="B356" s="4" t="s">
        <v>3</v>
      </c>
      <c r="C356" s="4" t="s">
        <v>21</v>
      </c>
      <c r="D356" s="4">
        <v>2035</v>
      </c>
      <c r="E356" s="4">
        <v>8833.908298953369</v>
      </c>
      <c r="F356" s="4" t="s">
        <v>29</v>
      </c>
    </row>
    <row r="357" spans="1:6" x14ac:dyDescent="0.25">
      <c r="A357" s="4" t="s">
        <v>73</v>
      </c>
      <c r="B357" s="4" t="s">
        <v>3</v>
      </c>
      <c r="C357" s="4" t="s">
        <v>21</v>
      </c>
      <c r="D357" s="4">
        <v>2036</v>
      </c>
      <c r="E357" s="4">
        <v>9107.4578697135476</v>
      </c>
      <c r="F357" s="4" t="s">
        <v>29</v>
      </c>
    </row>
    <row r="358" spans="1:6" x14ac:dyDescent="0.25">
      <c r="A358" s="4" t="s">
        <v>73</v>
      </c>
      <c r="B358" s="4" t="s">
        <v>3</v>
      </c>
      <c r="C358" s="4" t="s">
        <v>21</v>
      </c>
      <c r="D358" s="4">
        <v>2037</v>
      </c>
      <c r="E358" s="4">
        <v>9377.8651818586895</v>
      </c>
      <c r="F358" s="4" t="s">
        <v>29</v>
      </c>
    </row>
    <row r="359" spans="1:6" x14ac:dyDescent="0.25">
      <c r="A359" s="4" t="s">
        <v>73</v>
      </c>
      <c r="B359" s="4" t="s">
        <v>3</v>
      </c>
      <c r="C359" s="4" t="s">
        <v>21</v>
      </c>
      <c r="D359" s="4">
        <v>2038</v>
      </c>
      <c r="E359" s="4">
        <v>9662.1384838105823</v>
      </c>
      <c r="F359" s="4" t="s">
        <v>29</v>
      </c>
    </row>
    <row r="360" spans="1:6" x14ac:dyDescent="0.25">
      <c r="A360" s="4" t="s">
        <v>73</v>
      </c>
      <c r="B360" s="4" t="s">
        <v>3</v>
      </c>
      <c r="C360" s="4" t="s">
        <v>21</v>
      </c>
      <c r="D360" s="4">
        <v>2039</v>
      </c>
      <c r="E360" s="4">
        <v>9962.1987864017046</v>
      </c>
      <c r="F360" s="4" t="s">
        <v>29</v>
      </c>
    </row>
    <row r="361" spans="1:6" x14ac:dyDescent="0.25">
      <c r="A361" s="4" t="s">
        <v>73</v>
      </c>
      <c r="B361" s="4" t="s">
        <v>3</v>
      </c>
      <c r="C361" s="4" t="s">
        <v>21</v>
      </c>
      <c r="D361" s="4">
        <v>2040</v>
      </c>
      <c r="E361" s="4">
        <v>10278.443795525836</v>
      </c>
      <c r="F361" s="4" t="s">
        <v>29</v>
      </c>
    </row>
    <row r="362" spans="1:6" x14ac:dyDescent="0.25">
      <c r="A362" s="4" t="s">
        <v>73</v>
      </c>
      <c r="B362" s="4" t="s">
        <v>4</v>
      </c>
      <c r="C362" s="4" t="s">
        <v>21</v>
      </c>
      <c r="D362" s="4">
        <v>2005</v>
      </c>
      <c r="E362" s="4">
        <v>550</v>
      </c>
      <c r="F362" s="4" t="s">
        <v>29</v>
      </c>
    </row>
    <row r="363" spans="1:6" x14ac:dyDescent="0.25">
      <c r="A363" s="4" t="s">
        <v>73</v>
      </c>
      <c r="B363" s="4" t="s">
        <v>4</v>
      </c>
      <c r="C363" s="4" t="s">
        <v>21</v>
      </c>
      <c r="D363" s="4">
        <v>2006</v>
      </c>
      <c r="E363" s="4">
        <v>600</v>
      </c>
      <c r="F363" s="4" t="s">
        <v>29</v>
      </c>
    </row>
    <row r="364" spans="1:6" x14ac:dyDescent="0.25">
      <c r="A364" s="4" t="s">
        <v>73</v>
      </c>
      <c r="B364" s="4" t="s">
        <v>4</v>
      </c>
      <c r="C364" s="4" t="s">
        <v>21</v>
      </c>
      <c r="D364" s="4">
        <v>2007</v>
      </c>
      <c r="E364" s="4">
        <v>660</v>
      </c>
      <c r="F364" s="4" t="s">
        <v>29</v>
      </c>
    </row>
    <row r="365" spans="1:6" x14ac:dyDescent="0.25">
      <c r="A365" s="4" t="s">
        <v>73</v>
      </c>
      <c r="B365" s="4" t="s">
        <v>4</v>
      </c>
      <c r="C365" s="4" t="s">
        <v>21</v>
      </c>
      <c r="D365" s="4">
        <v>2008</v>
      </c>
      <c r="E365" s="4">
        <v>720</v>
      </c>
      <c r="F365" s="4" t="s">
        <v>29</v>
      </c>
    </row>
    <row r="366" spans="1:6" x14ac:dyDescent="0.25">
      <c r="A366" s="4" t="s">
        <v>73</v>
      </c>
      <c r="B366" s="4" t="s">
        <v>4</v>
      </c>
      <c r="C366" s="4" t="s">
        <v>21</v>
      </c>
      <c r="D366" s="4">
        <v>2009</v>
      </c>
      <c r="E366" s="4">
        <v>720</v>
      </c>
      <c r="F366" s="4" t="s">
        <v>29</v>
      </c>
    </row>
    <row r="367" spans="1:6" x14ac:dyDescent="0.25">
      <c r="A367" s="4" t="s">
        <v>73</v>
      </c>
      <c r="B367" s="4" t="s">
        <v>4</v>
      </c>
      <c r="C367" s="4" t="s">
        <v>21</v>
      </c>
      <c r="D367" s="4">
        <v>2010</v>
      </c>
      <c r="E367" s="4">
        <v>790</v>
      </c>
      <c r="F367" s="4" t="s">
        <v>29</v>
      </c>
    </row>
    <row r="368" spans="1:6" x14ac:dyDescent="0.25">
      <c r="A368" s="4" t="s">
        <v>73</v>
      </c>
      <c r="B368" s="4" t="s">
        <v>4</v>
      </c>
      <c r="C368" s="4" t="s">
        <v>21</v>
      </c>
      <c r="D368" s="4">
        <v>2011</v>
      </c>
      <c r="E368" s="4">
        <v>880</v>
      </c>
      <c r="F368" s="4" t="s">
        <v>29</v>
      </c>
    </row>
    <row r="369" spans="1:6" x14ac:dyDescent="0.25">
      <c r="A369" s="4" t="s">
        <v>73</v>
      </c>
      <c r="B369" s="4" t="s">
        <v>4</v>
      </c>
      <c r="C369" s="4" t="s">
        <v>21</v>
      </c>
      <c r="D369" s="4">
        <v>2012</v>
      </c>
      <c r="E369" s="4">
        <v>900</v>
      </c>
      <c r="F369" s="4" t="s">
        <v>29</v>
      </c>
    </row>
    <row r="370" spans="1:6" x14ac:dyDescent="0.25">
      <c r="A370" s="4" t="s">
        <v>73</v>
      </c>
      <c r="B370" s="4" t="s">
        <v>4</v>
      </c>
      <c r="C370" s="4" t="s">
        <v>21</v>
      </c>
      <c r="D370" s="4">
        <v>2013</v>
      </c>
      <c r="E370" s="4">
        <v>960</v>
      </c>
      <c r="F370" s="4" t="s">
        <v>29</v>
      </c>
    </row>
    <row r="371" spans="1:6" x14ac:dyDescent="0.25">
      <c r="A371" s="4" t="s">
        <v>73</v>
      </c>
      <c r="B371" s="4" t="s">
        <v>4</v>
      </c>
      <c r="C371" s="4" t="s">
        <v>21</v>
      </c>
      <c r="D371" s="4">
        <v>2014</v>
      </c>
      <c r="E371" s="4">
        <v>1430</v>
      </c>
      <c r="F371" s="4" t="s">
        <v>29</v>
      </c>
    </row>
    <row r="372" spans="1:6" x14ac:dyDescent="0.25">
      <c r="A372" s="4" t="s">
        <v>73</v>
      </c>
      <c r="B372" s="4" t="s">
        <v>4</v>
      </c>
      <c r="C372" s="4" t="s">
        <v>21</v>
      </c>
      <c r="D372" s="4">
        <v>2015</v>
      </c>
      <c r="E372" s="4">
        <v>1840</v>
      </c>
      <c r="F372" s="4" t="s">
        <v>29</v>
      </c>
    </row>
    <row r="373" spans="1:6" x14ac:dyDescent="0.25">
      <c r="A373" s="4" t="s">
        <v>73</v>
      </c>
      <c r="B373" s="4" t="s">
        <v>4</v>
      </c>
      <c r="C373" s="4" t="s">
        <v>21</v>
      </c>
      <c r="D373" s="4">
        <v>2016</v>
      </c>
      <c r="E373" s="4">
        <v>2536.7909589041078</v>
      </c>
      <c r="F373" s="4" t="s">
        <v>29</v>
      </c>
    </row>
    <row r="374" spans="1:6" x14ac:dyDescent="0.25">
      <c r="A374" s="4" t="s">
        <v>73</v>
      </c>
      <c r="B374" s="4" t="s">
        <v>4</v>
      </c>
      <c r="C374" s="4" t="s">
        <v>21</v>
      </c>
      <c r="D374" s="4">
        <v>2017</v>
      </c>
      <c r="E374" s="4">
        <v>2619.52808219178</v>
      </c>
      <c r="F374" s="4" t="s">
        <v>29</v>
      </c>
    </row>
    <row r="375" spans="1:6" x14ac:dyDescent="0.25">
      <c r="A375" s="4" t="s">
        <v>73</v>
      </c>
      <c r="B375" s="4" t="s">
        <v>4</v>
      </c>
      <c r="C375" s="4" t="s">
        <v>21</v>
      </c>
      <c r="D375" s="4">
        <v>2018</v>
      </c>
      <c r="E375" s="4">
        <v>2854.1890629499831</v>
      </c>
      <c r="F375" s="4" t="s">
        <v>29</v>
      </c>
    </row>
    <row r="376" spans="1:6" x14ac:dyDescent="0.25">
      <c r="A376" s="4" t="s">
        <v>73</v>
      </c>
      <c r="B376" s="4" t="s">
        <v>4</v>
      </c>
      <c r="C376" s="4" t="s">
        <v>21</v>
      </c>
      <c r="D376" s="4">
        <v>2019</v>
      </c>
      <c r="E376" s="4">
        <v>2888.938799996723</v>
      </c>
      <c r="F376" s="4" t="s">
        <v>29</v>
      </c>
    </row>
    <row r="377" spans="1:6" x14ac:dyDescent="0.25">
      <c r="A377" s="4" t="s">
        <v>73</v>
      </c>
      <c r="B377" s="4" t="s">
        <v>4</v>
      </c>
      <c r="C377" s="4" t="s">
        <v>21</v>
      </c>
      <c r="D377" s="4">
        <v>2020</v>
      </c>
      <c r="E377" s="4">
        <v>2933.1722799933295</v>
      </c>
      <c r="F377" s="4" t="s">
        <v>29</v>
      </c>
    </row>
    <row r="378" spans="1:6" x14ac:dyDescent="0.25">
      <c r="A378" s="4" t="s">
        <v>73</v>
      </c>
      <c r="B378" s="4" t="s">
        <v>4</v>
      </c>
      <c r="C378" s="4" t="s">
        <v>21</v>
      </c>
      <c r="D378" s="4">
        <v>2021</v>
      </c>
      <c r="E378" s="4">
        <v>2996.2317898415486</v>
      </c>
      <c r="F378" s="4" t="s">
        <v>29</v>
      </c>
    </row>
    <row r="379" spans="1:6" x14ac:dyDescent="0.25">
      <c r="A379" s="4" t="s">
        <v>73</v>
      </c>
      <c r="B379" s="4" t="s">
        <v>4</v>
      </c>
      <c r="C379" s="4" t="s">
        <v>21</v>
      </c>
      <c r="D379" s="4">
        <v>2022</v>
      </c>
      <c r="E379" s="4">
        <v>3070.8895209621442</v>
      </c>
      <c r="F379" s="4" t="s">
        <v>29</v>
      </c>
    </row>
    <row r="380" spans="1:6" x14ac:dyDescent="0.25">
      <c r="A380" s="4" t="s">
        <v>73</v>
      </c>
      <c r="B380" s="4" t="s">
        <v>4</v>
      </c>
      <c r="C380" s="4" t="s">
        <v>21</v>
      </c>
      <c r="D380" s="4">
        <v>2023</v>
      </c>
      <c r="E380" s="4">
        <v>3149.9485916081908</v>
      </c>
      <c r="F380" s="4" t="s">
        <v>29</v>
      </c>
    </row>
    <row r="381" spans="1:6" x14ac:dyDescent="0.25">
      <c r="A381" s="4" t="s">
        <v>73</v>
      </c>
      <c r="B381" s="4" t="s">
        <v>4</v>
      </c>
      <c r="C381" s="4" t="s">
        <v>21</v>
      </c>
      <c r="D381" s="4">
        <v>2024</v>
      </c>
      <c r="E381" s="4">
        <v>3234.2739110923139</v>
      </c>
      <c r="F381" s="4" t="s">
        <v>29</v>
      </c>
    </row>
    <row r="382" spans="1:6" x14ac:dyDescent="0.25">
      <c r="A382" s="4" t="s">
        <v>73</v>
      </c>
      <c r="B382" s="4" t="s">
        <v>4</v>
      </c>
      <c r="C382" s="4" t="s">
        <v>21</v>
      </c>
      <c r="D382" s="4">
        <v>2025</v>
      </c>
      <c r="E382" s="4">
        <v>3326.830259901813</v>
      </c>
      <c r="F382" s="4" t="s">
        <v>29</v>
      </c>
    </row>
    <row r="383" spans="1:6" x14ac:dyDescent="0.25">
      <c r="A383" s="4" t="s">
        <v>73</v>
      </c>
      <c r="B383" s="4" t="s">
        <v>4</v>
      </c>
      <c r="C383" s="4" t="s">
        <v>21</v>
      </c>
      <c r="D383" s="4">
        <v>2026</v>
      </c>
      <c r="E383" s="4">
        <v>3435.662610659941</v>
      </c>
      <c r="F383" s="4" t="s">
        <v>29</v>
      </c>
    </row>
    <row r="384" spans="1:6" x14ac:dyDescent="0.25">
      <c r="A384" s="4" t="s">
        <v>73</v>
      </c>
      <c r="B384" s="4" t="s">
        <v>4</v>
      </c>
      <c r="C384" s="4" t="s">
        <v>21</v>
      </c>
      <c r="D384" s="4">
        <v>2027</v>
      </c>
      <c r="E384" s="4">
        <v>3545.3958023376499</v>
      </c>
      <c r="F384" s="4" t="s">
        <v>29</v>
      </c>
    </row>
    <row r="385" spans="1:6" x14ac:dyDescent="0.25">
      <c r="A385" s="4" t="s">
        <v>73</v>
      </c>
      <c r="B385" s="4" t="s">
        <v>4</v>
      </c>
      <c r="C385" s="4" t="s">
        <v>21</v>
      </c>
      <c r="D385" s="4">
        <v>2028</v>
      </c>
      <c r="E385" s="4">
        <v>3661.0295972074287</v>
      </c>
      <c r="F385" s="4" t="s">
        <v>29</v>
      </c>
    </row>
    <row r="386" spans="1:6" x14ac:dyDescent="0.25">
      <c r="A386" s="4" t="s">
        <v>73</v>
      </c>
      <c r="B386" s="4" t="s">
        <v>4</v>
      </c>
      <c r="C386" s="4" t="s">
        <v>21</v>
      </c>
      <c r="D386" s="4">
        <v>2029</v>
      </c>
      <c r="E386" s="4">
        <v>3792.379403918666</v>
      </c>
      <c r="F386" s="4" t="s">
        <v>29</v>
      </c>
    </row>
    <row r="387" spans="1:6" x14ac:dyDescent="0.25">
      <c r="A387" s="4" t="s">
        <v>73</v>
      </c>
      <c r="B387" s="4" t="s">
        <v>4</v>
      </c>
      <c r="C387" s="4" t="s">
        <v>21</v>
      </c>
      <c r="D387" s="4">
        <v>2030</v>
      </c>
      <c r="E387" s="4">
        <v>3938.7767275903111</v>
      </c>
      <c r="F387" s="4" t="s">
        <v>29</v>
      </c>
    </row>
    <row r="388" spans="1:6" x14ac:dyDescent="0.25">
      <c r="A388" s="4" t="s">
        <v>73</v>
      </c>
      <c r="B388" s="4" t="s">
        <v>4</v>
      </c>
      <c r="C388" s="4" t="s">
        <v>21</v>
      </c>
      <c r="D388" s="4">
        <v>2031</v>
      </c>
      <c r="E388" s="4">
        <v>4098.6994686564212</v>
      </c>
      <c r="F388" s="4" t="s">
        <v>29</v>
      </c>
    </row>
    <row r="389" spans="1:6" x14ac:dyDescent="0.25">
      <c r="A389" s="4" t="s">
        <v>73</v>
      </c>
      <c r="B389" s="4" t="s">
        <v>4</v>
      </c>
      <c r="C389" s="4" t="s">
        <v>21</v>
      </c>
      <c r="D389" s="4">
        <v>2032</v>
      </c>
      <c r="E389" s="4">
        <v>4273.5946648852678</v>
      </c>
      <c r="F389" s="4" t="s">
        <v>29</v>
      </c>
    </row>
    <row r="390" spans="1:6" x14ac:dyDescent="0.25">
      <c r="A390" s="4" t="s">
        <v>73</v>
      </c>
      <c r="B390" s="4" t="s">
        <v>4</v>
      </c>
      <c r="C390" s="4" t="s">
        <v>21</v>
      </c>
      <c r="D390" s="4">
        <v>2033</v>
      </c>
      <c r="E390" s="4">
        <v>4457.0320591251439</v>
      </c>
      <c r="F390" s="4" t="s">
        <v>29</v>
      </c>
    </row>
    <row r="391" spans="1:6" x14ac:dyDescent="0.25">
      <c r="A391" s="4" t="s">
        <v>73</v>
      </c>
      <c r="B391" s="4" t="s">
        <v>4</v>
      </c>
      <c r="C391" s="4" t="s">
        <v>21</v>
      </c>
      <c r="D391" s="4">
        <v>2034</v>
      </c>
      <c r="E391" s="4">
        <v>4639.5983365720094</v>
      </c>
      <c r="F391" s="4" t="s">
        <v>29</v>
      </c>
    </row>
    <row r="392" spans="1:6" x14ac:dyDescent="0.25">
      <c r="A392" s="4" t="s">
        <v>73</v>
      </c>
      <c r="B392" s="4" t="s">
        <v>4</v>
      </c>
      <c r="C392" s="4" t="s">
        <v>21</v>
      </c>
      <c r="D392" s="4">
        <v>2035</v>
      </c>
      <c r="E392" s="4">
        <v>4830.1703866145708</v>
      </c>
      <c r="F392" s="4" t="s">
        <v>29</v>
      </c>
    </row>
    <row r="393" spans="1:6" x14ac:dyDescent="0.25">
      <c r="A393" s="4" t="s">
        <v>73</v>
      </c>
      <c r="B393" s="4" t="s">
        <v>4</v>
      </c>
      <c r="C393" s="4" t="s">
        <v>21</v>
      </c>
      <c r="D393" s="4">
        <v>2036</v>
      </c>
      <c r="E393" s="4">
        <v>5029.0451323321031</v>
      </c>
      <c r="F393" s="4" t="s">
        <v>29</v>
      </c>
    </row>
    <row r="394" spans="1:6" x14ac:dyDescent="0.25">
      <c r="A394" s="4" t="s">
        <v>73</v>
      </c>
      <c r="B394" s="4" t="s">
        <v>4</v>
      </c>
      <c r="C394" s="4" t="s">
        <v>21</v>
      </c>
      <c r="D394" s="4">
        <v>2037</v>
      </c>
      <c r="E394" s="4">
        <v>5229.6321896102636</v>
      </c>
      <c r="F394" s="4" t="s">
        <v>29</v>
      </c>
    </row>
    <row r="395" spans="1:6" x14ac:dyDescent="0.25">
      <c r="A395" s="4" t="s">
        <v>73</v>
      </c>
      <c r="B395" s="4" t="s">
        <v>4</v>
      </c>
      <c r="C395" s="4" t="s">
        <v>21</v>
      </c>
      <c r="D395" s="4">
        <v>2038</v>
      </c>
      <c r="E395" s="4">
        <v>5441.5072979054539</v>
      </c>
      <c r="F395" s="4" t="s">
        <v>29</v>
      </c>
    </row>
    <row r="396" spans="1:6" x14ac:dyDescent="0.25">
      <c r="A396" s="4" t="s">
        <v>73</v>
      </c>
      <c r="B396" s="4" t="s">
        <v>4</v>
      </c>
      <c r="C396" s="4" t="s">
        <v>21</v>
      </c>
      <c r="D396" s="4">
        <v>2039</v>
      </c>
      <c r="E396" s="4">
        <v>5666.0442199234203</v>
      </c>
      <c r="F396" s="4" t="s">
        <v>29</v>
      </c>
    </row>
    <row r="397" spans="1:6" x14ac:dyDescent="0.25">
      <c r="A397" s="4" t="s">
        <v>73</v>
      </c>
      <c r="B397" s="4" t="s">
        <v>4</v>
      </c>
      <c r="C397" s="4" t="s">
        <v>21</v>
      </c>
      <c r="D397" s="4">
        <v>2040</v>
      </c>
      <c r="E397" s="4">
        <v>5903.7902514150937</v>
      </c>
      <c r="F397" s="4" t="s">
        <v>29</v>
      </c>
    </row>
    <row r="398" spans="1:6" x14ac:dyDescent="0.25">
      <c r="A398" s="4" t="s">
        <v>73</v>
      </c>
      <c r="B398" s="4" t="s">
        <v>23</v>
      </c>
      <c r="C398" s="4" t="s">
        <v>21</v>
      </c>
      <c r="D398" s="4">
        <v>2005</v>
      </c>
      <c r="E398" s="4">
        <v>6625.0814215309774</v>
      </c>
      <c r="F398" s="4" t="s">
        <v>29</v>
      </c>
    </row>
    <row r="399" spans="1:6" x14ac:dyDescent="0.25">
      <c r="A399" s="4" t="s">
        <v>73</v>
      </c>
      <c r="B399" s="4" t="s">
        <v>23</v>
      </c>
      <c r="C399" s="4" t="s">
        <v>21</v>
      </c>
      <c r="D399" s="4">
        <v>2006</v>
      </c>
      <c r="E399" s="4">
        <v>6556.6333115719408</v>
      </c>
      <c r="F399" s="4" t="s">
        <v>29</v>
      </c>
    </row>
    <row r="400" spans="1:6" x14ac:dyDescent="0.25">
      <c r="A400" s="4" t="s">
        <v>73</v>
      </c>
      <c r="B400" s="4" t="s">
        <v>23</v>
      </c>
      <c r="C400" s="4" t="s">
        <v>21</v>
      </c>
      <c r="D400" s="4">
        <v>2007</v>
      </c>
      <c r="E400" s="4">
        <v>5995.0273214285717</v>
      </c>
      <c r="F400" s="4" t="s">
        <v>29</v>
      </c>
    </row>
    <row r="401" spans="1:6" x14ac:dyDescent="0.25">
      <c r="A401" s="4" t="s">
        <v>73</v>
      </c>
      <c r="B401" s="4" t="s">
        <v>23</v>
      </c>
      <c r="C401" s="4" t="s">
        <v>21</v>
      </c>
      <c r="D401" s="4">
        <v>2008</v>
      </c>
      <c r="E401" s="4">
        <v>5566.5833333333321</v>
      </c>
      <c r="F401" s="4" t="s">
        <v>29</v>
      </c>
    </row>
    <row r="402" spans="1:6" x14ac:dyDescent="0.25">
      <c r="A402" s="4" t="s">
        <v>73</v>
      </c>
      <c r="B402" s="4" t="s">
        <v>23</v>
      </c>
      <c r="C402" s="4" t="s">
        <v>21</v>
      </c>
      <c r="D402" s="4">
        <v>2009</v>
      </c>
      <c r="E402" s="4">
        <v>5478.2216820276499</v>
      </c>
      <c r="F402" s="4" t="s">
        <v>29</v>
      </c>
    </row>
    <row r="403" spans="1:6" x14ac:dyDescent="0.25">
      <c r="A403" s="4" t="s">
        <v>73</v>
      </c>
      <c r="B403" s="4" t="s">
        <v>23</v>
      </c>
      <c r="C403" s="4" t="s">
        <v>21</v>
      </c>
      <c r="D403" s="4">
        <v>2010</v>
      </c>
      <c r="E403" s="4">
        <v>5674.9128584229393</v>
      </c>
      <c r="F403" s="4" t="s">
        <v>29</v>
      </c>
    </row>
    <row r="404" spans="1:6" x14ac:dyDescent="0.25">
      <c r="A404" s="4" t="s">
        <v>73</v>
      </c>
      <c r="B404" s="4" t="s">
        <v>23</v>
      </c>
      <c r="C404" s="4" t="s">
        <v>21</v>
      </c>
      <c r="D404" s="4">
        <v>2011</v>
      </c>
      <c r="E404" s="4">
        <v>5897.5430209933438</v>
      </c>
      <c r="F404" s="4" t="s">
        <v>29</v>
      </c>
    </row>
    <row r="405" spans="1:6" x14ac:dyDescent="0.25">
      <c r="A405" s="4" t="s">
        <v>73</v>
      </c>
      <c r="B405" s="4" t="s">
        <v>23</v>
      </c>
      <c r="C405" s="4" t="s">
        <v>21</v>
      </c>
      <c r="D405" s="4">
        <v>2012</v>
      </c>
      <c r="E405" s="4">
        <v>6255.7563966135203</v>
      </c>
      <c r="F405" s="4" t="s">
        <v>29</v>
      </c>
    </row>
    <row r="406" spans="1:6" x14ac:dyDescent="0.25">
      <c r="A406" s="4" t="s">
        <v>73</v>
      </c>
      <c r="B406" s="4" t="s">
        <v>23</v>
      </c>
      <c r="C406" s="4" t="s">
        <v>21</v>
      </c>
      <c r="D406" s="4">
        <v>2013</v>
      </c>
      <c r="E406" s="4">
        <v>6543.6676024065546</v>
      </c>
      <c r="F406" s="4" t="s">
        <v>29</v>
      </c>
    </row>
    <row r="407" spans="1:6" x14ac:dyDescent="0.25">
      <c r="A407" s="4" t="s">
        <v>73</v>
      </c>
      <c r="B407" s="4" t="s">
        <v>23</v>
      </c>
      <c r="C407" s="4" t="s">
        <v>21</v>
      </c>
      <c r="D407" s="4">
        <v>2014</v>
      </c>
      <c r="E407" s="4">
        <v>7852.9239823348689</v>
      </c>
      <c r="F407" s="4" t="s">
        <v>29</v>
      </c>
    </row>
    <row r="408" spans="1:6" x14ac:dyDescent="0.25">
      <c r="A408" s="4" t="s">
        <v>73</v>
      </c>
      <c r="B408" s="4" t="s">
        <v>23</v>
      </c>
      <c r="C408" s="4" t="s">
        <v>21</v>
      </c>
      <c r="D408" s="4">
        <v>2015</v>
      </c>
      <c r="E408" s="4">
        <v>8686.5470302099329</v>
      </c>
      <c r="F408" s="4" t="s">
        <v>29</v>
      </c>
    </row>
    <row r="409" spans="1:6" x14ac:dyDescent="0.25">
      <c r="A409" s="4" t="s">
        <v>73</v>
      </c>
      <c r="B409" s="4" t="s">
        <v>23</v>
      </c>
      <c r="C409" s="4" t="s">
        <v>21</v>
      </c>
      <c r="D409" s="4">
        <v>2016</v>
      </c>
      <c r="E409" s="4">
        <v>10412.261685823754</v>
      </c>
      <c r="F409" s="4" t="s">
        <v>29</v>
      </c>
    </row>
    <row r="410" spans="1:6" x14ac:dyDescent="0.25">
      <c r="A410" s="4" t="s">
        <v>73</v>
      </c>
      <c r="B410" s="4" t="s">
        <v>23</v>
      </c>
      <c r="C410" s="4" t="s">
        <v>21</v>
      </c>
      <c r="D410" s="4">
        <v>2017</v>
      </c>
      <c r="E410" s="4">
        <v>11690.181041818252</v>
      </c>
      <c r="F410" s="4" t="s">
        <v>29</v>
      </c>
    </row>
    <row r="411" spans="1:6" x14ac:dyDescent="0.25">
      <c r="A411" s="4" t="s">
        <v>73</v>
      </c>
      <c r="B411" s="4" t="s">
        <v>23</v>
      </c>
      <c r="C411" s="4" t="s">
        <v>21</v>
      </c>
      <c r="D411" s="4">
        <v>2018</v>
      </c>
      <c r="E411" s="4">
        <v>12219.913849472599</v>
      </c>
      <c r="F411" s="4" t="s">
        <v>29</v>
      </c>
    </row>
    <row r="412" spans="1:6" x14ac:dyDescent="0.25">
      <c r="A412" s="4" t="s">
        <v>73</v>
      </c>
      <c r="B412" s="4" t="s">
        <v>23</v>
      </c>
      <c r="C412" s="4" t="s">
        <v>21</v>
      </c>
      <c r="D412" s="4">
        <v>2019</v>
      </c>
      <c r="E412" s="4">
        <v>12106.173146473211</v>
      </c>
      <c r="F412" s="4" t="s">
        <v>29</v>
      </c>
    </row>
    <row r="413" spans="1:6" x14ac:dyDescent="0.25">
      <c r="A413" s="4" t="s">
        <v>73</v>
      </c>
      <c r="B413" s="4" t="s">
        <v>23</v>
      </c>
      <c r="C413" s="4" t="s">
        <v>21</v>
      </c>
      <c r="D413" s="4">
        <v>2020</v>
      </c>
      <c r="E413" s="4">
        <v>11996.466671328493</v>
      </c>
      <c r="F413" s="4" t="s">
        <v>29</v>
      </c>
    </row>
    <row r="414" spans="1:6" x14ac:dyDescent="0.25">
      <c r="A414" s="4" t="s">
        <v>73</v>
      </c>
      <c r="B414" s="4" t="s">
        <v>23</v>
      </c>
      <c r="C414" s="4" t="s">
        <v>21</v>
      </c>
      <c r="D414" s="4">
        <v>2021</v>
      </c>
      <c r="E414" s="4">
        <v>12002.376506837631</v>
      </c>
      <c r="F414" s="4" t="s">
        <v>29</v>
      </c>
    </row>
    <row r="415" spans="1:6" x14ac:dyDescent="0.25">
      <c r="A415" s="4" t="s">
        <v>73</v>
      </c>
      <c r="B415" s="4" t="s">
        <v>23</v>
      </c>
      <c r="C415" s="4" t="s">
        <v>21</v>
      </c>
      <c r="D415" s="4">
        <v>2022</v>
      </c>
      <c r="E415" s="4">
        <v>12090.81399637325</v>
      </c>
      <c r="F415" s="4" t="s">
        <v>29</v>
      </c>
    </row>
    <row r="416" spans="1:6" x14ac:dyDescent="0.25">
      <c r="A416" s="4" t="s">
        <v>73</v>
      </c>
      <c r="B416" s="4" t="s">
        <v>23</v>
      </c>
      <c r="C416" s="4" t="s">
        <v>21</v>
      </c>
      <c r="D416" s="4">
        <v>2023</v>
      </c>
      <c r="E416" s="4">
        <v>12200.737971204788</v>
      </c>
      <c r="F416" s="4" t="s">
        <v>29</v>
      </c>
    </row>
    <row r="417" spans="1:6" x14ac:dyDescent="0.25">
      <c r="A417" s="4" t="s">
        <v>73</v>
      </c>
      <c r="B417" s="4" t="s">
        <v>23</v>
      </c>
      <c r="C417" s="4" t="s">
        <v>21</v>
      </c>
      <c r="D417" s="4">
        <v>2024</v>
      </c>
      <c r="E417" s="4">
        <v>12339.360602827381</v>
      </c>
      <c r="F417" s="4" t="s">
        <v>29</v>
      </c>
    </row>
    <row r="418" spans="1:6" x14ac:dyDescent="0.25">
      <c r="A418" s="4" t="s">
        <v>73</v>
      </c>
      <c r="B418" s="4" t="s">
        <v>23</v>
      </c>
      <c r="C418" s="4" t="s">
        <v>21</v>
      </c>
      <c r="D418" s="4">
        <v>2025</v>
      </c>
      <c r="E418" s="4">
        <v>12537.16344380326</v>
      </c>
      <c r="F418" s="4" t="s">
        <v>29</v>
      </c>
    </row>
    <row r="419" spans="1:6" x14ac:dyDescent="0.25">
      <c r="A419" s="4" t="s">
        <v>73</v>
      </c>
      <c r="B419" s="4" t="s">
        <v>23</v>
      </c>
      <c r="C419" s="4" t="s">
        <v>21</v>
      </c>
      <c r="D419" s="4">
        <v>2026</v>
      </c>
      <c r="E419" s="4">
        <v>12787.945118536087</v>
      </c>
      <c r="F419" s="4" t="s">
        <v>29</v>
      </c>
    </row>
    <row r="420" spans="1:6" x14ac:dyDescent="0.25">
      <c r="A420" s="4" t="s">
        <v>73</v>
      </c>
      <c r="B420" s="4" t="s">
        <v>23</v>
      </c>
      <c r="C420" s="4" t="s">
        <v>21</v>
      </c>
      <c r="D420" s="4">
        <v>2027</v>
      </c>
      <c r="E420" s="4">
        <v>13051.838936477114</v>
      </c>
      <c r="F420" s="4" t="s">
        <v>29</v>
      </c>
    </row>
    <row r="421" spans="1:6" x14ac:dyDescent="0.25">
      <c r="A421" s="4" t="s">
        <v>73</v>
      </c>
      <c r="B421" s="4" t="s">
        <v>23</v>
      </c>
      <c r="C421" s="4" t="s">
        <v>21</v>
      </c>
      <c r="D421" s="4">
        <v>2028</v>
      </c>
      <c r="E421" s="4">
        <v>13341.79864159116</v>
      </c>
      <c r="F421" s="4" t="s">
        <v>29</v>
      </c>
    </row>
    <row r="422" spans="1:6" x14ac:dyDescent="0.25">
      <c r="A422" s="4" t="s">
        <v>73</v>
      </c>
      <c r="B422" s="4" t="s">
        <v>23</v>
      </c>
      <c r="C422" s="4" t="s">
        <v>21</v>
      </c>
      <c r="D422" s="4">
        <v>2029</v>
      </c>
      <c r="E422" s="4">
        <v>13680.8420985386</v>
      </c>
      <c r="F422" s="4" t="s">
        <v>29</v>
      </c>
    </row>
    <row r="423" spans="1:6" x14ac:dyDescent="0.25">
      <c r="A423" s="4" t="s">
        <v>73</v>
      </c>
      <c r="B423" s="4" t="s">
        <v>23</v>
      </c>
      <c r="C423" s="4" t="s">
        <v>21</v>
      </c>
      <c r="D423" s="4">
        <v>2030</v>
      </c>
      <c r="E423" s="4">
        <v>14063.293920573857</v>
      </c>
      <c r="F423" s="4" t="s">
        <v>29</v>
      </c>
    </row>
    <row r="424" spans="1:6" x14ac:dyDescent="0.25">
      <c r="A424" s="4" t="s">
        <v>73</v>
      </c>
      <c r="B424" s="4" t="s">
        <v>23</v>
      </c>
      <c r="C424" s="4" t="s">
        <v>21</v>
      </c>
      <c r="D424" s="4">
        <v>2031</v>
      </c>
      <c r="E424" s="4">
        <v>14483.902444542266</v>
      </c>
      <c r="F424" s="4" t="s">
        <v>29</v>
      </c>
    </row>
    <row r="425" spans="1:6" x14ac:dyDescent="0.25">
      <c r="A425" s="4" t="s">
        <v>73</v>
      </c>
      <c r="B425" s="4" t="s">
        <v>23</v>
      </c>
      <c r="C425" s="4" t="s">
        <v>21</v>
      </c>
      <c r="D425" s="4">
        <v>2032</v>
      </c>
      <c r="E425" s="4">
        <v>14948.052109128672</v>
      </c>
      <c r="F425" s="4" t="s">
        <v>29</v>
      </c>
    </row>
    <row r="426" spans="1:6" x14ac:dyDescent="0.25">
      <c r="A426" s="4" t="s">
        <v>73</v>
      </c>
      <c r="B426" s="4" t="s">
        <v>23</v>
      </c>
      <c r="C426" s="4" t="s">
        <v>21</v>
      </c>
      <c r="D426" s="4">
        <v>2033</v>
      </c>
      <c r="E426" s="4">
        <v>15436.400790248163</v>
      </c>
      <c r="F426" s="4" t="s">
        <v>29</v>
      </c>
    </row>
    <row r="427" spans="1:6" x14ac:dyDescent="0.25">
      <c r="A427" s="4" t="s">
        <v>73</v>
      </c>
      <c r="B427" s="4" t="s">
        <v>23</v>
      </c>
      <c r="C427" s="4" t="s">
        <v>21</v>
      </c>
      <c r="D427" s="4">
        <v>2034</v>
      </c>
      <c r="E427" s="4">
        <v>15921.607903636013</v>
      </c>
      <c r="F427" s="4" t="s">
        <v>29</v>
      </c>
    </row>
    <row r="428" spans="1:6" x14ac:dyDescent="0.25">
      <c r="A428" s="4" t="s">
        <v>73</v>
      </c>
      <c r="B428" s="4" t="s">
        <v>23</v>
      </c>
      <c r="C428" s="4" t="s">
        <v>21</v>
      </c>
      <c r="D428" s="4">
        <v>2035</v>
      </c>
      <c r="E428" s="4">
        <v>16423.91521292154</v>
      </c>
      <c r="F428" s="4" t="s">
        <v>29</v>
      </c>
    </row>
    <row r="429" spans="1:6" x14ac:dyDescent="0.25">
      <c r="A429" s="4" t="s">
        <v>73</v>
      </c>
      <c r="B429" s="4" t="s">
        <v>23</v>
      </c>
      <c r="C429" s="4" t="s">
        <v>21</v>
      </c>
      <c r="D429" s="4">
        <v>2036</v>
      </c>
      <c r="E429" s="4">
        <v>16944.052559605268</v>
      </c>
      <c r="F429" s="4" t="s">
        <v>29</v>
      </c>
    </row>
    <row r="430" spans="1:6" x14ac:dyDescent="0.25">
      <c r="A430" s="4" t="s">
        <v>73</v>
      </c>
      <c r="B430" s="4" t="s">
        <v>23</v>
      </c>
      <c r="C430" s="4" t="s">
        <v>21</v>
      </c>
      <c r="D430" s="4">
        <v>2037</v>
      </c>
      <c r="E430" s="4">
        <v>17470.868838595437</v>
      </c>
      <c r="F430" s="4" t="s">
        <v>29</v>
      </c>
    </row>
    <row r="431" spans="1:6" x14ac:dyDescent="0.25">
      <c r="A431" s="4" t="s">
        <v>73</v>
      </c>
      <c r="B431" s="4" t="s">
        <v>23</v>
      </c>
      <c r="C431" s="4" t="s">
        <v>21</v>
      </c>
      <c r="D431" s="4">
        <v>2038</v>
      </c>
      <c r="E431" s="4">
        <v>18027.151335656257</v>
      </c>
      <c r="F431" s="4" t="s">
        <v>29</v>
      </c>
    </row>
    <row r="432" spans="1:6" x14ac:dyDescent="0.25">
      <c r="A432" s="4" t="s">
        <v>73</v>
      </c>
      <c r="B432" s="4" t="s">
        <v>23</v>
      </c>
      <c r="C432" s="4" t="s">
        <v>21</v>
      </c>
      <c r="D432" s="4">
        <v>2039</v>
      </c>
      <c r="E432" s="4">
        <v>18615.521860889356</v>
      </c>
      <c r="F432" s="4" t="s">
        <v>29</v>
      </c>
    </row>
    <row r="433" spans="1:6" x14ac:dyDescent="0.25">
      <c r="A433" s="4" t="s">
        <v>73</v>
      </c>
      <c r="B433" s="4" t="s">
        <v>23</v>
      </c>
      <c r="C433" s="4" t="s">
        <v>21</v>
      </c>
      <c r="D433" s="4">
        <v>2040</v>
      </c>
      <c r="E433" s="4">
        <v>19237.917890989898</v>
      </c>
      <c r="F433" s="4" t="s">
        <v>29</v>
      </c>
    </row>
    <row r="434" spans="1:6" x14ac:dyDescent="0.25">
      <c r="A434" s="4" t="s">
        <v>74</v>
      </c>
      <c r="B434" s="4" t="s">
        <v>1</v>
      </c>
      <c r="C434" s="4" t="s">
        <v>21</v>
      </c>
      <c r="D434" s="4">
        <v>2005</v>
      </c>
      <c r="E434" s="4">
        <v>61608.885781863297</v>
      </c>
      <c r="F434" s="4" t="s">
        <v>29</v>
      </c>
    </row>
    <row r="435" spans="1:6" x14ac:dyDescent="0.25">
      <c r="A435" s="4" t="s">
        <v>74</v>
      </c>
      <c r="B435" s="4" t="s">
        <v>1</v>
      </c>
      <c r="C435" s="4" t="s">
        <v>21</v>
      </c>
      <c r="D435" s="4">
        <v>2006</v>
      </c>
      <c r="E435" s="4">
        <v>59160.558397498877</v>
      </c>
      <c r="F435" s="4" t="s">
        <v>29</v>
      </c>
    </row>
    <row r="436" spans="1:6" x14ac:dyDescent="0.25">
      <c r="A436" s="4" t="s">
        <v>74</v>
      </c>
      <c r="B436" s="4" t="s">
        <v>1</v>
      </c>
      <c r="C436" s="4" t="s">
        <v>21</v>
      </c>
      <c r="D436" s="4">
        <v>2007</v>
      </c>
      <c r="E436" s="4">
        <v>57156.982398125292</v>
      </c>
      <c r="F436" s="4" t="s">
        <v>29</v>
      </c>
    </row>
    <row r="437" spans="1:6" x14ac:dyDescent="0.25">
      <c r="A437" s="4" t="s">
        <v>74</v>
      </c>
      <c r="B437" s="4" t="s">
        <v>1</v>
      </c>
      <c r="C437" s="4" t="s">
        <v>21</v>
      </c>
      <c r="D437" s="4">
        <v>2008</v>
      </c>
      <c r="E437" s="4">
        <v>55079.4261325193</v>
      </c>
      <c r="F437" s="4" t="s">
        <v>29</v>
      </c>
    </row>
    <row r="438" spans="1:6" x14ac:dyDescent="0.25">
      <c r="A438" s="4" t="s">
        <v>74</v>
      </c>
      <c r="B438" s="4" t="s">
        <v>1</v>
      </c>
      <c r="C438" s="4" t="s">
        <v>21</v>
      </c>
      <c r="D438" s="4">
        <v>2009</v>
      </c>
      <c r="E438" s="4">
        <v>50836.217720381457</v>
      </c>
      <c r="F438" s="4" t="s">
        <v>29</v>
      </c>
    </row>
    <row r="439" spans="1:6" x14ac:dyDescent="0.25">
      <c r="A439" s="4" t="s">
        <v>74</v>
      </c>
      <c r="B439" s="4" t="s">
        <v>1</v>
      </c>
      <c r="C439" s="4" t="s">
        <v>21</v>
      </c>
      <c r="D439" s="4">
        <v>2010</v>
      </c>
      <c r="E439" s="4">
        <v>51338.873677928677</v>
      </c>
      <c r="F439" s="4" t="s">
        <v>29</v>
      </c>
    </row>
    <row r="440" spans="1:6" x14ac:dyDescent="0.25">
      <c r="A440" s="4" t="s">
        <v>74</v>
      </c>
      <c r="B440" s="4" t="s">
        <v>1</v>
      </c>
      <c r="C440" s="4" t="s">
        <v>21</v>
      </c>
      <c r="D440" s="4">
        <v>2011</v>
      </c>
      <c r="E440" s="4">
        <v>56341.617267120324</v>
      </c>
      <c r="F440" s="4" t="s">
        <v>29</v>
      </c>
    </row>
    <row r="441" spans="1:6" x14ac:dyDescent="0.25">
      <c r="A441" s="4" t="s">
        <v>74</v>
      </c>
      <c r="B441" s="4" t="s">
        <v>1</v>
      </c>
      <c r="C441" s="4" t="s">
        <v>21</v>
      </c>
      <c r="D441" s="4">
        <v>2012</v>
      </c>
      <c r="E441" s="4">
        <v>65504.216617338796</v>
      </c>
      <c r="F441" s="4" t="s">
        <v>29</v>
      </c>
    </row>
    <row r="442" spans="1:6" x14ac:dyDescent="0.25">
      <c r="A442" s="4" t="s">
        <v>74</v>
      </c>
      <c r="B442" s="4" t="s">
        <v>1</v>
      </c>
      <c r="C442" s="4" t="s">
        <v>21</v>
      </c>
      <c r="D442" s="4">
        <v>2013</v>
      </c>
      <c r="E442" s="4">
        <v>69200.576338328712</v>
      </c>
      <c r="F442" s="4" t="s">
        <v>29</v>
      </c>
    </row>
    <row r="443" spans="1:6" x14ac:dyDescent="0.25">
      <c r="A443" s="4" t="s">
        <v>74</v>
      </c>
      <c r="B443" s="4" t="s">
        <v>1</v>
      </c>
      <c r="C443" s="4" t="s">
        <v>21</v>
      </c>
      <c r="D443" s="4">
        <v>2014</v>
      </c>
      <c r="E443" s="4">
        <v>71051.166299791337</v>
      </c>
      <c r="F443" s="4" t="s">
        <v>29</v>
      </c>
    </row>
    <row r="444" spans="1:6" x14ac:dyDescent="0.25">
      <c r="A444" s="4" t="s">
        <v>74</v>
      </c>
      <c r="B444" s="4" t="s">
        <v>1</v>
      </c>
      <c r="C444" s="4" t="s">
        <v>21</v>
      </c>
      <c r="D444" s="4">
        <v>2015</v>
      </c>
      <c r="E444" s="4">
        <v>64074.35544146796</v>
      </c>
      <c r="F444" s="4" t="s">
        <v>29</v>
      </c>
    </row>
    <row r="445" spans="1:6" x14ac:dyDescent="0.25">
      <c r="A445" s="4" t="s">
        <v>74</v>
      </c>
      <c r="B445" s="4" t="s">
        <v>1</v>
      </c>
      <c r="C445" s="4" t="s">
        <v>21</v>
      </c>
      <c r="D445" s="4">
        <v>2016</v>
      </c>
      <c r="E445" s="4">
        <v>53323.447957963377</v>
      </c>
      <c r="F445" s="4" t="s">
        <v>29</v>
      </c>
    </row>
    <row r="446" spans="1:6" x14ac:dyDescent="0.25">
      <c r="A446" s="4" t="s">
        <v>74</v>
      </c>
      <c r="B446" s="4" t="s">
        <v>1</v>
      </c>
      <c r="C446" s="4" t="s">
        <v>21</v>
      </c>
      <c r="D446" s="4">
        <v>2017</v>
      </c>
      <c r="E446" s="4">
        <v>53315.231226348718</v>
      </c>
      <c r="F446" s="4" t="s">
        <v>29</v>
      </c>
    </row>
    <row r="447" spans="1:6" x14ac:dyDescent="0.25">
      <c r="A447" s="4" t="s">
        <v>74</v>
      </c>
      <c r="B447" s="4" t="s">
        <v>1</v>
      </c>
      <c r="C447" s="4" t="s">
        <v>21</v>
      </c>
      <c r="D447" s="4">
        <v>2018</v>
      </c>
      <c r="E447" s="4">
        <v>54344.354991857785</v>
      </c>
      <c r="F447" s="4" t="s">
        <v>29</v>
      </c>
    </row>
    <row r="448" spans="1:6" x14ac:dyDescent="0.25">
      <c r="A448" s="4" t="s">
        <v>74</v>
      </c>
      <c r="B448" s="4" t="s">
        <v>1</v>
      </c>
      <c r="C448" s="4" t="s">
        <v>21</v>
      </c>
      <c r="D448" s="4">
        <v>2019</v>
      </c>
      <c r="E448" s="4">
        <v>54996.004427920117</v>
      </c>
      <c r="F448" s="4" t="s">
        <v>29</v>
      </c>
    </row>
    <row r="449" spans="1:6" x14ac:dyDescent="0.25">
      <c r="A449" s="4" t="s">
        <v>74</v>
      </c>
      <c r="B449" s="4" t="s">
        <v>1</v>
      </c>
      <c r="C449" s="4" t="s">
        <v>21</v>
      </c>
      <c r="D449" s="4">
        <v>2020</v>
      </c>
      <c r="E449" s="4">
        <v>55037.075774348006</v>
      </c>
      <c r="F449" s="4" t="s">
        <v>29</v>
      </c>
    </row>
    <row r="450" spans="1:6" x14ac:dyDescent="0.25">
      <c r="A450" s="4" t="s">
        <v>74</v>
      </c>
      <c r="B450" s="4" t="s">
        <v>1</v>
      </c>
      <c r="C450" s="4" t="s">
        <v>21</v>
      </c>
      <c r="D450" s="4">
        <v>2021</v>
      </c>
      <c r="E450" s="4">
        <v>55132.943089922934</v>
      </c>
      <c r="F450" s="4" t="s">
        <v>29</v>
      </c>
    </row>
    <row r="451" spans="1:6" x14ac:dyDescent="0.25">
      <c r="A451" s="4" t="s">
        <v>74</v>
      </c>
      <c r="B451" s="4" t="s">
        <v>1</v>
      </c>
      <c r="C451" s="4" t="s">
        <v>21</v>
      </c>
      <c r="D451" s="4">
        <v>2022</v>
      </c>
      <c r="E451" s="4">
        <v>55490.307298059655</v>
      </c>
      <c r="F451" s="4" t="s">
        <v>29</v>
      </c>
    </row>
    <row r="452" spans="1:6" x14ac:dyDescent="0.25">
      <c r="A452" s="4" t="s">
        <v>74</v>
      </c>
      <c r="B452" s="4" t="s">
        <v>1</v>
      </c>
      <c r="C452" s="4" t="s">
        <v>21</v>
      </c>
      <c r="D452" s="4">
        <v>2023</v>
      </c>
      <c r="E452" s="4">
        <v>56376.75319678121</v>
      </c>
      <c r="F452" s="4" t="s">
        <v>29</v>
      </c>
    </row>
    <row r="453" spans="1:6" x14ac:dyDescent="0.25">
      <c r="A453" s="4" t="s">
        <v>74</v>
      </c>
      <c r="B453" s="4" t="s">
        <v>1</v>
      </c>
      <c r="C453" s="4" t="s">
        <v>21</v>
      </c>
      <c r="D453" s="4">
        <v>2024</v>
      </c>
      <c r="E453" s="4">
        <v>57816.49339958014</v>
      </c>
      <c r="F453" s="4" t="s">
        <v>29</v>
      </c>
    </row>
    <row r="454" spans="1:6" x14ac:dyDescent="0.25">
      <c r="A454" s="4" t="s">
        <v>74</v>
      </c>
      <c r="B454" s="4" t="s">
        <v>1</v>
      </c>
      <c r="C454" s="4" t="s">
        <v>21</v>
      </c>
      <c r="D454" s="4">
        <v>2025</v>
      </c>
      <c r="E454" s="4">
        <v>59672.191047091066</v>
      </c>
      <c r="F454" s="4" t="s">
        <v>29</v>
      </c>
    </row>
    <row r="455" spans="1:6" x14ac:dyDescent="0.25">
      <c r="A455" s="4" t="s">
        <v>74</v>
      </c>
      <c r="B455" s="4" t="s">
        <v>1</v>
      </c>
      <c r="C455" s="4" t="s">
        <v>21</v>
      </c>
      <c r="D455" s="4">
        <v>2026</v>
      </c>
      <c r="E455" s="4">
        <v>61726.585083931328</v>
      </c>
      <c r="F455" s="4" t="s">
        <v>29</v>
      </c>
    </row>
    <row r="456" spans="1:6" x14ac:dyDescent="0.25">
      <c r="A456" s="4" t="s">
        <v>74</v>
      </c>
      <c r="B456" s="4" t="s">
        <v>1</v>
      </c>
      <c r="C456" s="4" t="s">
        <v>21</v>
      </c>
      <c r="D456" s="4">
        <v>2027</v>
      </c>
      <c r="E456" s="4">
        <v>63797.189353814792</v>
      </c>
      <c r="F456" s="4" t="s">
        <v>29</v>
      </c>
    </row>
    <row r="457" spans="1:6" x14ac:dyDescent="0.25">
      <c r="A457" s="4" t="s">
        <v>74</v>
      </c>
      <c r="B457" s="4" t="s">
        <v>1</v>
      </c>
      <c r="C457" s="4" t="s">
        <v>21</v>
      </c>
      <c r="D457" s="4">
        <v>2028</v>
      </c>
      <c r="E457" s="4">
        <v>65816.01567189768</v>
      </c>
      <c r="F457" s="4" t="s">
        <v>29</v>
      </c>
    </row>
    <row r="458" spans="1:6" x14ac:dyDescent="0.25">
      <c r="A458" s="4" t="s">
        <v>74</v>
      </c>
      <c r="B458" s="4" t="s">
        <v>1</v>
      </c>
      <c r="C458" s="4" t="s">
        <v>21</v>
      </c>
      <c r="D458" s="4">
        <v>2029</v>
      </c>
      <c r="E458" s="4">
        <v>67746.256863680916</v>
      </c>
      <c r="F458" s="4" t="s">
        <v>29</v>
      </c>
    </row>
    <row r="459" spans="1:6" x14ac:dyDescent="0.25">
      <c r="A459" s="4" t="s">
        <v>74</v>
      </c>
      <c r="B459" s="4" t="s">
        <v>1</v>
      </c>
      <c r="C459" s="4" t="s">
        <v>21</v>
      </c>
      <c r="D459" s="4">
        <v>2030</v>
      </c>
      <c r="E459" s="4">
        <v>69572.882765297574</v>
      </c>
      <c r="F459" s="4" t="s">
        <v>29</v>
      </c>
    </row>
    <row r="460" spans="1:6" x14ac:dyDescent="0.25">
      <c r="A460" s="4" t="s">
        <v>74</v>
      </c>
      <c r="B460" s="4" t="s">
        <v>1</v>
      </c>
      <c r="C460" s="4" t="s">
        <v>21</v>
      </c>
      <c r="D460" s="4">
        <v>2031</v>
      </c>
      <c r="E460" s="4">
        <v>71332.312159089008</v>
      </c>
      <c r="F460" s="4" t="s">
        <v>29</v>
      </c>
    </row>
    <row r="461" spans="1:6" x14ac:dyDescent="0.25">
      <c r="A461" s="4" t="s">
        <v>74</v>
      </c>
      <c r="B461" s="4" t="s">
        <v>1</v>
      </c>
      <c r="C461" s="4" t="s">
        <v>21</v>
      </c>
      <c r="D461" s="4">
        <v>2032</v>
      </c>
      <c r="E461" s="4">
        <v>73057.938720754828</v>
      </c>
      <c r="F461" s="4" t="s">
        <v>29</v>
      </c>
    </row>
    <row r="462" spans="1:6" x14ac:dyDescent="0.25">
      <c r="A462" s="4" t="s">
        <v>74</v>
      </c>
      <c r="B462" s="4" t="s">
        <v>1</v>
      </c>
      <c r="C462" s="4" t="s">
        <v>21</v>
      </c>
      <c r="D462" s="4">
        <v>2033</v>
      </c>
      <c r="E462" s="4">
        <v>74825.861940750692</v>
      </c>
      <c r="F462" s="4" t="s">
        <v>29</v>
      </c>
    </row>
    <row r="463" spans="1:6" x14ac:dyDescent="0.25">
      <c r="A463" s="4" t="s">
        <v>74</v>
      </c>
      <c r="B463" s="4" t="s">
        <v>1</v>
      </c>
      <c r="C463" s="4" t="s">
        <v>21</v>
      </c>
      <c r="D463" s="4">
        <v>2034</v>
      </c>
      <c r="E463" s="4">
        <v>76668.589598701001</v>
      </c>
      <c r="F463" s="4" t="s">
        <v>29</v>
      </c>
    </row>
    <row r="464" spans="1:6" x14ac:dyDescent="0.25">
      <c r="A464" s="4" t="s">
        <v>74</v>
      </c>
      <c r="B464" s="4" t="s">
        <v>1</v>
      </c>
      <c r="C464" s="4" t="s">
        <v>21</v>
      </c>
      <c r="D464" s="4">
        <v>2035</v>
      </c>
      <c r="E464" s="4">
        <v>78572.110370284645</v>
      </c>
      <c r="F464" s="4" t="s">
        <v>29</v>
      </c>
    </row>
    <row r="465" spans="1:6" x14ac:dyDescent="0.25">
      <c r="A465" s="4" t="s">
        <v>74</v>
      </c>
      <c r="B465" s="4" t="s">
        <v>1</v>
      </c>
      <c r="C465" s="4" t="s">
        <v>21</v>
      </c>
      <c r="D465" s="4">
        <v>2036</v>
      </c>
      <c r="E465" s="4">
        <v>80517.547191045334</v>
      </c>
      <c r="F465" s="4" t="s">
        <v>29</v>
      </c>
    </row>
    <row r="466" spans="1:6" x14ac:dyDescent="0.25">
      <c r="A466" s="4" t="s">
        <v>74</v>
      </c>
      <c r="B466" s="4" t="s">
        <v>1</v>
      </c>
      <c r="C466" s="4" t="s">
        <v>21</v>
      </c>
      <c r="D466" s="4">
        <v>2037</v>
      </c>
      <c r="E466" s="4">
        <v>82487.036700780416</v>
      </c>
      <c r="F466" s="4" t="s">
        <v>29</v>
      </c>
    </row>
    <row r="467" spans="1:6" x14ac:dyDescent="0.25">
      <c r="A467" s="4" t="s">
        <v>74</v>
      </c>
      <c r="B467" s="4" t="s">
        <v>1</v>
      </c>
      <c r="C467" s="4" t="s">
        <v>21</v>
      </c>
      <c r="D467" s="4">
        <v>2038</v>
      </c>
      <c r="E467" s="4">
        <v>84449.862442022946</v>
      </c>
      <c r="F467" s="4" t="s">
        <v>29</v>
      </c>
    </row>
    <row r="468" spans="1:6" x14ac:dyDescent="0.25">
      <c r="A468" s="4" t="s">
        <v>74</v>
      </c>
      <c r="B468" s="4" t="s">
        <v>1</v>
      </c>
      <c r="C468" s="4" t="s">
        <v>21</v>
      </c>
      <c r="D468" s="4">
        <v>2039</v>
      </c>
      <c r="E468" s="4">
        <v>86374.69061356262</v>
      </c>
      <c r="F468" s="4" t="s">
        <v>29</v>
      </c>
    </row>
    <row r="469" spans="1:6" x14ac:dyDescent="0.25">
      <c r="A469" s="4" t="s">
        <v>74</v>
      </c>
      <c r="B469" s="4" t="s">
        <v>1</v>
      </c>
      <c r="C469" s="4" t="s">
        <v>21</v>
      </c>
      <c r="D469" s="4">
        <v>2040</v>
      </c>
      <c r="E469" s="4">
        <v>88286.211139932464</v>
      </c>
      <c r="F469" s="4" t="s">
        <v>29</v>
      </c>
    </row>
    <row r="470" spans="1:6" x14ac:dyDescent="0.25">
      <c r="A470" s="4" t="s">
        <v>74</v>
      </c>
      <c r="B470" s="4" t="s">
        <v>2</v>
      </c>
      <c r="C470" s="4" t="s">
        <v>21</v>
      </c>
      <c r="D470" s="4">
        <v>2005</v>
      </c>
      <c r="E470" s="4">
        <v>29193.593812990777</v>
      </c>
      <c r="F470" s="4" t="s">
        <v>29</v>
      </c>
    </row>
    <row r="471" spans="1:6" x14ac:dyDescent="0.25">
      <c r="A471" s="4" t="s">
        <v>74</v>
      </c>
      <c r="B471" s="4" t="s">
        <v>2</v>
      </c>
      <c r="C471" s="4" t="s">
        <v>21</v>
      </c>
      <c r="D471" s="4">
        <v>2006</v>
      </c>
      <c r="E471" s="4">
        <v>27160.952141415612</v>
      </c>
      <c r="F471" s="4" t="s">
        <v>29</v>
      </c>
    </row>
    <row r="472" spans="1:6" x14ac:dyDescent="0.25">
      <c r="A472" s="4" t="s">
        <v>74</v>
      </c>
      <c r="B472" s="4" t="s">
        <v>2</v>
      </c>
      <c r="C472" s="4" t="s">
        <v>21</v>
      </c>
      <c r="D472" s="4">
        <v>2007</v>
      </c>
      <c r="E472" s="4">
        <v>26214.863449288954</v>
      </c>
      <c r="F472" s="4" t="s">
        <v>29</v>
      </c>
    </row>
    <row r="473" spans="1:6" x14ac:dyDescent="0.25">
      <c r="A473" s="4" t="s">
        <v>74</v>
      </c>
      <c r="B473" s="4" t="s">
        <v>2</v>
      </c>
      <c r="C473" s="4" t="s">
        <v>21</v>
      </c>
      <c r="D473" s="4">
        <v>2008</v>
      </c>
      <c r="E473" s="4">
        <v>24858.490534147371</v>
      </c>
      <c r="F473" s="4" t="s">
        <v>29</v>
      </c>
    </row>
    <row r="474" spans="1:6" x14ac:dyDescent="0.25">
      <c r="A474" s="4" t="s">
        <v>74</v>
      </c>
      <c r="B474" s="4" t="s">
        <v>2</v>
      </c>
      <c r="C474" s="4" t="s">
        <v>21</v>
      </c>
      <c r="D474" s="4">
        <v>2009</v>
      </c>
      <c r="E474" s="4">
        <v>22446.045407498725</v>
      </c>
      <c r="F474" s="4" t="s">
        <v>29</v>
      </c>
    </row>
    <row r="475" spans="1:6" x14ac:dyDescent="0.25">
      <c r="A475" s="4" t="s">
        <v>74</v>
      </c>
      <c r="B475" s="4" t="s">
        <v>2</v>
      </c>
      <c r="C475" s="4" t="s">
        <v>21</v>
      </c>
      <c r="D475" s="4">
        <v>2010</v>
      </c>
      <c r="E475" s="4">
        <v>21617.565081031888</v>
      </c>
      <c r="F475" s="4" t="s">
        <v>29</v>
      </c>
    </row>
    <row r="476" spans="1:6" x14ac:dyDescent="0.25">
      <c r="A476" s="4" t="s">
        <v>74</v>
      </c>
      <c r="B476" s="4" t="s">
        <v>2</v>
      </c>
      <c r="C476" s="4" t="s">
        <v>21</v>
      </c>
      <c r="D476" s="4">
        <v>2011</v>
      </c>
      <c r="E476" s="4">
        <v>21535.350062628768</v>
      </c>
      <c r="F476" s="4" t="s">
        <v>29</v>
      </c>
    </row>
    <row r="477" spans="1:6" x14ac:dyDescent="0.25">
      <c r="A477" s="4" t="s">
        <v>74</v>
      </c>
      <c r="B477" s="4" t="s">
        <v>2</v>
      </c>
      <c r="C477" s="4" t="s">
        <v>21</v>
      </c>
      <c r="D477" s="4">
        <v>2012</v>
      </c>
      <c r="E477" s="4">
        <v>22936.758509477593</v>
      </c>
      <c r="F477" s="4" t="s">
        <v>29</v>
      </c>
    </row>
    <row r="478" spans="1:6" x14ac:dyDescent="0.25">
      <c r="A478" s="4" t="s">
        <v>74</v>
      </c>
      <c r="B478" s="4" t="s">
        <v>2</v>
      </c>
      <c r="C478" s="4" t="s">
        <v>21</v>
      </c>
      <c r="D478" s="4">
        <v>2013</v>
      </c>
      <c r="E478" s="4">
        <v>23326.349274190499</v>
      </c>
      <c r="F478" s="4" t="s">
        <v>29</v>
      </c>
    </row>
    <row r="479" spans="1:6" x14ac:dyDescent="0.25">
      <c r="A479" s="4" t="s">
        <v>74</v>
      </c>
      <c r="B479" s="4" t="s">
        <v>2</v>
      </c>
      <c r="C479" s="4" t="s">
        <v>21</v>
      </c>
      <c r="D479" s="4">
        <v>2014</v>
      </c>
      <c r="E479" s="4">
        <v>22640.786462625441</v>
      </c>
      <c r="F479" s="4" t="s">
        <v>29</v>
      </c>
    </row>
    <row r="480" spans="1:6" x14ac:dyDescent="0.25">
      <c r="A480" s="4" t="s">
        <v>74</v>
      </c>
      <c r="B480" s="4" t="s">
        <v>2</v>
      </c>
      <c r="C480" s="4" t="s">
        <v>21</v>
      </c>
      <c r="D480" s="4">
        <v>2015</v>
      </c>
      <c r="E480" s="4">
        <v>20228.204740943693</v>
      </c>
      <c r="F480" s="4" t="s">
        <v>29</v>
      </c>
    </row>
    <row r="481" spans="1:6" x14ac:dyDescent="0.25">
      <c r="A481" s="4" t="s">
        <v>74</v>
      </c>
      <c r="B481" s="4" t="s">
        <v>2</v>
      </c>
      <c r="C481" s="4" t="s">
        <v>21</v>
      </c>
      <c r="D481" s="4">
        <v>2016</v>
      </c>
      <c r="E481" s="4">
        <v>17488.412924688299</v>
      </c>
      <c r="F481" s="4" t="s">
        <v>29</v>
      </c>
    </row>
    <row r="482" spans="1:6" x14ac:dyDescent="0.25">
      <c r="A482" s="4" t="s">
        <v>74</v>
      </c>
      <c r="B482" s="4" t="s">
        <v>2</v>
      </c>
      <c r="C482" s="4" t="s">
        <v>21</v>
      </c>
      <c r="D482" s="4">
        <v>2017</v>
      </c>
      <c r="E482" s="4">
        <v>17204.000523056242</v>
      </c>
      <c r="F482" s="4" t="s">
        <v>29</v>
      </c>
    </row>
    <row r="483" spans="1:6" x14ac:dyDescent="0.25">
      <c r="A483" s="4" t="s">
        <v>74</v>
      </c>
      <c r="B483" s="4" t="s">
        <v>2</v>
      </c>
      <c r="C483" s="4" t="s">
        <v>21</v>
      </c>
      <c r="D483" s="4">
        <v>2018</v>
      </c>
      <c r="E483" s="4">
        <v>16181.945772342844</v>
      </c>
      <c r="F483" s="4" t="s">
        <v>29</v>
      </c>
    </row>
    <row r="484" spans="1:6" x14ac:dyDescent="0.25">
      <c r="A484" s="4" t="s">
        <v>74</v>
      </c>
      <c r="B484" s="4" t="s">
        <v>2</v>
      </c>
      <c r="C484" s="4" t="s">
        <v>21</v>
      </c>
      <c r="D484" s="4">
        <v>2019</v>
      </c>
      <c r="E484" s="4">
        <v>15212.096218158937</v>
      </c>
      <c r="F484" s="4" t="s">
        <v>29</v>
      </c>
    </row>
    <row r="485" spans="1:6" x14ac:dyDescent="0.25">
      <c r="A485" s="4" t="s">
        <v>74</v>
      </c>
      <c r="B485" s="4" t="s">
        <v>2</v>
      </c>
      <c r="C485" s="4" t="s">
        <v>21</v>
      </c>
      <c r="D485" s="4">
        <v>2020</v>
      </c>
      <c r="E485" s="4">
        <v>14340.590948850591</v>
      </c>
      <c r="F485" s="4" t="s">
        <v>29</v>
      </c>
    </row>
    <row r="486" spans="1:6" x14ac:dyDescent="0.25">
      <c r="A486" s="4" t="s">
        <v>74</v>
      </c>
      <c r="B486" s="4" t="s">
        <v>2</v>
      </c>
      <c r="C486" s="4" t="s">
        <v>21</v>
      </c>
      <c r="D486" s="4">
        <v>2021</v>
      </c>
      <c r="E486" s="4">
        <v>13691.771077238567</v>
      </c>
      <c r="F486" s="4" t="s">
        <v>29</v>
      </c>
    </row>
    <row r="487" spans="1:6" x14ac:dyDescent="0.25">
      <c r="A487" s="4" t="s">
        <v>74</v>
      </c>
      <c r="B487" s="4" t="s">
        <v>2</v>
      </c>
      <c r="C487" s="4" t="s">
        <v>21</v>
      </c>
      <c r="D487" s="4">
        <v>2022</v>
      </c>
      <c r="E487" s="4">
        <v>13302.117249484483</v>
      </c>
      <c r="F487" s="4" t="s">
        <v>29</v>
      </c>
    </row>
    <row r="488" spans="1:6" x14ac:dyDescent="0.25">
      <c r="A488" s="4" t="s">
        <v>74</v>
      </c>
      <c r="B488" s="4" t="s">
        <v>2</v>
      </c>
      <c r="C488" s="4" t="s">
        <v>21</v>
      </c>
      <c r="D488" s="4">
        <v>2023</v>
      </c>
      <c r="E488" s="4">
        <v>13197.111921537204</v>
      </c>
      <c r="F488" s="4" t="s">
        <v>29</v>
      </c>
    </row>
    <row r="489" spans="1:6" x14ac:dyDescent="0.25">
      <c r="A489" s="4" t="s">
        <v>74</v>
      </c>
      <c r="B489" s="4" t="s">
        <v>2</v>
      </c>
      <c r="C489" s="4" t="s">
        <v>21</v>
      </c>
      <c r="D489" s="4">
        <v>2024</v>
      </c>
      <c r="E489" s="4">
        <v>13358.18077957497</v>
      </c>
      <c r="F489" s="4" t="s">
        <v>29</v>
      </c>
    </row>
    <row r="490" spans="1:6" x14ac:dyDescent="0.25">
      <c r="A490" s="4" t="s">
        <v>74</v>
      </c>
      <c r="B490" s="4" t="s">
        <v>2</v>
      </c>
      <c r="C490" s="4" t="s">
        <v>21</v>
      </c>
      <c r="D490" s="4">
        <v>2025</v>
      </c>
      <c r="E490" s="4">
        <v>13722.562325986923</v>
      </c>
      <c r="F490" s="4" t="s">
        <v>29</v>
      </c>
    </row>
    <row r="491" spans="1:6" x14ac:dyDescent="0.25">
      <c r="A491" s="4" t="s">
        <v>74</v>
      </c>
      <c r="B491" s="4" t="s">
        <v>2</v>
      </c>
      <c r="C491" s="4" t="s">
        <v>21</v>
      </c>
      <c r="D491" s="4">
        <v>2026</v>
      </c>
      <c r="E491" s="4">
        <v>14212.957832739014</v>
      </c>
      <c r="F491" s="4" t="s">
        <v>29</v>
      </c>
    </row>
    <row r="492" spans="1:6" x14ac:dyDescent="0.25">
      <c r="A492" s="4" t="s">
        <v>74</v>
      </c>
      <c r="B492" s="4" t="s">
        <v>2</v>
      </c>
      <c r="C492" s="4" t="s">
        <v>21</v>
      </c>
      <c r="D492" s="4">
        <v>2027</v>
      </c>
      <c r="E492" s="4">
        <v>14763.245685002381</v>
      </c>
      <c r="F492" s="4" t="s">
        <v>29</v>
      </c>
    </row>
    <row r="493" spans="1:6" x14ac:dyDescent="0.25">
      <c r="A493" s="4" t="s">
        <v>74</v>
      </c>
      <c r="B493" s="4" t="s">
        <v>2</v>
      </c>
      <c r="C493" s="4" t="s">
        <v>21</v>
      </c>
      <c r="D493" s="4">
        <v>2028</v>
      </c>
      <c r="E493" s="4">
        <v>15327.957792648214</v>
      </c>
      <c r="F493" s="4" t="s">
        <v>29</v>
      </c>
    </row>
    <row r="494" spans="1:6" x14ac:dyDescent="0.25">
      <c r="A494" s="4" t="s">
        <v>74</v>
      </c>
      <c r="B494" s="4" t="s">
        <v>2</v>
      </c>
      <c r="C494" s="4" t="s">
        <v>21</v>
      </c>
      <c r="D494" s="4">
        <v>2029</v>
      </c>
      <c r="E494" s="4">
        <v>15880.827548802732</v>
      </c>
      <c r="F494" s="4" t="s">
        <v>29</v>
      </c>
    </row>
    <row r="495" spans="1:6" x14ac:dyDescent="0.25">
      <c r="A495" s="4" t="s">
        <v>74</v>
      </c>
      <c r="B495" s="4" t="s">
        <v>2</v>
      </c>
      <c r="C495" s="4" t="s">
        <v>21</v>
      </c>
      <c r="D495" s="4">
        <v>2030</v>
      </c>
      <c r="E495" s="4">
        <v>16416.177359269805</v>
      </c>
      <c r="F495" s="4" t="s">
        <v>29</v>
      </c>
    </row>
    <row r="496" spans="1:6" x14ac:dyDescent="0.25">
      <c r="A496" s="4" t="s">
        <v>74</v>
      </c>
      <c r="B496" s="4" t="s">
        <v>2</v>
      </c>
      <c r="C496" s="4" t="s">
        <v>21</v>
      </c>
      <c r="D496" s="4">
        <v>2031</v>
      </c>
      <c r="E496" s="4">
        <v>16941.963776648918</v>
      </c>
      <c r="F496" s="4" t="s">
        <v>29</v>
      </c>
    </row>
    <row r="497" spans="1:6" x14ac:dyDescent="0.25">
      <c r="A497" s="4" t="s">
        <v>74</v>
      </c>
      <c r="B497" s="4" t="s">
        <v>2</v>
      </c>
      <c r="C497" s="4" t="s">
        <v>21</v>
      </c>
      <c r="D497" s="4">
        <v>2032</v>
      </c>
      <c r="E497" s="4">
        <v>17467.608482318043</v>
      </c>
      <c r="F497" s="4" t="s">
        <v>29</v>
      </c>
    </row>
    <row r="498" spans="1:6" x14ac:dyDescent="0.25">
      <c r="A498" s="4" t="s">
        <v>74</v>
      </c>
      <c r="B498" s="4" t="s">
        <v>2</v>
      </c>
      <c r="C498" s="4" t="s">
        <v>21</v>
      </c>
      <c r="D498" s="4">
        <v>2033</v>
      </c>
      <c r="E498" s="4">
        <v>18004.289167385537</v>
      </c>
      <c r="F498" s="4" t="s">
        <v>29</v>
      </c>
    </row>
    <row r="499" spans="1:6" x14ac:dyDescent="0.25">
      <c r="A499" s="4" t="s">
        <v>74</v>
      </c>
      <c r="B499" s="4" t="s">
        <v>2</v>
      </c>
      <c r="C499" s="4" t="s">
        <v>21</v>
      </c>
      <c r="D499" s="4">
        <v>2034</v>
      </c>
      <c r="E499" s="4">
        <v>18558.31452608803</v>
      </c>
      <c r="F499" s="4" t="s">
        <v>29</v>
      </c>
    </row>
    <row r="500" spans="1:6" x14ac:dyDescent="0.25">
      <c r="A500" s="4" t="s">
        <v>74</v>
      </c>
      <c r="B500" s="4" t="s">
        <v>2</v>
      </c>
      <c r="C500" s="4" t="s">
        <v>21</v>
      </c>
      <c r="D500" s="4">
        <v>2035</v>
      </c>
      <c r="E500" s="4">
        <v>19128.550324210122</v>
      </c>
      <c r="F500" s="4" t="s">
        <v>29</v>
      </c>
    </row>
    <row r="501" spans="1:6" x14ac:dyDescent="0.25">
      <c r="A501" s="4" t="s">
        <v>74</v>
      </c>
      <c r="B501" s="4" t="s">
        <v>2</v>
      </c>
      <c r="C501" s="4" t="s">
        <v>21</v>
      </c>
      <c r="D501" s="4">
        <v>2036</v>
      </c>
      <c r="E501" s="4">
        <v>19709.274896045477</v>
      </c>
      <c r="F501" s="4" t="s">
        <v>29</v>
      </c>
    </row>
    <row r="502" spans="1:6" x14ac:dyDescent="0.25">
      <c r="A502" s="4" t="s">
        <v>74</v>
      </c>
      <c r="B502" s="4" t="s">
        <v>2</v>
      </c>
      <c r="C502" s="4" t="s">
        <v>21</v>
      </c>
      <c r="D502" s="4">
        <v>2037</v>
      </c>
      <c r="E502" s="4">
        <v>20295.781992774628</v>
      </c>
      <c r="F502" s="4" t="s">
        <v>29</v>
      </c>
    </row>
    <row r="503" spans="1:6" x14ac:dyDescent="0.25">
      <c r="A503" s="4" t="s">
        <v>74</v>
      </c>
      <c r="B503" s="4" t="s">
        <v>2</v>
      </c>
      <c r="C503" s="4" t="s">
        <v>21</v>
      </c>
      <c r="D503" s="4">
        <v>2038</v>
      </c>
      <c r="E503" s="4">
        <v>20877.528094266749</v>
      </c>
      <c r="F503" s="4" t="s">
        <v>29</v>
      </c>
    </row>
    <row r="504" spans="1:6" x14ac:dyDescent="0.25">
      <c r="A504" s="4" t="s">
        <v>74</v>
      </c>
      <c r="B504" s="4" t="s">
        <v>2</v>
      </c>
      <c r="C504" s="4" t="s">
        <v>21</v>
      </c>
      <c r="D504" s="4">
        <v>2039</v>
      </c>
      <c r="E504" s="4">
        <v>21444.215638610043</v>
      </c>
      <c r="F504" s="4" t="s">
        <v>29</v>
      </c>
    </row>
    <row r="505" spans="1:6" x14ac:dyDescent="0.25">
      <c r="A505" s="4" t="s">
        <v>74</v>
      </c>
      <c r="B505" s="4" t="s">
        <v>2</v>
      </c>
      <c r="C505" s="4" t="s">
        <v>21</v>
      </c>
      <c r="D505" s="4">
        <v>2040</v>
      </c>
      <c r="E505" s="4">
        <v>22002.198876531616</v>
      </c>
      <c r="F505" s="4" t="s">
        <v>29</v>
      </c>
    </row>
    <row r="506" spans="1:6" x14ac:dyDescent="0.25">
      <c r="A506" s="4" t="s">
        <v>74</v>
      </c>
      <c r="B506" s="4" t="s">
        <v>3</v>
      </c>
      <c r="C506" s="4" t="s">
        <v>21</v>
      </c>
      <c r="D506" s="4">
        <v>2005</v>
      </c>
      <c r="E506" s="4">
        <v>20570</v>
      </c>
      <c r="F506" s="4" t="s">
        <v>29</v>
      </c>
    </row>
    <row r="507" spans="1:6" x14ac:dyDescent="0.25">
      <c r="A507" s="4" t="s">
        <v>74</v>
      </c>
      <c r="B507" s="4" t="s">
        <v>3</v>
      </c>
      <c r="C507" s="4" t="s">
        <v>21</v>
      </c>
      <c r="D507" s="4">
        <v>2006</v>
      </c>
      <c r="E507" s="4">
        <v>21350</v>
      </c>
      <c r="F507" s="4" t="s">
        <v>29</v>
      </c>
    </row>
    <row r="508" spans="1:6" x14ac:dyDescent="0.25">
      <c r="A508" s="4" t="s">
        <v>74</v>
      </c>
      <c r="B508" s="4" t="s">
        <v>3</v>
      </c>
      <c r="C508" s="4" t="s">
        <v>21</v>
      </c>
      <c r="D508" s="4">
        <v>2007</v>
      </c>
      <c r="E508" s="4">
        <v>21260</v>
      </c>
      <c r="F508" s="4" t="s">
        <v>29</v>
      </c>
    </row>
    <row r="509" spans="1:6" x14ac:dyDescent="0.25">
      <c r="A509" s="4" t="s">
        <v>74</v>
      </c>
      <c r="B509" s="4" t="s">
        <v>3</v>
      </c>
      <c r="C509" s="4" t="s">
        <v>21</v>
      </c>
      <c r="D509" s="4">
        <v>2008</v>
      </c>
      <c r="E509" s="4">
        <v>20070</v>
      </c>
      <c r="F509" s="4" t="s">
        <v>29</v>
      </c>
    </row>
    <row r="510" spans="1:6" x14ac:dyDescent="0.25">
      <c r="A510" s="4" t="s">
        <v>74</v>
      </c>
      <c r="B510" s="4" t="s">
        <v>3</v>
      </c>
      <c r="C510" s="4" t="s">
        <v>21</v>
      </c>
      <c r="D510" s="4">
        <v>2009</v>
      </c>
      <c r="E510" s="4">
        <v>18840</v>
      </c>
      <c r="F510" s="4" t="s">
        <v>29</v>
      </c>
    </row>
    <row r="511" spans="1:6" x14ac:dyDescent="0.25">
      <c r="A511" s="4" t="s">
        <v>74</v>
      </c>
      <c r="B511" s="4" t="s">
        <v>3</v>
      </c>
      <c r="C511" s="4" t="s">
        <v>21</v>
      </c>
      <c r="D511" s="4">
        <v>2010</v>
      </c>
      <c r="E511" s="4">
        <v>18330</v>
      </c>
      <c r="F511" s="4" t="s">
        <v>29</v>
      </c>
    </row>
    <row r="512" spans="1:6" x14ac:dyDescent="0.25">
      <c r="A512" s="4" t="s">
        <v>74</v>
      </c>
      <c r="B512" s="4" t="s">
        <v>3</v>
      </c>
      <c r="C512" s="4" t="s">
        <v>21</v>
      </c>
      <c r="D512" s="4">
        <v>2011</v>
      </c>
      <c r="E512" s="4">
        <v>17720</v>
      </c>
      <c r="F512" s="4" t="s">
        <v>29</v>
      </c>
    </row>
    <row r="513" spans="1:6" x14ac:dyDescent="0.25">
      <c r="A513" s="4" t="s">
        <v>74</v>
      </c>
      <c r="B513" s="4" t="s">
        <v>3</v>
      </c>
      <c r="C513" s="4" t="s">
        <v>21</v>
      </c>
      <c r="D513" s="4">
        <v>2012</v>
      </c>
      <c r="E513" s="4">
        <v>17290</v>
      </c>
      <c r="F513" s="4" t="s">
        <v>29</v>
      </c>
    </row>
    <row r="514" spans="1:6" x14ac:dyDescent="0.25">
      <c r="A514" s="4" t="s">
        <v>74</v>
      </c>
      <c r="B514" s="4" t="s">
        <v>3</v>
      </c>
      <c r="C514" s="4" t="s">
        <v>21</v>
      </c>
      <c r="D514" s="4">
        <v>2013</v>
      </c>
      <c r="E514" s="4">
        <v>18160</v>
      </c>
      <c r="F514" s="4" t="s">
        <v>29</v>
      </c>
    </row>
    <row r="515" spans="1:6" x14ac:dyDescent="0.25">
      <c r="A515" s="4" t="s">
        <v>74</v>
      </c>
      <c r="B515" s="4" t="s">
        <v>3</v>
      </c>
      <c r="C515" s="4" t="s">
        <v>21</v>
      </c>
      <c r="D515" s="4">
        <v>2014</v>
      </c>
      <c r="E515" s="4">
        <v>21230</v>
      </c>
      <c r="F515" s="4" t="s">
        <v>29</v>
      </c>
    </row>
    <row r="516" spans="1:6" x14ac:dyDescent="0.25">
      <c r="A516" s="4" t="s">
        <v>74</v>
      </c>
      <c r="B516" s="4" t="s">
        <v>3</v>
      </c>
      <c r="C516" s="4" t="s">
        <v>21</v>
      </c>
      <c r="D516" s="4">
        <v>2015</v>
      </c>
      <c r="E516" s="4">
        <v>26690</v>
      </c>
      <c r="F516" s="4" t="s">
        <v>29</v>
      </c>
    </row>
    <row r="517" spans="1:6" x14ac:dyDescent="0.25">
      <c r="A517" s="4" t="s">
        <v>74</v>
      </c>
      <c r="B517" s="4" t="s">
        <v>3</v>
      </c>
      <c r="C517" s="4" t="s">
        <v>21</v>
      </c>
      <c r="D517" s="4">
        <v>2016</v>
      </c>
      <c r="E517" s="4">
        <v>27711.679452054788</v>
      </c>
      <c r="F517" s="4" t="s">
        <v>29</v>
      </c>
    </row>
    <row r="518" spans="1:6" x14ac:dyDescent="0.25">
      <c r="A518" s="4" t="s">
        <v>74</v>
      </c>
      <c r="B518" s="4" t="s">
        <v>3</v>
      </c>
      <c r="C518" s="4" t="s">
        <v>21</v>
      </c>
      <c r="D518" s="4">
        <v>2017</v>
      </c>
      <c r="E518" s="4">
        <v>33352.013972602741</v>
      </c>
      <c r="F518" s="4" t="s">
        <v>29</v>
      </c>
    </row>
    <row r="519" spans="1:6" x14ac:dyDescent="0.25">
      <c r="A519" s="4" t="s">
        <v>74</v>
      </c>
      <c r="B519" s="4" t="s">
        <v>3</v>
      </c>
      <c r="C519" s="4" t="s">
        <v>21</v>
      </c>
      <c r="D519" s="4">
        <v>2018</v>
      </c>
      <c r="E519" s="4">
        <v>33799.475597628392</v>
      </c>
      <c r="F519" s="4" t="s">
        <v>29</v>
      </c>
    </row>
    <row r="520" spans="1:6" x14ac:dyDescent="0.25">
      <c r="A520" s="4" t="s">
        <v>74</v>
      </c>
      <c r="B520" s="4" t="s">
        <v>3</v>
      </c>
      <c r="C520" s="4" t="s">
        <v>21</v>
      </c>
      <c r="D520" s="4">
        <v>2019</v>
      </c>
      <c r="E520" s="4">
        <v>33283.953677472775</v>
      </c>
      <c r="F520" s="4" t="s">
        <v>29</v>
      </c>
    </row>
    <row r="521" spans="1:6" x14ac:dyDescent="0.25">
      <c r="A521" s="4" t="s">
        <v>74</v>
      </c>
      <c r="B521" s="4" t="s">
        <v>3</v>
      </c>
      <c r="C521" s="4" t="s">
        <v>21</v>
      </c>
      <c r="D521" s="4">
        <v>2020</v>
      </c>
      <c r="E521" s="4">
        <v>32757.970029941916</v>
      </c>
      <c r="F521" s="4" t="s">
        <v>29</v>
      </c>
    </row>
    <row r="522" spans="1:6" x14ac:dyDescent="0.25">
      <c r="A522" s="4" t="s">
        <v>74</v>
      </c>
      <c r="B522" s="4" t="s">
        <v>3</v>
      </c>
      <c r="C522" s="4" t="s">
        <v>21</v>
      </c>
      <c r="D522" s="4">
        <v>2021</v>
      </c>
      <c r="E522" s="4">
        <v>32309.444778950434</v>
      </c>
      <c r="F522" s="4" t="s">
        <v>29</v>
      </c>
    </row>
    <row r="523" spans="1:6" x14ac:dyDescent="0.25">
      <c r="A523" s="4" t="s">
        <v>74</v>
      </c>
      <c r="B523" s="4" t="s">
        <v>3</v>
      </c>
      <c r="C523" s="4" t="s">
        <v>21</v>
      </c>
      <c r="D523" s="4">
        <v>2022</v>
      </c>
      <c r="E523" s="4">
        <v>31977.121856319958</v>
      </c>
      <c r="F523" s="4" t="s">
        <v>29</v>
      </c>
    </row>
    <row r="524" spans="1:6" x14ac:dyDescent="0.25">
      <c r="A524" s="4" t="s">
        <v>74</v>
      </c>
      <c r="B524" s="4" t="s">
        <v>3</v>
      </c>
      <c r="C524" s="4" t="s">
        <v>21</v>
      </c>
      <c r="D524" s="4">
        <v>2023</v>
      </c>
      <c r="E524" s="4">
        <v>31728.063255560359</v>
      </c>
      <c r="F524" s="4" t="s">
        <v>29</v>
      </c>
    </row>
    <row r="525" spans="1:6" x14ac:dyDescent="0.25">
      <c r="A525" s="4" t="s">
        <v>74</v>
      </c>
      <c r="B525" s="4" t="s">
        <v>3</v>
      </c>
      <c r="C525" s="4" t="s">
        <v>21</v>
      </c>
      <c r="D525" s="4">
        <v>2024</v>
      </c>
      <c r="E525" s="4">
        <v>31601.856218454472</v>
      </c>
      <c r="F525" s="4" t="s">
        <v>29</v>
      </c>
    </row>
    <row r="526" spans="1:6" x14ac:dyDescent="0.25">
      <c r="A526" s="4" t="s">
        <v>74</v>
      </c>
      <c r="B526" s="4" t="s">
        <v>3</v>
      </c>
      <c r="C526" s="4" t="s">
        <v>21</v>
      </c>
      <c r="D526" s="4">
        <v>2025</v>
      </c>
      <c r="E526" s="4">
        <v>31649.799923348935</v>
      </c>
      <c r="F526" s="4" t="s">
        <v>29</v>
      </c>
    </row>
    <row r="527" spans="1:6" x14ac:dyDescent="0.25">
      <c r="A527" s="4" t="s">
        <v>74</v>
      </c>
      <c r="B527" s="4" t="s">
        <v>3</v>
      </c>
      <c r="C527" s="4" t="s">
        <v>21</v>
      </c>
      <c r="D527" s="4">
        <v>2026</v>
      </c>
      <c r="E527" s="4">
        <v>31921.743202630292</v>
      </c>
      <c r="F527" s="4" t="s">
        <v>29</v>
      </c>
    </row>
    <row r="528" spans="1:6" x14ac:dyDescent="0.25">
      <c r="A528" s="4" t="s">
        <v>74</v>
      </c>
      <c r="B528" s="4" t="s">
        <v>3</v>
      </c>
      <c r="C528" s="4" t="s">
        <v>21</v>
      </c>
      <c r="D528" s="4">
        <v>2027</v>
      </c>
      <c r="E528" s="4">
        <v>32223.652839598253</v>
      </c>
      <c r="F528" s="4" t="s">
        <v>29</v>
      </c>
    </row>
    <row r="529" spans="1:6" x14ac:dyDescent="0.25">
      <c r="A529" s="4" t="s">
        <v>74</v>
      </c>
      <c r="B529" s="4" t="s">
        <v>3</v>
      </c>
      <c r="C529" s="4" t="s">
        <v>21</v>
      </c>
      <c r="D529" s="4">
        <v>2028</v>
      </c>
      <c r="E529" s="4">
        <v>32566.866415604945</v>
      </c>
      <c r="F529" s="4" t="s">
        <v>29</v>
      </c>
    </row>
    <row r="530" spans="1:6" x14ac:dyDescent="0.25">
      <c r="A530" s="4" t="s">
        <v>74</v>
      </c>
      <c r="B530" s="4" t="s">
        <v>3</v>
      </c>
      <c r="C530" s="4" t="s">
        <v>21</v>
      </c>
      <c r="D530" s="4">
        <v>2029</v>
      </c>
      <c r="E530" s="4">
        <v>33019.655988281804</v>
      </c>
      <c r="F530" s="4" t="s">
        <v>29</v>
      </c>
    </row>
    <row r="531" spans="1:6" x14ac:dyDescent="0.25">
      <c r="A531" s="4" t="s">
        <v>74</v>
      </c>
      <c r="B531" s="4" t="s">
        <v>3</v>
      </c>
      <c r="C531" s="4" t="s">
        <v>21</v>
      </c>
      <c r="D531" s="4">
        <v>2030</v>
      </c>
      <c r="E531" s="4">
        <v>33560.272963130054</v>
      </c>
      <c r="F531" s="4" t="s">
        <v>29</v>
      </c>
    </row>
    <row r="532" spans="1:6" x14ac:dyDescent="0.25">
      <c r="A532" s="4" t="s">
        <v>74</v>
      </c>
      <c r="B532" s="4" t="s">
        <v>3</v>
      </c>
      <c r="C532" s="4" t="s">
        <v>21</v>
      </c>
      <c r="D532" s="4">
        <v>2031</v>
      </c>
      <c r="E532" s="4">
        <v>34209.25945315139</v>
      </c>
      <c r="F532" s="4" t="s">
        <v>29</v>
      </c>
    </row>
    <row r="533" spans="1:6" x14ac:dyDescent="0.25">
      <c r="A533" s="4" t="s">
        <v>74</v>
      </c>
      <c r="B533" s="4" t="s">
        <v>3</v>
      </c>
      <c r="C533" s="4" t="s">
        <v>21</v>
      </c>
      <c r="D533" s="4">
        <v>2032</v>
      </c>
      <c r="E533" s="4">
        <v>34969.737378364538</v>
      </c>
      <c r="F533" s="4" t="s">
        <v>29</v>
      </c>
    </row>
    <row r="534" spans="1:6" x14ac:dyDescent="0.25">
      <c r="A534" s="4" t="s">
        <v>74</v>
      </c>
      <c r="B534" s="4" t="s">
        <v>3</v>
      </c>
      <c r="C534" s="4" t="s">
        <v>21</v>
      </c>
      <c r="D534" s="4">
        <v>2033</v>
      </c>
      <c r="E534" s="4">
        <v>35767.72553864029</v>
      </c>
      <c r="F534" s="4" t="s">
        <v>29</v>
      </c>
    </row>
    <row r="535" spans="1:6" x14ac:dyDescent="0.25">
      <c r="A535" s="4" t="s">
        <v>74</v>
      </c>
      <c r="B535" s="4" t="s">
        <v>3</v>
      </c>
      <c r="C535" s="4" t="s">
        <v>21</v>
      </c>
      <c r="D535" s="4">
        <v>2034</v>
      </c>
      <c r="E535" s="4">
        <v>36552.197669855028</v>
      </c>
      <c r="F535" s="4" t="s">
        <v>29</v>
      </c>
    </row>
    <row r="536" spans="1:6" x14ac:dyDescent="0.25">
      <c r="A536" s="4" t="s">
        <v>74</v>
      </c>
      <c r="B536" s="4" t="s">
        <v>3</v>
      </c>
      <c r="C536" s="4" t="s">
        <v>21</v>
      </c>
      <c r="D536" s="4">
        <v>2035</v>
      </c>
      <c r="E536" s="4">
        <v>37390.014567405022</v>
      </c>
      <c r="F536" s="4" t="s">
        <v>29</v>
      </c>
    </row>
    <row r="537" spans="1:6" x14ac:dyDescent="0.25">
      <c r="A537" s="4" t="s">
        <v>74</v>
      </c>
      <c r="B537" s="4" t="s">
        <v>3</v>
      </c>
      <c r="C537" s="4" t="s">
        <v>21</v>
      </c>
      <c r="D537" s="4">
        <v>2036</v>
      </c>
      <c r="E537" s="4">
        <v>38256.076007585369</v>
      </c>
      <c r="F537" s="4" t="s">
        <v>29</v>
      </c>
    </row>
    <row r="538" spans="1:6" x14ac:dyDescent="0.25">
      <c r="A538" s="4" t="s">
        <v>74</v>
      </c>
      <c r="B538" s="4" t="s">
        <v>3</v>
      </c>
      <c r="C538" s="4" t="s">
        <v>21</v>
      </c>
      <c r="D538" s="4">
        <v>2037</v>
      </c>
      <c r="E538" s="4">
        <v>39151.014533803384</v>
      </c>
      <c r="F538" s="4" t="s">
        <v>29</v>
      </c>
    </row>
    <row r="539" spans="1:6" x14ac:dyDescent="0.25">
      <c r="A539" s="4" t="s">
        <v>74</v>
      </c>
      <c r="B539" s="4" t="s">
        <v>3</v>
      </c>
      <c r="C539" s="4" t="s">
        <v>21</v>
      </c>
      <c r="D539" s="4">
        <v>2038</v>
      </c>
      <c r="E539" s="4">
        <v>40106.369644778169</v>
      </c>
      <c r="F539" s="4" t="s">
        <v>29</v>
      </c>
    </row>
    <row r="540" spans="1:6" x14ac:dyDescent="0.25">
      <c r="A540" s="4" t="s">
        <v>74</v>
      </c>
      <c r="B540" s="4" t="s">
        <v>3</v>
      </c>
      <c r="C540" s="4" t="s">
        <v>21</v>
      </c>
      <c r="D540" s="4">
        <v>2039</v>
      </c>
      <c r="E540" s="4">
        <v>41147.127040596308</v>
      </c>
      <c r="F540" s="4" t="s">
        <v>29</v>
      </c>
    </row>
    <row r="541" spans="1:6" x14ac:dyDescent="0.25">
      <c r="A541" s="4" t="s">
        <v>74</v>
      </c>
      <c r="B541" s="4" t="s">
        <v>3</v>
      </c>
      <c r="C541" s="4" t="s">
        <v>21</v>
      </c>
      <c r="D541" s="4">
        <v>2040</v>
      </c>
      <c r="E541" s="4">
        <v>42263.782603131316</v>
      </c>
      <c r="F541" s="4" t="s">
        <v>29</v>
      </c>
    </row>
    <row r="542" spans="1:6" x14ac:dyDescent="0.25">
      <c r="A542" s="4" t="s">
        <v>74</v>
      </c>
      <c r="B542" s="4" t="s">
        <v>4</v>
      </c>
      <c r="C542" s="4" t="s">
        <v>21</v>
      </c>
      <c r="D542" s="4">
        <v>2005</v>
      </c>
      <c r="E542" s="4">
        <v>1540</v>
      </c>
      <c r="F542" s="4" t="s">
        <v>29</v>
      </c>
    </row>
    <row r="543" spans="1:6" x14ac:dyDescent="0.25">
      <c r="A543" s="4" t="s">
        <v>74</v>
      </c>
      <c r="B543" s="4" t="s">
        <v>4</v>
      </c>
      <c r="C543" s="4" t="s">
        <v>21</v>
      </c>
      <c r="D543" s="4">
        <v>2006</v>
      </c>
      <c r="E543" s="4">
        <v>1750</v>
      </c>
      <c r="F543" s="4" t="s">
        <v>29</v>
      </c>
    </row>
    <row r="544" spans="1:6" x14ac:dyDescent="0.25">
      <c r="A544" s="4" t="s">
        <v>74</v>
      </c>
      <c r="B544" s="4" t="s">
        <v>4</v>
      </c>
      <c r="C544" s="4" t="s">
        <v>21</v>
      </c>
      <c r="D544" s="4">
        <v>2007</v>
      </c>
      <c r="E544" s="4">
        <v>2090</v>
      </c>
      <c r="F544" s="4" t="s">
        <v>29</v>
      </c>
    </row>
    <row r="545" spans="1:6" x14ac:dyDescent="0.25">
      <c r="A545" s="4" t="s">
        <v>74</v>
      </c>
      <c r="B545" s="4" t="s">
        <v>4</v>
      </c>
      <c r="C545" s="4" t="s">
        <v>21</v>
      </c>
      <c r="D545" s="4">
        <v>2008</v>
      </c>
      <c r="E545" s="4">
        <v>2410</v>
      </c>
      <c r="F545" s="4" t="s">
        <v>29</v>
      </c>
    </row>
    <row r="546" spans="1:6" x14ac:dyDescent="0.25">
      <c r="A546" s="4" t="s">
        <v>74</v>
      </c>
      <c r="B546" s="4" t="s">
        <v>4</v>
      </c>
      <c r="C546" s="4" t="s">
        <v>21</v>
      </c>
      <c r="D546" s="4">
        <v>2009</v>
      </c>
      <c r="E546" s="4">
        <v>2180</v>
      </c>
      <c r="F546" s="4" t="s">
        <v>29</v>
      </c>
    </row>
    <row r="547" spans="1:6" x14ac:dyDescent="0.25">
      <c r="A547" s="4" t="s">
        <v>74</v>
      </c>
      <c r="B547" s="4" t="s">
        <v>4</v>
      </c>
      <c r="C547" s="4" t="s">
        <v>21</v>
      </c>
      <c r="D547" s="4">
        <v>2010</v>
      </c>
      <c r="E547" s="4">
        <v>1920</v>
      </c>
      <c r="F547" s="4" t="s">
        <v>29</v>
      </c>
    </row>
    <row r="548" spans="1:6" x14ac:dyDescent="0.25">
      <c r="A548" s="4" t="s">
        <v>74</v>
      </c>
      <c r="B548" s="4" t="s">
        <v>4</v>
      </c>
      <c r="C548" s="4" t="s">
        <v>21</v>
      </c>
      <c r="D548" s="4">
        <v>2011</v>
      </c>
      <c r="E548" s="4">
        <v>1940</v>
      </c>
      <c r="F548" s="4" t="s">
        <v>29</v>
      </c>
    </row>
    <row r="549" spans="1:6" x14ac:dyDescent="0.25">
      <c r="A549" s="4" t="s">
        <v>74</v>
      </c>
      <c r="B549" s="4" t="s">
        <v>4</v>
      </c>
      <c r="C549" s="4" t="s">
        <v>21</v>
      </c>
      <c r="D549" s="4">
        <v>2012</v>
      </c>
      <c r="E549" s="4">
        <v>2000</v>
      </c>
      <c r="F549" s="4" t="s">
        <v>29</v>
      </c>
    </row>
    <row r="550" spans="1:6" x14ac:dyDescent="0.25">
      <c r="A550" s="4" t="s">
        <v>74</v>
      </c>
      <c r="B550" s="4" t="s">
        <v>4</v>
      </c>
      <c r="C550" s="4" t="s">
        <v>21</v>
      </c>
      <c r="D550" s="4">
        <v>2013</v>
      </c>
      <c r="E550" s="4">
        <v>2590</v>
      </c>
      <c r="F550" s="4" t="s">
        <v>29</v>
      </c>
    </row>
    <row r="551" spans="1:6" x14ac:dyDescent="0.25">
      <c r="A551" s="4" t="s">
        <v>74</v>
      </c>
      <c r="B551" s="4" t="s">
        <v>4</v>
      </c>
      <c r="C551" s="4" t="s">
        <v>21</v>
      </c>
      <c r="D551" s="4">
        <v>2014</v>
      </c>
      <c r="E551" s="4">
        <v>3780</v>
      </c>
      <c r="F551" s="4" t="s">
        <v>29</v>
      </c>
    </row>
    <row r="552" spans="1:6" x14ac:dyDescent="0.25">
      <c r="A552" s="4" t="s">
        <v>74</v>
      </c>
      <c r="B552" s="4" t="s">
        <v>4</v>
      </c>
      <c r="C552" s="4" t="s">
        <v>21</v>
      </c>
      <c r="D552" s="4">
        <v>2015</v>
      </c>
      <c r="E552" s="4">
        <v>3730</v>
      </c>
      <c r="F552" s="4" t="s">
        <v>29</v>
      </c>
    </row>
    <row r="553" spans="1:6" x14ac:dyDescent="0.25">
      <c r="A553" s="4" t="s">
        <v>74</v>
      </c>
      <c r="B553" s="4" t="s">
        <v>4</v>
      </c>
      <c r="C553" s="4" t="s">
        <v>21</v>
      </c>
      <c r="D553" s="4">
        <v>2016</v>
      </c>
      <c r="E553" s="4">
        <v>7631.3205479452108</v>
      </c>
      <c r="F553" s="4" t="s">
        <v>29</v>
      </c>
    </row>
    <row r="554" spans="1:6" x14ac:dyDescent="0.25">
      <c r="A554" s="4" t="s">
        <v>74</v>
      </c>
      <c r="B554" s="4" t="s">
        <v>4</v>
      </c>
      <c r="C554" s="4" t="s">
        <v>21</v>
      </c>
      <c r="D554" s="4">
        <v>2017</v>
      </c>
      <c r="E554" s="4">
        <v>9506.986027397259</v>
      </c>
      <c r="F554" s="4" t="s">
        <v>29</v>
      </c>
    </row>
    <row r="555" spans="1:6" x14ac:dyDescent="0.25">
      <c r="A555" s="4" t="s">
        <v>74</v>
      </c>
      <c r="B555" s="4" t="s">
        <v>4</v>
      </c>
      <c r="C555" s="4" t="s">
        <v>21</v>
      </c>
      <c r="D555" s="4">
        <v>2018</v>
      </c>
      <c r="E555" s="4">
        <v>9729.9263236218048</v>
      </c>
      <c r="F555" s="4" t="s">
        <v>29</v>
      </c>
    </row>
    <row r="556" spans="1:6" x14ac:dyDescent="0.25">
      <c r="A556" s="4" t="s">
        <v>74</v>
      </c>
      <c r="B556" s="4" t="s">
        <v>4</v>
      </c>
      <c r="C556" s="4" t="s">
        <v>21</v>
      </c>
      <c r="D556" s="4">
        <v>2019</v>
      </c>
      <c r="E556" s="4">
        <v>9676.3884951007785</v>
      </c>
      <c r="F556" s="4" t="s">
        <v>29</v>
      </c>
    </row>
    <row r="557" spans="1:6" x14ac:dyDescent="0.25">
      <c r="A557" s="4" t="s">
        <v>74</v>
      </c>
      <c r="B557" s="4" t="s">
        <v>4</v>
      </c>
      <c r="C557" s="4" t="s">
        <v>21</v>
      </c>
      <c r="D557" s="4">
        <v>2020</v>
      </c>
      <c r="E557" s="4">
        <v>9617.7651195465187</v>
      </c>
      <c r="F557" s="4" t="s">
        <v>29</v>
      </c>
    </row>
    <row r="558" spans="1:6" x14ac:dyDescent="0.25">
      <c r="A558" s="4" t="s">
        <v>74</v>
      </c>
      <c r="B558" s="4" t="s">
        <v>4</v>
      </c>
      <c r="C558" s="4" t="s">
        <v>21</v>
      </c>
      <c r="D558" s="4">
        <v>2021</v>
      </c>
      <c r="E558" s="4">
        <v>9579.9993239263003</v>
      </c>
      <c r="F558" s="4" t="s">
        <v>29</v>
      </c>
    </row>
    <row r="559" spans="1:6" x14ac:dyDescent="0.25">
      <c r="A559" s="4" t="s">
        <v>74</v>
      </c>
      <c r="B559" s="4" t="s">
        <v>4</v>
      </c>
      <c r="C559" s="4" t="s">
        <v>21</v>
      </c>
      <c r="D559" s="4">
        <v>2022</v>
      </c>
      <c r="E559" s="4">
        <v>9575.3388882438921</v>
      </c>
      <c r="F559" s="4" t="s">
        <v>29</v>
      </c>
    </row>
    <row r="560" spans="1:6" x14ac:dyDescent="0.25">
      <c r="A560" s="4" t="s">
        <v>74</v>
      </c>
      <c r="B560" s="4" t="s">
        <v>4</v>
      </c>
      <c r="C560" s="4" t="s">
        <v>21</v>
      </c>
      <c r="D560" s="4">
        <v>2023</v>
      </c>
      <c r="E560" s="4">
        <v>9594.8268578011775</v>
      </c>
      <c r="F560" s="4" t="s">
        <v>29</v>
      </c>
    </row>
    <row r="561" spans="1:6" x14ac:dyDescent="0.25">
      <c r="A561" s="4" t="s">
        <v>74</v>
      </c>
      <c r="B561" s="4" t="s">
        <v>4</v>
      </c>
      <c r="C561" s="4" t="s">
        <v>21</v>
      </c>
      <c r="D561" s="4">
        <v>2024</v>
      </c>
      <c r="E561" s="4">
        <v>9651.2812175474337</v>
      </c>
      <c r="F561" s="4" t="s">
        <v>29</v>
      </c>
    </row>
    <row r="562" spans="1:6" x14ac:dyDescent="0.25">
      <c r="A562" s="4" t="s">
        <v>74</v>
      </c>
      <c r="B562" s="4" t="s">
        <v>4</v>
      </c>
      <c r="C562" s="4" t="s">
        <v>21</v>
      </c>
      <c r="D562" s="4">
        <v>2025</v>
      </c>
      <c r="E562" s="4">
        <v>9761.625549052329</v>
      </c>
      <c r="F562" s="4" t="s">
        <v>29</v>
      </c>
    </row>
    <row r="563" spans="1:6" x14ac:dyDescent="0.25">
      <c r="A563" s="4" t="s">
        <v>74</v>
      </c>
      <c r="B563" s="4" t="s">
        <v>4</v>
      </c>
      <c r="C563" s="4" t="s">
        <v>21</v>
      </c>
      <c r="D563" s="4">
        <v>2026</v>
      </c>
      <c r="E563" s="4">
        <v>9942.9801620189628</v>
      </c>
      <c r="F563" s="4" t="s">
        <v>29</v>
      </c>
    </row>
    <row r="564" spans="1:6" x14ac:dyDescent="0.25">
      <c r="A564" s="4" t="s">
        <v>74</v>
      </c>
      <c r="B564" s="4" t="s">
        <v>4</v>
      </c>
      <c r="C564" s="4" t="s">
        <v>21</v>
      </c>
      <c r="D564" s="4">
        <v>2027</v>
      </c>
      <c r="E564" s="4">
        <v>10136.395359115224</v>
      </c>
      <c r="F564" s="4" t="s">
        <v>29</v>
      </c>
    </row>
    <row r="565" spans="1:6" x14ac:dyDescent="0.25">
      <c r="A565" s="4" t="s">
        <v>74</v>
      </c>
      <c r="B565" s="4" t="s">
        <v>4</v>
      </c>
      <c r="C565" s="4" t="s">
        <v>21</v>
      </c>
      <c r="D565" s="4">
        <v>2028</v>
      </c>
      <c r="E565" s="4">
        <v>10345.787219417929</v>
      </c>
      <c r="F565" s="4" t="s">
        <v>29</v>
      </c>
    </row>
    <row r="566" spans="1:6" x14ac:dyDescent="0.25">
      <c r="A566" s="4" t="s">
        <v>74</v>
      </c>
      <c r="B566" s="4" t="s">
        <v>4</v>
      </c>
      <c r="C566" s="4" t="s">
        <v>21</v>
      </c>
      <c r="D566" s="4">
        <v>2029</v>
      </c>
      <c r="E566" s="4">
        <v>10593.486356903124</v>
      </c>
      <c r="F566" s="4" t="s">
        <v>29</v>
      </c>
    </row>
    <row r="567" spans="1:6" x14ac:dyDescent="0.25">
      <c r="A567" s="4" t="s">
        <v>74</v>
      </c>
      <c r="B567" s="4" t="s">
        <v>4</v>
      </c>
      <c r="C567" s="4" t="s">
        <v>21</v>
      </c>
      <c r="D567" s="4">
        <v>2030</v>
      </c>
      <c r="E567" s="4">
        <v>10873.53232283473</v>
      </c>
      <c r="F567" s="4" t="s">
        <v>29</v>
      </c>
    </row>
    <row r="568" spans="1:6" x14ac:dyDescent="0.25">
      <c r="A568" s="4" t="s">
        <v>74</v>
      </c>
      <c r="B568" s="4" t="s">
        <v>4</v>
      </c>
      <c r="C568" s="4" t="s">
        <v>21</v>
      </c>
      <c r="D568" s="4">
        <v>2031</v>
      </c>
      <c r="E568" s="4">
        <v>11193.544654554798</v>
      </c>
      <c r="F568" s="4" t="s">
        <v>29</v>
      </c>
    </row>
    <row r="569" spans="1:6" x14ac:dyDescent="0.25">
      <c r="A569" s="4" t="s">
        <v>74</v>
      </c>
      <c r="B569" s="4" t="s">
        <v>4</v>
      </c>
      <c r="C569" s="4" t="s">
        <v>21</v>
      </c>
      <c r="D569" s="4">
        <v>2032</v>
      </c>
      <c r="E569" s="4">
        <v>11555.670026742375</v>
      </c>
      <c r="F569" s="4" t="s">
        <v>29</v>
      </c>
    </row>
    <row r="570" spans="1:6" x14ac:dyDescent="0.25">
      <c r="A570" s="4" t="s">
        <v>74</v>
      </c>
      <c r="B570" s="4" t="s">
        <v>4</v>
      </c>
      <c r="C570" s="4" t="s">
        <v>21</v>
      </c>
      <c r="D570" s="4">
        <v>2033</v>
      </c>
      <c r="E570" s="4">
        <v>11936.386795788234</v>
      </c>
      <c r="F570" s="4" t="s">
        <v>29</v>
      </c>
    </row>
    <row r="571" spans="1:6" x14ac:dyDescent="0.25">
      <c r="A571" s="4" t="s">
        <v>74</v>
      </c>
      <c r="B571" s="4" t="s">
        <v>4</v>
      </c>
      <c r="C571" s="4" t="s">
        <v>21</v>
      </c>
      <c r="D571" s="4">
        <v>2034</v>
      </c>
      <c r="E571" s="4">
        <v>12318.954491755974</v>
      </c>
      <c r="F571" s="4" t="s">
        <v>29</v>
      </c>
    </row>
    <row r="572" spans="1:6" x14ac:dyDescent="0.25">
      <c r="A572" s="4" t="s">
        <v>74</v>
      </c>
      <c r="B572" s="4" t="s">
        <v>4</v>
      </c>
      <c r="C572" s="4" t="s">
        <v>21</v>
      </c>
      <c r="D572" s="4">
        <v>2035</v>
      </c>
      <c r="E572" s="4">
        <v>12726.084117816144</v>
      </c>
      <c r="F572" s="4" t="s">
        <v>29</v>
      </c>
    </row>
    <row r="573" spans="1:6" x14ac:dyDescent="0.25">
      <c r="A573" s="4" t="s">
        <v>74</v>
      </c>
      <c r="B573" s="4" t="s">
        <v>4</v>
      </c>
      <c r="C573" s="4" t="s">
        <v>21</v>
      </c>
      <c r="D573" s="4">
        <v>2036</v>
      </c>
      <c r="E573" s="4">
        <v>13149.776602580732</v>
      </c>
      <c r="F573" s="4" t="s">
        <v>29</v>
      </c>
    </row>
    <row r="574" spans="1:6" x14ac:dyDescent="0.25">
      <c r="A574" s="4" t="s">
        <v>74</v>
      </c>
      <c r="B574" s="4" t="s">
        <v>4</v>
      </c>
      <c r="C574" s="4" t="s">
        <v>21</v>
      </c>
      <c r="D574" s="4">
        <v>2037</v>
      </c>
      <c r="E574" s="4">
        <v>13590.63571365666</v>
      </c>
      <c r="F574" s="4" t="s">
        <v>29</v>
      </c>
    </row>
    <row r="575" spans="1:6" x14ac:dyDescent="0.25">
      <c r="A575" s="4" t="s">
        <v>74</v>
      </c>
      <c r="B575" s="4" t="s">
        <v>4</v>
      </c>
      <c r="C575" s="4" t="s">
        <v>21</v>
      </c>
      <c r="D575" s="4">
        <v>2038</v>
      </c>
      <c r="E575" s="4">
        <v>14060.115921872344</v>
      </c>
      <c r="F575" s="4" t="s">
        <v>29</v>
      </c>
    </row>
    <row r="576" spans="1:6" x14ac:dyDescent="0.25">
      <c r="A576" s="4" t="s">
        <v>74</v>
      </c>
      <c r="B576" s="4" t="s">
        <v>4</v>
      </c>
      <c r="C576" s="4" t="s">
        <v>21</v>
      </c>
      <c r="D576" s="4">
        <v>2039</v>
      </c>
      <c r="E576" s="4">
        <v>14567.796448437941</v>
      </c>
      <c r="F576" s="4" t="s">
        <v>29</v>
      </c>
    </row>
    <row r="577" spans="1:6" x14ac:dyDescent="0.25">
      <c r="A577" s="4" t="s">
        <v>74</v>
      </c>
      <c r="B577" s="4" t="s">
        <v>4</v>
      </c>
      <c r="C577" s="4" t="s">
        <v>21</v>
      </c>
      <c r="D577" s="4">
        <v>2040</v>
      </c>
      <c r="E577" s="4">
        <v>15111.288909358143</v>
      </c>
      <c r="F577" s="4" t="s">
        <v>29</v>
      </c>
    </row>
    <row r="578" spans="1:6" x14ac:dyDescent="0.25">
      <c r="A578" s="4" t="s">
        <v>74</v>
      </c>
      <c r="B578" s="4" t="s">
        <v>5</v>
      </c>
      <c r="C578" s="4" t="s">
        <v>21</v>
      </c>
      <c r="D578" s="4">
        <v>2005</v>
      </c>
      <c r="E578" s="4">
        <v>99600</v>
      </c>
      <c r="F578" s="4" t="s">
        <v>29</v>
      </c>
    </row>
    <row r="579" spans="1:6" x14ac:dyDescent="0.25">
      <c r="A579" s="4" t="s">
        <v>74</v>
      </c>
      <c r="B579" s="4" t="s">
        <v>5</v>
      </c>
      <c r="C579" s="4" t="s">
        <v>21</v>
      </c>
      <c r="D579" s="4">
        <v>2006</v>
      </c>
      <c r="E579" s="4">
        <v>120900</v>
      </c>
      <c r="F579" s="4" t="s">
        <v>29</v>
      </c>
    </row>
    <row r="580" spans="1:6" x14ac:dyDescent="0.25">
      <c r="A580" s="4" t="s">
        <v>74</v>
      </c>
      <c r="B580" s="4" t="s">
        <v>5</v>
      </c>
      <c r="C580" s="4" t="s">
        <v>21</v>
      </c>
      <c r="D580" s="4">
        <v>2007</v>
      </c>
      <c r="E580" s="4">
        <v>124700</v>
      </c>
      <c r="F580" s="4" t="s">
        <v>29</v>
      </c>
    </row>
    <row r="581" spans="1:6" x14ac:dyDescent="0.25">
      <c r="A581" s="4" t="s">
        <v>74</v>
      </c>
      <c r="B581" s="4" t="s">
        <v>5</v>
      </c>
      <c r="C581" s="4" t="s">
        <v>21</v>
      </c>
      <c r="D581" s="4">
        <v>2008</v>
      </c>
      <c r="E581" s="4">
        <v>114700</v>
      </c>
      <c r="F581" s="4" t="s">
        <v>29</v>
      </c>
    </row>
    <row r="582" spans="1:6" x14ac:dyDescent="0.25">
      <c r="A582" s="4" t="s">
        <v>74</v>
      </c>
      <c r="B582" s="4" t="s">
        <v>5</v>
      </c>
      <c r="C582" s="4" t="s">
        <v>21</v>
      </c>
      <c r="D582" s="4">
        <v>2009</v>
      </c>
      <c r="E582" s="4">
        <v>131200</v>
      </c>
      <c r="F582" s="4" t="s">
        <v>29</v>
      </c>
    </row>
    <row r="583" spans="1:6" x14ac:dyDescent="0.25">
      <c r="A583" s="4" t="s">
        <v>74</v>
      </c>
      <c r="B583" s="4" t="s">
        <v>5</v>
      </c>
      <c r="C583" s="4" t="s">
        <v>21</v>
      </c>
      <c r="D583" s="4">
        <v>2010</v>
      </c>
      <c r="E583" s="4">
        <v>136242.99205479454</v>
      </c>
      <c r="F583" s="4" t="s">
        <v>29</v>
      </c>
    </row>
    <row r="584" spans="1:6" x14ac:dyDescent="0.25">
      <c r="A584" s="4" t="s">
        <v>74</v>
      </c>
      <c r="B584" s="4" t="s">
        <v>5</v>
      </c>
      <c r="C584" s="4" t="s">
        <v>21</v>
      </c>
      <c r="D584" s="4">
        <v>2011</v>
      </c>
      <c r="E584" s="4">
        <v>141899.05890410958</v>
      </c>
      <c r="F584" s="4" t="s">
        <v>29</v>
      </c>
    </row>
    <row r="585" spans="1:6" x14ac:dyDescent="0.25">
      <c r="A585" s="4" t="s">
        <v>74</v>
      </c>
      <c r="B585" s="4" t="s">
        <v>5</v>
      </c>
      <c r="C585" s="4" t="s">
        <v>21</v>
      </c>
      <c r="D585" s="4">
        <v>2012</v>
      </c>
      <c r="E585" s="4">
        <v>148216.19643835619</v>
      </c>
      <c r="F585" s="4" t="s">
        <v>29</v>
      </c>
    </row>
    <row r="586" spans="1:6" x14ac:dyDescent="0.25">
      <c r="A586" s="4" t="s">
        <v>74</v>
      </c>
      <c r="B586" s="4" t="s">
        <v>5</v>
      </c>
      <c r="C586" s="4" t="s">
        <v>21</v>
      </c>
      <c r="D586" s="4">
        <v>2013</v>
      </c>
      <c r="E586" s="4">
        <v>155178.08602739728</v>
      </c>
      <c r="F586" s="4" t="s">
        <v>29</v>
      </c>
    </row>
    <row r="587" spans="1:6" x14ac:dyDescent="0.25">
      <c r="A587" s="4" t="s">
        <v>74</v>
      </c>
      <c r="B587" s="4" t="s">
        <v>5</v>
      </c>
      <c r="C587" s="4" t="s">
        <v>21</v>
      </c>
      <c r="D587" s="4">
        <v>2014</v>
      </c>
      <c r="E587" s="4">
        <v>152653.42301369866</v>
      </c>
      <c r="F587" s="4" t="s">
        <v>29</v>
      </c>
    </row>
    <row r="588" spans="1:6" x14ac:dyDescent="0.25">
      <c r="A588" s="4" t="s">
        <v>74</v>
      </c>
      <c r="B588" s="4" t="s">
        <v>5</v>
      </c>
      <c r="C588" s="4" t="s">
        <v>21</v>
      </c>
      <c r="D588" s="4">
        <v>2015</v>
      </c>
      <c r="E588" s="4">
        <v>184650.64986301371</v>
      </c>
      <c r="F588" s="4" t="s">
        <v>29</v>
      </c>
    </row>
    <row r="589" spans="1:6" x14ac:dyDescent="0.25">
      <c r="A589" s="4" t="s">
        <v>74</v>
      </c>
      <c r="B589" s="4" t="s">
        <v>5</v>
      </c>
      <c r="C589" s="4" t="s">
        <v>21</v>
      </c>
      <c r="D589" s="4">
        <v>2016</v>
      </c>
      <c r="E589" s="4">
        <v>182833.43972602743</v>
      </c>
      <c r="F589" s="4" t="s">
        <v>29</v>
      </c>
    </row>
    <row r="590" spans="1:6" x14ac:dyDescent="0.25">
      <c r="A590" s="4" t="s">
        <v>74</v>
      </c>
      <c r="B590" s="4" t="s">
        <v>5</v>
      </c>
      <c r="C590" s="4" t="s">
        <v>21</v>
      </c>
      <c r="D590" s="4">
        <v>2017</v>
      </c>
      <c r="E590" s="4">
        <v>202815.78219178083</v>
      </c>
      <c r="F590" s="4" t="s">
        <v>29</v>
      </c>
    </row>
    <row r="591" spans="1:6" x14ac:dyDescent="0.25">
      <c r="A591" s="4" t="s">
        <v>74</v>
      </c>
      <c r="B591" s="4" t="s">
        <v>5</v>
      </c>
      <c r="C591" s="4" t="s">
        <v>21</v>
      </c>
      <c r="D591" s="4">
        <v>2018</v>
      </c>
      <c r="E591" s="4">
        <v>234799.82978469165</v>
      </c>
      <c r="F591" s="4" t="s">
        <v>29</v>
      </c>
    </row>
    <row r="592" spans="1:6" x14ac:dyDescent="0.25">
      <c r="A592" s="4" t="s">
        <v>74</v>
      </c>
      <c r="B592" s="4" t="s">
        <v>5</v>
      </c>
      <c r="C592" s="4" t="s">
        <v>21</v>
      </c>
      <c r="D592" s="4">
        <v>2019</v>
      </c>
      <c r="E592" s="4">
        <v>254156.63379981264</v>
      </c>
      <c r="F592" s="4" t="s">
        <v>29</v>
      </c>
    </row>
    <row r="593" spans="1:6" x14ac:dyDescent="0.25">
      <c r="A593" s="4" t="s">
        <v>74</v>
      </c>
      <c r="B593" s="4" t="s">
        <v>5</v>
      </c>
      <c r="C593" s="4" t="s">
        <v>21</v>
      </c>
      <c r="D593" s="4">
        <v>2020</v>
      </c>
      <c r="E593" s="4">
        <v>259617.83437279184</v>
      </c>
      <c r="F593" s="4" t="s">
        <v>29</v>
      </c>
    </row>
    <row r="594" spans="1:6" x14ac:dyDescent="0.25">
      <c r="A594" s="4" t="s">
        <v>74</v>
      </c>
      <c r="B594" s="4" t="s">
        <v>5</v>
      </c>
      <c r="C594" s="4" t="s">
        <v>21</v>
      </c>
      <c r="D594" s="4">
        <v>2021</v>
      </c>
      <c r="E594" s="4">
        <v>261022.58625520545</v>
      </c>
      <c r="F594" s="4" t="s">
        <v>29</v>
      </c>
    </row>
    <row r="595" spans="1:6" x14ac:dyDescent="0.25">
      <c r="A595" s="4" t="s">
        <v>74</v>
      </c>
      <c r="B595" s="4" t="s">
        <v>5</v>
      </c>
      <c r="C595" s="4" t="s">
        <v>21</v>
      </c>
      <c r="D595" s="4">
        <v>2022</v>
      </c>
      <c r="E595" s="4">
        <v>261826.63235775448</v>
      </c>
      <c r="F595" s="4" t="s">
        <v>29</v>
      </c>
    </row>
    <row r="596" spans="1:6" x14ac:dyDescent="0.25">
      <c r="A596" s="4" t="s">
        <v>74</v>
      </c>
      <c r="B596" s="4" t="s">
        <v>5</v>
      </c>
      <c r="C596" s="4" t="s">
        <v>21</v>
      </c>
      <c r="D596" s="4">
        <v>2023</v>
      </c>
      <c r="E596" s="4">
        <v>261826.61697683489</v>
      </c>
      <c r="F596" s="4" t="s">
        <v>29</v>
      </c>
    </row>
    <row r="597" spans="1:6" x14ac:dyDescent="0.25">
      <c r="A597" s="4" t="s">
        <v>74</v>
      </c>
      <c r="B597" s="4" t="s">
        <v>5</v>
      </c>
      <c r="C597" s="4" t="s">
        <v>21</v>
      </c>
      <c r="D597" s="4">
        <v>2024</v>
      </c>
      <c r="E597" s="4">
        <v>261826.62684564892</v>
      </c>
      <c r="F597" s="4" t="s">
        <v>29</v>
      </c>
    </row>
    <row r="598" spans="1:6" x14ac:dyDescent="0.25">
      <c r="A598" s="4" t="s">
        <v>74</v>
      </c>
      <c r="B598" s="4" t="s">
        <v>5</v>
      </c>
      <c r="C598" s="4" t="s">
        <v>21</v>
      </c>
      <c r="D598" s="4">
        <v>2025</v>
      </c>
      <c r="E598" s="4">
        <v>261826.62716015082</v>
      </c>
      <c r="F598" s="4" t="s">
        <v>29</v>
      </c>
    </row>
    <row r="599" spans="1:6" x14ac:dyDescent="0.25">
      <c r="A599" s="4" t="s">
        <v>74</v>
      </c>
      <c r="B599" s="4" t="s">
        <v>5</v>
      </c>
      <c r="C599" s="4" t="s">
        <v>21</v>
      </c>
      <c r="D599" s="4">
        <v>2026</v>
      </c>
      <c r="E599" s="4">
        <v>261826.62703786089</v>
      </c>
      <c r="F599" s="4" t="s">
        <v>29</v>
      </c>
    </row>
    <row r="600" spans="1:6" x14ac:dyDescent="0.25">
      <c r="A600" s="4" t="s">
        <v>74</v>
      </c>
      <c r="B600" s="4" t="s">
        <v>5</v>
      </c>
      <c r="C600" s="4" t="s">
        <v>21</v>
      </c>
      <c r="D600" s="4">
        <v>2027</v>
      </c>
      <c r="E600" s="4">
        <v>261826.627032105</v>
      </c>
      <c r="F600" s="4" t="s">
        <v>29</v>
      </c>
    </row>
    <row r="601" spans="1:6" x14ac:dyDescent="0.25">
      <c r="A601" s="4" t="s">
        <v>74</v>
      </c>
      <c r="B601" s="4" t="s">
        <v>5</v>
      </c>
      <c r="C601" s="4" t="s">
        <v>21</v>
      </c>
      <c r="D601" s="4">
        <v>2028</v>
      </c>
      <c r="E601" s="4">
        <v>261826.62703364203</v>
      </c>
      <c r="F601" s="4" t="s">
        <v>29</v>
      </c>
    </row>
    <row r="602" spans="1:6" x14ac:dyDescent="0.25">
      <c r="A602" s="4" t="s">
        <v>74</v>
      </c>
      <c r="B602" s="4" t="s">
        <v>5</v>
      </c>
      <c r="C602" s="4" t="s">
        <v>21</v>
      </c>
      <c r="D602" s="4">
        <v>2029</v>
      </c>
      <c r="E602" s="4">
        <v>261826.62703373685</v>
      </c>
      <c r="F602" s="4" t="s">
        <v>29</v>
      </c>
    </row>
    <row r="603" spans="1:6" x14ac:dyDescent="0.25">
      <c r="A603" s="4" t="s">
        <v>74</v>
      </c>
      <c r="B603" s="4" t="s">
        <v>5</v>
      </c>
      <c r="C603" s="4" t="s">
        <v>21</v>
      </c>
      <c r="D603" s="4">
        <v>2030</v>
      </c>
      <c r="E603" s="4">
        <v>261826.6270337177</v>
      </c>
      <c r="F603" s="4" t="s">
        <v>29</v>
      </c>
    </row>
    <row r="604" spans="1:6" x14ac:dyDescent="0.25">
      <c r="A604" s="4" t="s">
        <v>74</v>
      </c>
      <c r="B604" s="4" t="s">
        <v>5</v>
      </c>
      <c r="C604" s="4" t="s">
        <v>21</v>
      </c>
      <c r="D604" s="4">
        <v>2031</v>
      </c>
      <c r="E604" s="4">
        <v>261826.62703371618</v>
      </c>
      <c r="F604" s="4" t="s">
        <v>29</v>
      </c>
    </row>
    <row r="605" spans="1:6" x14ac:dyDescent="0.25">
      <c r="A605" s="4" t="s">
        <v>74</v>
      </c>
      <c r="B605" s="4" t="s">
        <v>5</v>
      </c>
      <c r="C605" s="4" t="s">
        <v>21</v>
      </c>
      <c r="D605" s="4">
        <v>2032</v>
      </c>
      <c r="E605" s="4">
        <v>261826.62703371639</v>
      </c>
      <c r="F605" s="4" t="s">
        <v>29</v>
      </c>
    </row>
    <row r="606" spans="1:6" x14ac:dyDescent="0.25">
      <c r="A606" s="4" t="s">
        <v>74</v>
      </c>
      <c r="B606" s="4" t="s">
        <v>5</v>
      </c>
      <c r="C606" s="4" t="s">
        <v>21</v>
      </c>
      <c r="D606" s="4">
        <v>2033</v>
      </c>
      <c r="E606" s="4">
        <v>261826.62703371639</v>
      </c>
      <c r="F606" s="4" t="s">
        <v>29</v>
      </c>
    </row>
    <row r="607" spans="1:6" x14ac:dyDescent="0.25">
      <c r="A607" s="4" t="s">
        <v>74</v>
      </c>
      <c r="B607" s="4" t="s">
        <v>5</v>
      </c>
      <c r="C607" s="4" t="s">
        <v>21</v>
      </c>
      <c r="D607" s="4">
        <v>2034</v>
      </c>
      <c r="E607" s="4">
        <v>261826.62703371639</v>
      </c>
      <c r="F607" s="4" t="s">
        <v>29</v>
      </c>
    </row>
    <row r="608" spans="1:6" x14ac:dyDescent="0.25">
      <c r="A608" s="4" t="s">
        <v>74</v>
      </c>
      <c r="B608" s="4" t="s">
        <v>5</v>
      </c>
      <c r="C608" s="4" t="s">
        <v>21</v>
      </c>
      <c r="D608" s="4">
        <v>2035</v>
      </c>
      <c r="E608" s="4">
        <v>261826.62703371639</v>
      </c>
      <c r="F608" s="4" t="s">
        <v>29</v>
      </c>
    </row>
    <row r="609" spans="1:6" x14ac:dyDescent="0.25">
      <c r="A609" s="4" t="s">
        <v>74</v>
      </c>
      <c r="B609" s="4" t="s">
        <v>5</v>
      </c>
      <c r="C609" s="4" t="s">
        <v>21</v>
      </c>
      <c r="D609" s="4">
        <v>2036</v>
      </c>
      <c r="E609" s="4">
        <v>261826.62703371639</v>
      </c>
      <c r="F609" s="4" t="s">
        <v>29</v>
      </c>
    </row>
    <row r="610" spans="1:6" x14ac:dyDescent="0.25">
      <c r="A610" s="4" t="s">
        <v>74</v>
      </c>
      <c r="B610" s="4" t="s">
        <v>5</v>
      </c>
      <c r="C610" s="4" t="s">
        <v>21</v>
      </c>
      <c r="D610" s="4">
        <v>2037</v>
      </c>
      <c r="E610" s="4">
        <v>261826.62703371639</v>
      </c>
      <c r="F610" s="4" t="s">
        <v>29</v>
      </c>
    </row>
    <row r="611" spans="1:6" x14ac:dyDescent="0.25">
      <c r="A611" s="4" t="s">
        <v>74</v>
      </c>
      <c r="B611" s="4" t="s">
        <v>5</v>
      </c>
      <c r="C611" s="4" t="s">
        <v>21</v>
      </c>
      <c r="D611" s="4">
        <v>2038</v>
      </c>
      <c r="E611" s="4">
        <v>261826.62703371639</v>
      </c>
      <c r="F611" s="4" t="s">
        <v>29</v>
      </c>
    </row>
    <row r="612" spans="1:6" x14ac:dyDescent="0.25">
      <c r="A612" s="4" t="s">
        <v>74</v>
      </c>
      <c r="B612" s="4" t="s">
        <v>5</v>
      </c>
      <c r="C612" s="4" t="s">
        <v>21</v>
      </c>
      <c r="D612" s="4">
        <v>2039</v>
      </c>
      <c r="E612" s="4">
        <v>261826.62703371639</v>
      </c>
      <c r="F612" s="4" t="s">
        <v>29</v>
      </c>
    </row>
    <row r="613" spans="1:6" x14ac:dyDescent="0.25">
      <c r="A613" s="4" t="s">
        <v>74</v>
      </c>
      <c r="B613" s="4" t="s">
        <v>5</v>
      </c>
      <c r="C613" s="4" t="s">
        <v>21</v>
      </c>
      <c r="D613" s="4">
        <v>2040</v>
      </c>
      <c r="E613" s="4">
        <v>261826.62703371639</v>
      </c>
      <c r="F613" s="4" t="s">
        <v>29</v>
      </c>
    </row>
    <row r="614" spans="1:6" x14ac:dyDescent="0.25">
      <c r="A614" s="4" t="s">
        <v>74</v>
      </c>
      <c r="B614" s="4" t="s">
        <v>6</v>
      </c>
      <c r="C614" s="4" t="s">
        <v>21</v>
      </c>
      <c r="D614" s="4">
        <v>2005</v>
      </c>
      <c r="E614" s="4">
        <v>69700</v>
      </c>
      <c r="F614" s="4" t="s">
        <v>29</v>
      </c>
    </row>
    <row r="615" spans="1:6" x14ac:dyDescent="0.25">
      <c r="A615" s="4" t="s">
        <v>74</v>
      </c>
      <c r="B615" s="4" t="s">
        <v>6</v>
      </c>
      <c r="C615" s="4" t="s">
        <v>21</v>
      </c>
      <c r="D615" s="4">
        <v>2006</v>
      </c>
      <c r="E615" s="4">
        <v>78500</v>
      </c>
      <c r="F615" s="4" t="s">
        <v>29</v>
      </c>
    </row>
    <row r="616" spans="1:6" x14ac:dyDescent="0.25">
      <c r="A616" s="4" t="s">
        <v>74</v>
      </c>
      <c r="B616" s="4" t="s">
        <v>6</v>
      </c>
      <c r="C616" s="4" t="s">
        <v>21</v>
      </c>
      <c r="D616" s="4">
        <v>2007</v>
      </c>
      <c r="E616" s="4">
        <v>85200</v>
      </c>
      <c r="F616" s="4" t="s">
        <v>29</v>
      </c>
    </row>
    <row r="617" spans="1:6" x14ac:dyDescent="0.25">
      <c r="A617" s="4" t="s">
        <v>74</v>
      </c>
      <c r="B617" s="4" t="s">
        <v>6</v>
      </c>
      <c r="C617" s="4" t="s">
        <v>21</v>
      </c>
      <c r="D617" s="4">
        <v>2008</v>
      </c>
      <c r="E617" s="4">
        <v>92700</v>
      </c>
      <c r="F617" s="4" t="s">
        <v>29</v>
      </c>
    </row>
    <row r="618" spans="1:6" x14ac:dyDescent="0.25">
      <c r="A618" s="4" t="s">
        <v>74</v>
      </c>
      <c r="B618" s="4" t="s">
        <v>6</v>
      </c>
      <c r="C618" s="4" t="s">
        <v>21</v>
      </c>
      <c r="D618" s="4">
        <v>2009</v>
      </c>
      <c r="E618" s="4">
        <v>105500</v>
      </c>
      <c r="F618" s="4" t="s">
        <v>29</v>
      </c>
    </row>
    <row r="619" spans="1:6" x14ac:dyDescent="0.25">
      <c r="A619" s="4" t="s">
        <v>74</v>
      </c>
      <c r="B619" s="4" t="s">
        <v>6</v>
      </c>
      <c r="C619" s="4" t="s">
        <v>21</v>
      </c>
      <c r="D619" s="4">
        <v>2010</v>
      </c>
      <c r="E619" s="4">
        <v>119629.14712328766</v>
      </c>
      <c r="F619" s="4" t="s">
        <v>29</v>
      </c>
    </row>
    <row r="620" spans="1:6" x14ac:dyDescent="0.25">
      <c r="A620" s="4" t="s">
        <v>74</v>
      </c>
      <c r="B620" s="4" t="s">
        <v>6</v>
      </c>
      <c r="C620" s="4" t="s">
        <v>21</v>
      </c>
      <c r="D620" s="4">
        <v>2011</v>
      </c>
      <c r="E620" s="4">
        <v>134719.58268493149</v>
      </c>
      <c r="F620" s="4" t="s">
        <v>29</v>
      </c>
    </row>
    <row r="621" spans="1:6" x14ac:dyDescent="0.25">
      <c r="A621" s="4" t="s">
        <v>74</v>
      </c>
      <c r="B621" s="4" t="s">
        <v>6</v>
      </c>
      <c r="C621" s="4" t="s">
        <v>21</v>
      </c>
      <c r="D621" s="4">
        <v>2012</v>
      </c>
      <c r="E621" s="4">
        <v>157385.20219178079</v>
      </c>
      <c r="F621" s="4" t="s">
        <v>29</v>
      </c>
    </row>
    <row r="622" spans="1:6" x14ac:dyDescent="0.25">
      <c r="A622" s="4" t="s">
        <v>74</v>
      </c>
      <c r="B622" s="4" t="s">
        <v>6</v>
      </c>
      <c r="C622" s="4" t="s">
        <v>21</v>
      </c>
      <c r="D622" s="4">
        <v>2013</v>
      </c>
      <c r="E622" s="4">
        <v>175859.07172602741</v>
      </c>
      <c r="F622" s="4" t="s">
        <v>29</v>
      </c>
    </row>
    <row r="623" spans="1:6" x14ac:dyDescent="0.25">
      <c r="A623" s="4" t="s">
        <v>74</v>
      </c>
      <c r="B623" s="4" t="s">
        <v>6</v>
      </c>
      <c r="C623" s="4" t="s">
        <v>21</v>
      </c>
      <c r="D623" s="4">
        <v>2014</v>
      </c>
      <c r="E623" s="4">
        <v>200748.64076712329</v>
      </c>
      <c r="F623" s="4" t="s">
        <v>29</v>
      </c>
    </row>
    <row r="624" spans="1:6" x14ac:dyDescent="0.25">
      <c r="A624" s="4" t="s">
        <v>74</v>
      </c>
      <c r="B624" s="4" t="s">
        <v>6</v>
      </c>
      <c r="C624" s="4" t="s">
        <v>21</v>
      </c>
      <c r="D624" s="4">
        <v>2015</v>
      </c>
      <c r="E624" s="4">
        <v>216516.94391559192</v>
      </c>
      <c r="F624" s="4" t="s">
        <v>29</v>
      </c>
    </row>
    <row r="625" spans="1:6" x14ac:dyDescent="0.25">
      <c r="A625" s="4" t="s">
        <v>74</v>
      </c>
      <c r="B625" s="4" t="s">
        <v>6</v>
      </c>
      <c r="C625" s="4" t="s">
        <v>21</v>
      </c>
      <c r="D625" s="4">
        <v>2016</v>
      </c>
      <c r="E625" s="4">
        <v>222306.83333061248</v>
      </c>
      <c r="F625" s="4" t="s">
        <v>29</v>
      </c>
    </row>
    <row r="626" spans="1:6" x14ac:dyDescent="0.25">
      <c r="A626" s="4" t="s">
        <v>74</v>
      </c>
      <c r="B626" s="4" t="s">
        <v>6</v>
      </c>
      <c r="C626" s="4" t="s">
        <v>21</v>
      </c>
      <c r="D626" s="4">
        <v>2017</v>
      </c>
      <c r="E626" s="4">
        <v>245914.92329379948</v>
      </c>
      <c r="F626" s="4" t="s">
        <v>29</v>
      </c>
    </row>
    <row r="627" spans="1:6" x14ac:dyDescent="0.25">
      <c r="A627" s="4" t="s">
        <v>74</v>
      </c>
      <c r="B627" s="4" t="s">
        <v>6</v>
      </c>
      <c r="C627" s="4" t="s">
        <v>21</v>
      </c>
      <c r="D627" s="4">
        <v>2018</v>
      </c>
      <c r="E627" s="4">
        <v>261640.34547641588</v>
      </c>
      <c r="F627" s="4" t="s">
        <v>29</v>
      </c>
    </row>
    <row r="628" spans="1:6" x14ac:dyDescent="0.25">
      <c r="A628" s="4" t="s">
        <v>74</v>
      </c>
      <c r="B628" s="4" t="s">
        <v>6</v>
      </c>
      <c r="C628" s="4" t="s">
        <v>21</v>
      </c>
      <c r="D628" s="4">
        <v>2019</v>
      </c>
      <c r="E628" s="4">
        <v>273757.26348823449</v>
      </c>
      <c r="F628" s="4" t="s">
        <v>29</v>
      </c>
    </row>
    <row r="629" spans="1:6" x14ac:dyDescent="0.25">
      <c r="A629" s="4" t="s">
        <v>74</v>
      </c>
      <c r="B629" s="4" t="s">
        <v>6</v>
      </c>
      <c r="C629" s="4" t="s">
        <v>21</v>
      </c>
      <c r="D629" s="4">
        <v>2020</v>
      </c>
      <c r="E629" s="4">
        <v>283681.48916161514</v>
      </c>
      <c r="F629" s="4" t="s">
        <v>29</v>
      </c>
    </row>
    <row r="630" spans="1:6" x14ac:dyDescent="0.25">
      <c r="A630" s="4" t="s">
        <v>74</v>
      </c>
      <c r="B630" s="4" t="s">
        <v>6</v>
      </c>
      <c r="C630" s="4" t="s">
        <v>21</v>
      </c>
      <c r="D630" s="4">
        <v>2021</v>
      </c>
      <c r="E630" s="4">
        <v>288325.86230611883</v>
      </c>
      <c r="F630" s="4" t="s">
        <v>29</v>
      </c>
    </row>
    <row r="631" spans="1:6" x14ac:dyDescent="0.25">
      <c r="A631" s="4" t="s">
        <v>74</v>
      </c>
      <c r="B631" s="4" t="s">
        <v>6</v>
      </c>
      <c r="C631" s="4" t="s">
        <v>21</v>
      </c>
      <c r="D631" s="4">
        <v>2022</v>
      </c>
      <c r="E631" s="4">
        <v>292682.61261761619</v>
      </c>
      <c r="F631" s="4" t="s">
        <v>29</v>
      </c>
    </row>
    <row r="632" spans="1:6" x14ac:dyDescent="0.25">
      <c r="A632" s="4" t="s">
        <v>74</v>
      </c>
      <c r="B632" s="4" t="s">
        <v>6</v>
      </c>
      <c r="C632" s="4" t="s">
        <v>21</v>
      </c>
      <c r="D632" s="4">
        <v>2023</v>
      </c>
      <c r="E632" s="4">
        <v>305074.30851720634</v>
      </c>
      <c r="F632" s="4" t="s">
        <v>29</v>
      </c>
    </row>
    <row r="633" spans="1:6" x14ac:dyDescent="0.25">
      <c r="A633" s="4" t="s">
        <v>74</v>
      </c>
      <c r="B633" s="4" t="s">
        <v>6</v>
      </c>
      <c r="C633" s="4" t="s">
        <v>21</v>
      </c>
      <c r="D633" s="4">
        <v>2024</v>
      </c>
      <c r="E633" s="4">
        <v>321274.03996566811</v>
      </c>
      <c r="F633" s="4" t="s">
        <v>29</v>
      </c>
    </row>
    <row r="634" spans="1:6" x14ac:dyDescent="0.25">
      <c r="A634" s="4" t="s">
        <v>74</v>
      </c>
      <c r="B634" s="4" t="s">
        <v>6</v>
      </c>
      <c r="C634" s="4" t="s">
        <v>21</v>
      </c>
      <c r="D634" s="4">
        <v>2025</v>
      </c>
      <c r="E634" s="4">
        <v>335609.62472703506</v>
      </c>
      <c r="F634" s="4" t="s">
        <v>29</v>
      </c>
    </row>
    <row r="635" spans="1:6" x14ac:dyDescent="0.25">
      <c r="A635" s="4" t="s">
        <v>74</v>
      </c>
      <c r="B635" s="4" t="s">
        <v>6</v>
      </c>
      <c r="C635" s="4" t="s">
        <v>21</v>
      </c>
      <c r="D635" s="4">
        <v>2026</v>
      </c>
      <c r="E635" s="4">
        <v>347611.63784378621</v>
      </c>
      <c r="F635" s="4" t="s">
        <v>29</v>
      </c>
    </row>
    <row r="636" spans="1:6" x14ac:dyDescent="0.25">
      <c r="A636" s="4" t="s">
        <v>74</v>
      </c>
      <c r="B636" s="4" t="s">
        <v>6</v>
      </c>
      <c r="C636" s="4" t="s">
        <v>21</v>
      </c>
      <c r="D636" s="4">
        <v>2027</v>
      </c>
      <c r="E636" s="4">
        <v>357438.79739750124</v>
      </c>
      <c r="F636" s="4" t="s">
        <v>29</v>
      </c>
    </row>
    <row r="637" spans="1:6" x14ac:dyDescent="0.25">
      <c r="A637" s="4" t="s">
        <v>74</v>
      </c>
      <c r="B637" s="4" t="s">
        <v>6</v>
      </c>
      <c r="C637" s="4" t="s">
        <v>21</v>
      </c>
      <c r="D637" s="4">
        <v>2028</v>
      </c>
      <c r="E637" s="4">
        <v>363322.19141001039</v>
      </c>
      <c r="F637" s="4" t="s">
        <v>29</v>
      </c>
    </row>
    <row r="638" spans="1:6" x14ac:dyDescent="0.25">
      <c r="A638" s="4" t="s">
        <v>74</v>
      </c>
      <c r="B638" s="4" t="s">
        <v>6</v>
      </c>
      <c r="C638" s="4" t="s">
        <v>21</v>
      </c>
      <c r="D638" s="4">
        <v>2029</v>
      </c>
      <c r="E638" s="4">
        <v>374347.36929064599</v>
      </c>
      <c r="F638" s="4" t="s">
        <v>29</v>
      </c>
    </row>
    <row r="639" spans="1:6" x14ac:dyDescent="0.25">
      <c r="A639" s="4" t="s">
        <v>74</v>
      </c>
      <c r="B639" s="4" t="s">
        <v>6</v>
      </c>
      <c r="C639" s="4" t="s">
        <v>21</v>
      </c>
      <c r="D639" s="4">
        <v>2030</v>
      </c>
      <c r="E639" s="4">
        <v>389463.41547696618</v>
      </c>
      <c r="F639" s="4" t="s">
        <v>29</v>
      </c>
    </row>
    <row r="640" spans="1:6" x14ac:dyDescent="0.25">
      <c r="A640" s="4" t="s">
        <v>74</v>
      </c>
      <c r="B640" s="4" t="s">
        <v>6</v>
      </c>
      <c r="C640" s="4" t="s">
        <v>21</v>
      </c>
      <c r="D640" s="4">
        <v>2031</v>
      </c>
      <c r="E640" s="4">
        <v>404762.48132987262</v>
      </c>
      <c r="F640" s="4" t="s">
        <v>29</v>
      </c>
    </row>
    <row r="641" spans="1:6" x14ac:dyDescent="0.25">
      <c r="A641" s="4" t="s">
        <v>74</v>
      </c>
      <c r="B641" s="4" t="s">
        <v>6</v>
      </c>
      <c r="C641" s="4" t="s">
        <v>21</v>
      </c>
      <c r="D641" s="4">
        <v>2032</v>
      </c>
      <c r="E641" s="4">
        <v>415366.21752313961</v>
      </c>
      <c r="F641" s="4" t="s">
        <v>29</v>
      </c>
    </row>
    <row r="642" spans="1:6" x14ac:dyDescent="0.25">
      <c r="A642" s="4" t="s">
        <v>74</v>
      </c>
      <c r="B642" s="4" t="s">
        <v>6</v>
      </c>
      <c r="C642" s="4" t="s">
        <v>21</v>
      </c>
      <c r="D642" s="4">
        <v>2033</v>
      </c>
      <c r="E642" s="4">
        <v>423553.11931871559</v>
      </c>
      <c r="F642" s="4" t="s">
        <v>29</v>
      </c>
    </row>
    <row r="643" spans="1:6" x14ac:dyDescent="0.25">
      <c r="A643" s="4" t="s">
        <v>74</v>
      </c>
      <c r="B643" s="4" t="s">
        <v>6</v>
      </c>
      <c r="C643" s="4" t="s">
        <v>21</v>
      </c>
      <c r="D643" s="4">
        <v>2034</v>
      </c>
      <c r="E643" s="4">
        <v>427446.44898418512</v>
      </c>
      <c r="F643" s="4" t="s">
        <v>29</v>
      </c>
    </row>
    <row r="644" spans="1:6" x14ac:dyDescent="0.25">
      <c r="A644" s="4" t="s">
        <v>74</v>
      </c>
      <c r="B644" s="4" t="s">
        <v>6</v>
      </c>
      <c r="C644" s="4" t="s">
        <v>21</v>
      </c>
      <c r="D644" s="4">
        <v>2035</v>
      </c>
      <c r="E644" s="4">
        <v>431999.06093894248</v>
      </c>
      <c r="F644" s="4" t="s">
        <v>29</v>
      </c>
    </row>
    <row r="645" spans="1:6" x14ac:dyDescent="0.25">
      <c r="A645" s="4" t="s">
        <v>74</v>
      </c>
      <c r="B645" s="4" t="s">
        <v>6</v>
      </c>
      <c r="C645" s="4" t="s">
        <v>21</v>
      </c>
      <c r="D645" s="4">
        <v>2036</v>
      </c>
      <c r="E645" s="4">
        <v>435121.59766249108</v>
      </c>
      <c r="F645" s="4" t="s">
        <v>29</v>
      </c>
    </row>
    <row r="646" spans="1:6" x14ac:dyDescent="0.25">
      <c r="A646" s="4" t="s">
        <v>74</v>
      </c>
      <c r="B646" s="4" t="s">
        <v>6</v>
      </c>
      <c r="C646" s="4" t="s">
        <v>21</v>
      </c>
      <c r="D646" s="4">
        <v>2037</v>
      </c>
      <c r="E646" s="4">
        <v>438919.68093110045</v>
      </c>
      <c r="F646" s="4" t="s">
        <v>29</v>
      </c>
    </row>
    <row r="647" spans="1:6" x14ac:dyDescent="0.25">
      <c r="A647" s="4" t="s">
        <v>74</v>
      </c>
      <c r="B647" s="4" t="s">
        <v>6</v>
      </c>
      <c r="C647" s="4" t="s">
        <v>21</v>
      </c>
      <c r="D647" s="4">
        <v>2038</v>
      </c>
      <c r="E647" s="4">
        <v>442581.9779715378</v>
      </c>
      <c r="F647" s="4" t="s">
        <v>29</v>
      </c>
    </row>
    <row r="648" spans="1:6" x14ac:dyDescent="0.25">
      <c r="A648" s="4" t="s">
        <v>74</v>
      </c>
      <c r="B648" s="4" t="s">
        <v>6</v>
      </c>
      <c r="C648" s="4" t="s">
        <v>21</v>
      </c>
      <c r="D648" s="4">
        <v>2039</v>
      </c>
      <c r="E648" s="4">
        <v>445484.32281426439</v>
      </c>
      <c r="F648" s="4" t="s">
        <v>29</v>
      </c>
    </row>
    <row r="649" spans="1:6" x14ac:dyDescent="0.25">
      <c r="A649" s="4" t="s">
        <v>74</v>
      </c>
      <c r="B649" s="4" t="s">
        <v>6</v>
      </c>
      <c r="C649" s="4" t="s">
        <v>21</v>
      </c>
      <c r="D649" s="4">
        <v>2040</v>
      </c>
      <c r="E649" s="4">
        <v>448409.4473377855</v>
      </c>
      <c r="F649" s="4" t="s">
        <v>29</v>
      </c>
    </row>
    <row r="650" spans="1:6" x14ac:dyDescent="0.25">
      <c r="A650" s="4" t="s">
        <v>74</v>
      </c>
      <c r="B650" s="4" t="s">
        <v>23</v>
      </c>
      <c r="C650" s="4" t="s">
        <v>21</v>
      </c>
      <c r="D650" s="4">
        <v>2005</v>
      </c>
      <c r="E650" s="4">
        <v>282212.47959485406</v>
      </c>
      <c r="F650" s="4" t="s">
        <v>29</v>
      </c>
    </row>
    <row r="651" spans="1:6" x14ac:dyDescent="0.25">
      <c r="A651" s="4" t="s">
        <v>74</v>
      </c>
      <c r="B651" s="4" t="s">
        <v>23</v>
      </c>
      <c r="C651" s="4" t="s">
        <v>21</v>
      </c>
      <c r="D651" s="4">
        <v>2006</v>
      </c>
      <c r="E651" s="4">
        <v>308821.51053891447</v>
      </c>
      <c r="F651" s="4" t="s">
        <v>29</v>
      </c>
    </row>
    <row r="652" spans="1:6" x14ac:dyDescent="0.25">
      <c r="A652" s="4" t="s">
        <v>74</v>
      </c>
      <c r="B652" s="4" t="s">
        <v>23</v>
      </c>
      <c r="C652" s="4" t="s">
        <v>21</v>
      </c>
      <c r="D652" s="4">
        <v>2007</v>
      </c>
      <c r="E652" s="4">
        <v>316621.84584741422</v>
      </c>
      <c r="F652" s="4" t="s">
        <v>29</v>
      </c>
    </row>
    <row r="653" spans="1:6" x14ac:dyDescent="0.25">
      <c r="A653" s="4" t="s">
        <v>74</v>
      </c>
      <c r="B653" s="4" t="s">
        <v>23</v>
      </c>
      <c r="C653" s="4" t="s">
        <v>21</v>
      </c>
      <c r="D653" s="4">
        <v>2008</v>
      </c>
      <c r="E653" s="4">
        <v>309817.91666666669</v>
      </c>
      <c r="F653" s="4" t="s">
        <v>29</v>
      </c>
    </row>
    <row r="654" spans="1:6" x14ac:dyDescent="0.25">
      <c r="A654" s="4" t="s">
        <v>74</v>
      </c>
      <c r="B654" s="4" t="s">
        <v>23</v>
      </c>
      <c r="C654" s="4" t="s">
        <v>21</v>
      </c>
      <c r="D654" s="4">
        <v>2009</v>
      </c>
      <c r="E654" s="4">
        <v>331002.26312788017</v>
      </c>
      <c r="F654" s="4" t="s">
        <v>29</v>
      </c>
    </row>
    <row r="655" spans="1:6" x14ac:dyDescent="0.25">
      <c r="A655" s="4" t="s">
        <v>74</v>
      </c>
      <c r="B655" s="4" t="s">
        <v>23</v>
      </c>
      <c r="C655" s="4" t="s">
        <v>21</v>
      </c>
      <c r="D655" s="4">
        <v>2010</v>
      </c>
      <c r="E655" s="4">
        <v>349078.57793704275</v>
      </c>
      <c r="F655" s="4" t="s">
        <v>29</v>
      </c>
    </row>
    <row r="656" spans="1:6" x14ac:dyDescent="0.25">
      <c r="A656" s="4" t="s">
        <v>74</v>
      </c>
      <c r="B656" s="4" t="s">
        <v>23</v>
      </c>
      <c r="C656" s="4" t="s">
        <v>21</v>
      </c>
      <c r="D656" s="4">
        <v>2011</v>
      </c>
      <c r="E656" s="4">
        <v>374155.60891879012</v>
      </c>
      <c r="F656" s="4" t="s">
        <v>29</v>
      </c>
    </row>
    <row r="657" spans="1:6" x14ac:dyDescent="0.25">
      <c r="A657" s="4" t="s">
        <v>74</v>
      </c>
      <c r="B657" s="4" t="s">
        <v>23</v>
      </c>
      <c r="C657" s="4" t="s">
        <v>21</v>
      </c>
      <c r="D657" s="4">
        <v>2012</v>
      </c>
      <c r="E657" s="4">
        <v>413332.3737569534</v>
      </c>
      <c r="F657" s="4" t="s">
        <v>29</v>
      </c>
    </row>
    <row r="658" spans="1:6" x14ac:dyDescent="0.25">
      <c r="A658" s="4" t="s">
        <v>74</v>
      </c>
      <c r="B658" s="4" t="s">
        <v>23</v>
      </c>
      <c r="C658" s="4" t="s">
        <v>21</v>
      </c>
      <c r="D658" s="4">
        <v>2013</v>
      </c>
      <c r="E658" s="4">
        <v>444314.08336594386</v>
      </c>
      <c r="F658" s="4" t="s">
        <v>29</v>
      </c>
    </row>
    <row r="659" spans="1:6" x14ac:dyDescent="0.25">
      <c r="A659" s="4" t="s">
        <v>74</v>
      </c>
      <c r="B659" s="4" t="s">
        <v>23</v>
      </c>
      <c r="C659" s="4" t="s">
        <v>21</v>
      </c>
      <c r="D659" s="4">
        <v>2014</v>
      </c>
      <c r="E659" s="4">
        <v>472104.01654323877</v>
      </c>
      <c r="F659" s="4" t="s">
        <v>29</v>
      </c>
    </row>
    <row r="660" spans="1:6" x14ac:dyDescent="0.25">
      <c r="A660" s="4" t="s">
        <v>74</v>
      </c>
      <c r="B660" s="4" t="s">
        <v>23</v>
      </c>
      <c r="C660" s="4" t="s">
        <v>21</v>
      </c>
      <c r="D660" s="4">
        <v>2015</v>
      </c>
      <c r="E660" s="4">
        <v>515890.15396101726</v>
      </c>
      <c r="F660" s="4" t="s">
        <v>29</v>
      </c>
    </row>
    <row r="661" spans="1:6" x14ac:dyDescent="0.25">
      <c r="A661" s="4" t="s">
        <v>74</v>
      </c>
      <c r="B661" s="4" t="s">
        <v>23</v>
      </c>
      <c r="C661" s="4" t="s">
        <v>21</v>
      </c>
      <c r="D661" s="4">
        <v>2016</v>
      </c>
      <c r="E661" s="4">
        <v>511295.13393929158</v>
      </c>
      <c r="F661" s="4" t="s">
        <v>29</v>
      </c>
    </row>
    <row r="662" spans="1:6" x14ac:dyDescent="0.25">
      <c r="A662" s="4" t="s">
        <v>74</v>
      </c>
      <c r="B662" s="4" t="s">
        <v>23</v>
      </c>
      <c r="C662" s="4" t="s">
        <v>21</v>
      </c>
      <c r="D662" s="4">
        <v>2017</v>
      </c>
      <c r="E662" s="4">
        <v>562108.93723498529</v>
      </c>
      <c r="F662" s="4" t="s">
        <v>29</v>
      </c>
    </row>
    <row r="663" spans="1:6" x14ac:dyDescent="0.25">
      <c r="A663" s="4" t="s">
        <v>74</v>
      </c>
      <c r="B663" s="4" t="s">
        <v>23</v>
      </c>
      <c r="C663" s="4" t="s">
        <v>21</v>
      </c>
      <c r="D663" s="4">
        <v>2018</v>
      </c>
      <c r="E663" s="4">
        <v>610495.87794655841</v>
      </c>
      <c r="F663" s="4" t="s">
        <v>29</v>
      </c>
    </row>
    <row r="664" spans="1:6" x14ac:dyDescent="0.25">
      <c r="A664" s="4" t="s">
        <v>74</v>
      </c>
      <c r="B664" s="4" t="s">
        <v>23</v>
      </c>
      <c r="C664" s="4" t="s">
        <v>21</v>
      </c>
      <c r="D664" s="4">
        <v>2019</v>
      </c>
      <c r="E664" s="4">
        <v>641082.34010669973</v>
      </c>
      <c r="F664" s="4" t="s">
        <v>29</v>
      </c>
    </row>
    <row r="665" spans="1:6" x14ac:dyDescent="0.25">
      <c r="A665" s="4" t="s">
        <v>74</v>
      </c>
      <c r="B665" s="4" t="s">
        <v>23</v>
      </c>
      <c r="C665" s="4" t="s">
        <v>21</v>
      </c>
      <c r="D665" s="4">
        <v>2020</v>
      </c>
      <c r="E665" s="4">
        <v>655052.725407094</v>
      </c>
      <c r="F665" s="4" t="s">
        <v>29</v>
      </c>
    </row>
    <row r="666" spans="1:6" x14ac:dyDescent="0.25">
      <c r="A666" s="4" t="s">
        <v>74</v>
      </c>
      <c r="B666" s="4" t="s">
        <v>23</v>
      </c>
      <c r="C666" s="4" t="s">
        <v>21</v>
      </c>
      <c r="D666" s="4">
        <v>2021</v>
      </c>
      <c r="E666" s="4">
        <v>660062.60683136247</v>
      </c>
      <c r="F666" s="4" t="s">
        <v>29</v>
      </c>
    </row>
    <row r="667" spans="1:6" x14ac:dyDescent="0.25">
      <c r="A667" s="4" t="s">
        <v>74</v>
      </c>
      <c r="B667" s="4" t="s">
        <v>23</v>
      </c>
      <c r="C667" s="4" t="s">
        <v>21</v>
      </c>
      <c r="D667" s="4">
        <v>2022</v>
      </c>
      <c r="E667" s="4">
        <v>664854.13026747864</v>
      </c>
      <c r="F667" s="4" t="s">
        <v>29</v>
      </c>
    </row>
    <row r="668" spans="1:6" x14ac:dyDescent="0.25">
      <c r="A668" s="4" t="s">
        <v>74</v>
      </c>
      <c r="B668" s="4" t="s">
        <v>23</v>
      </c>
      <c r="C668" s="4" t="s">
        <v>21</v>
      </c>
      <c r="D668" s="4">
        <v>2023</v>
      </c>
      <c r="E668" s="4">
        <v>677797.68072572118</v>
      </c>
      <c r="F668" s="4" t="s">
        <v>29</v>
      </c>
    </row>
    <row r="669" spans="1:6" x14ac:dyDescent="0.25">
      <c r="A669" s="4" t="s">
        <v>74</v>
      </c>
      <c r="B669" s="4" t="s">
        <v>23</v>
      </c>
      <c r="C669" s="4" t="s">
        <v>21</v>
      </c>
      <c r="D669" s="4">
        <v>2024</v>
      </c>
      <c r="E669" s="4">
        <v>695528.47842647403</v>
      </c>
      <c r="F669" s="4" t="s">
        <v>29</v>
      </c>
    </row>
    <row r="670" spans="1:6" x14ac:dyDescent="0.25">
      <c r="A670" s="4" t="s">
        <v>74</v>
      </c>
      <c r="B670" s="4" t="s">
        <v>23</v>
      </c>
      <c r="C670" s="4" t="s">
        <v>21</v>
      </c>
      <c r="D670" s="4">
        <v>2025</v>
      </c>
      <c r="E670" s="4">
        <v>712242.43073266512</v>
      </c>
      <c r="F670" s="4" t="s">
        <v>29</v>
      </c>
    </row>
    <row r="671" spans="1:6" x14ac:dyDescent="0.25">
      <c r="A671" s="4" t="s">
        <v>74</v>
      </c>
      <c r="B671" s="4" t="s">
        <v>23</v>
      </c>
      <c r="C671" s="4" t="s">
        <v>21</v>
      </c>
      <c r="D671" s="4">
        <v>2026</v>
      </c>
      <c r="E671" s="4">
        <v>727242.53116296674</v>
      </c>
      <c r="F671" s="4" t="s">
        <v>29</v>
      </c>
    </row>
    <row r="672" spans="1:6" x14ac:dyDescent="0.25">
      <c r="A672" s="4" t="s">
        <v>74</v>
      </c>
      <c r="B672" s="4" t="s">
        <v>23</v>
      </c>
      <c r="C672" s="4" t="s">
        <v>21</v>
      </c>
      <c r="D672" s="4">
        <v>2027</v>
      </c>
      <c r="E672" s="4">
        <v>740185.90766713687</v>
      </c>
      <c r="F672" s="4" t="s">
        <v>29</v>
      </c>
    </row>
    <row r="673" spans="1:6" x14ac:dyDescent="0.25">
      <c r="A673" s="4" t="s">
        <v>74</v>
      </c>
      <c r="B673" s="4" t="s">
        <v>23</v>
      </c>
      <c r="C673" s="4" t="s">
        <v>21</v>
      </c>
      <c r="D673" s="4">
        <v>2028</v>
      </c>
      <c r="E673" s="4">
        <v>749205.4455432212</v>
      </c>
      <c r="F673" s="4" t="s">
        <v>29</v>
      </c>
    </row>
    <row r="674" spans="1:6" x14ac:dyDescent="0.25">
      <c r="A674" s="4" t="s">
        <v>74</v>
      </c>
      <c r="B674" s="4" t="s">
        <v>23</v>
      </c>
      <c r="C674" s="4" t="s">
        <v>21</v>
      </c>
      <c r="D674" s="4">
        <v>2029</v>
      </c>
      <c r="E674" s="4">
        <v>763414.22308205138</v>
      </c>
      <c r="F674" s="4" t="s">
        <v>29</v>
      </c>
    </row>
    <row r="675" spans="1:6" x14ac:dyDescent="0.25">
      <c r="A675" s="4" t="s">
        <v>74</v>
      </c>
      <c r="B675" s="4" t="s">
        <v>23</v>
      </c>
      <c r="C675" s="4" t="s">
        <v>21</v>
      </c>
      <c r="D675" s="4">
        <v>2030</v>
      </c>
      <c r="E675" s="4">
        <v>781712.90792121598</v>
      </c>
      <c r="F675" s="4" t="s">
        <v>29</v>
      </c>
    </row>
    <row r="676" spans="1:6" x14ac:dyDescent="0.25">
      <c r="A676" s="4" t="s">
        <v>74</v>
      </c>
      <c r="B676" s="4" t="s">
        <v>23</v>
      </c>
      <c r="C676" s="4" t="s">
        <v>21</v>
      </c>
      <c r="D676" s="4">
        <v>2031</v>
      </c>
      <c r="E676" s="4">
        <v>800266.18840703298</v>
      </c>
      <c r="F676" s="4" t="s">
        <v>29</v>
      </c>
    </row>
    <row r="677" spans="1:6" x14ac:dyDescent="0.25">
      <c r="A677" s="4" t="s">
        <v>74</v>
      </c>
      <c r="B677" s="4" t="s">
        <v>23</v>
      </c>
      <c r="C677" s="4" t="s">
        <v>21</v>
      </c>
      <c r="D677" s="4">
        <v>2032</v>
      </c>
      <c r="E677" s="4">
        <v>814243.79916503583</v>
      </c>
      <c r="F677" s="4" t="s">
        <v>29</v>
      </c>
    </row>
    <row r="678" spans="1:6" x14ac:dyDescent="0.25">
      <c r="A678" s="4" t="s">
        <v>74</v>
      </c>
      <c r="B678" s="4" t="s">
        <v>23</v>
      </c>
      <c r="C678" s="4" t="s">
        <v>21</v>
      </c>
      <c r="D678" s="4">
        <v>2033</v>
      </c>
      <c r="E678" s="4">
        <v>825914.00979499682</v>
      </c>
      <c r="F678" s="4" t="s">
        <v>29</v>
      </c>
    </row>
    <row r="679" spans="1:6" x14ac:dyDescent="0.25">
      <c r="A679" s="4" t="s">
        <v>74</v>
      </c>
      <c r="B679" s="4" t="s">
        <v>23</v>
      </c>
      <c r="C679" s="4" t="s">
        <v>21</v>
      </c>
      <c r="D679" s="4">
        <v>2034</v>
      </c>
      <c r="E679" s="4">
        <v>833371.13230430149</v>
      </c>
      <c r="F679" s="4" t="s">
        <v>29</v>
      </c>
    </row>
    <row r="680" spans="1:6" x14ac:dyDescent="0.25">
      <c r="A680" s="4" t="s">
        <v>74</v>
      </c>
      <c r="B680" s="4" t="s">
        <v>23</v>
      </c>
      <c r="C680" s="4" t="s">
        <v>21</v>
      </c>
      <c r="D680" s="4">
        <v>2035</v>
      </c>
      <c r="E680" s="4">
        <v>841642.44735237479</v>
      </c>
      <c r="F680" s="4" t="s">
        <v>29</v>
      </c>
    </row>
    <row r="681" spans="1:6" x14ac:dyDescent="0.25">
      <c r="A681" s="4" t="s">
        <v>74</v>
      </c>
      <c r="B681" s="4" t="s">
        <v>23</v>
      </c>
      <c r="C681" s="4" t="s">
        <v>21</v>
      </c>
      <c r="D681" s="4">
        <v>2036</v>
      </c>
      <c r="E681" s="4">
        <v>848580.89939346444</v>
      </c>
      <c r="F681" s="4" t="s">
        <v>29</v>
      </c>
    </row>
    <row r="682" spans="1:6" x14ac:dyDescent="0.25">
      <c r="A682" s="4" t="s">
        <v>74</v>
      </c>
      <c r="B682" s="4" t="s">
        <v>23</v>
      </c>
      <c r="C682" s="4" t="s">
        <v>21</v>
      </c>
      <c r="D682" s="4">
        <v>2037</v>
      </c>
      <c r="E682" s="4">
        <v>856270.77690583188</v>
      </c>
      <c r="F682" s="4" t="s">
        <v>29</v>
      </c>
    </row>
    <row r="683" spans="1:6" x14ac:dyDescent="0.25">
      <c r="A683" s="4" t="s">
        <v>74</v>
      </c>
      <c r="B683" s="4" t="s">
        <v>23</v>
      </c>
      <c r="C683" s="4" t="s">
        <v>21</v>
      </c>
      <c r="D683" s="4">
        <v>2038</v>
      </c>
      <c r="E683" s="4">
        <v>863902.48110819445</v>
      </c>
      <c r="F683" s="4" t="s">
        <v>29</v>
      </c>
    </row>
    <row r="684" spans="1:6" x14ac:dyDescent="0.25">
      <c r="A684" s="4" t="s">
        <v>74</v>
      </c>
      <c r="B684" s="4" t="s">
        <v>23</v>
      </c>
      <c r="C684" s="4" t="s">
        <v>21</v>
      </c>
      <c r="D684" s="4">
        <v>2039</v>
      </c>
      <c r="E684" s="4">
        <v>870844.77958918759</v>
      </c>
      <c r="F684" s="4" t="s">
        <v>29</v>
      </c>
    </row>
    <row r="685" spans="1:6" x14ac:dyDescent="0.25">
      <c r="A685" s="4" t="s">
        <v>74</v>
      </c>
      <c r="B685" s="4" t="s">
        <v>23</v>
      </c>
      <c r="C685" s="4" t="s">
        <v>21</v>
      </c>
      <c r="D685" s="4">
        <v>2040</v>
      </c>
      <c r="E685" s="4">
        <v>877899.55590045545</v>
      </c>
      <c r="F685" s="4" t="s">
        <v>29</v>
      </c>
    </row>
    <row r="686" spans="1:6" x14ac:dyDescent="0.25">
      <c r="A686" s="4" t="s">
        <v>75</v>
      </c>
      <c r="B686" s="4" t="s">
        <v>1</v>
      </c>
      <c r="C686" s="4" t="s">
        <v>21</v>
      </c>
      <c r="D686" s="4">
        <v>2005</v>
      </c>
      <c r="E686" s="4">
        <v>96.492316484880945</v>
      </c>
      <c r="F686" s="4" t="s">
        <v>29</v>
      </c>
    </row>
    <row r="687" spans="1:6" x14ac:dyDescent="0.25">
      <c r="A687" s="4" t="s">
        <v>75</v>
      </c>
      <c r="B687" s="4" t="s">
        <v>1</v>
      </c>
      <c r="C687" s="4" t="s">
        <v>21</v>
      </c>
      <c r="D687" s="4">
        <v>2006</v>
      </c>
      <c r="E687" s="4">
        <v>679.74809020666567</v>
      </c>
      <c r="F687" s="4" t="s">
        <v>29</v>
      </c>
    </row>
    <row r="688" spans="1:6" x14ac:dyDescent="0.25">
      <c r="A688" s="4" t="s">
        <v>75</v>
      </c>
      <c r="B688" s="4" t="s">
        <v>1</v>
      </c>
      <c r="C688" s="4" t="s">
        <v>21</v>
      </c>
      <c r="D688" s="4">
        <v>2007</v>
      </c>
      <c r="E688" s="4">
        <v>2091.8865299329486</v>
      </c>
      <c r="F688" s="4" t="s">
        <v>29</v>
      </c>
    </row>
    <row r="689" spans="1:6" x14ac:dyDescent="0.25">
      <c r="A689" s="4" t="s">
        <v>75</v>
      </c>
      <c r="B689" s="4" t="s">
        <v>1</v>
      </c>
      <c r="C689" s="4" t="s">
        <v>21</v>
      </c>
      <c r="D689" s="4">
        <v>2008</v>
      </c>
      <c r="E689" s="4">
        <v>6718.4492038985163</v>
      </c>
      <c r="F689" s="4" t="s">
        <v>29</v>
      </c>
    </row>
    <row r="690" spans="1:6" x14ac:dyDescent="0.25">
      <c r="A690" s="4" t="s">
        <v>75</v>
      </c>
      <c r="B690" s="4" t="s">
        <v>1</v>
      </c>
      <c r="C690" s="4" t="s">
        <v>21</v>
      </c>
      <c r="D690" s="4">
        <v>2009</v>
      </c>
      <c r="E690" s="4">
        <v>9701.0385576611534</v>
      </c>
      <c r="F690" s="4" t="s">
        <v>29</v>
      </c>
    </row>
    <row r="691" spans="1:6" x14ac:dyDescent="0.25">
      <c r="A691" s="4" t="s">
        <v>75</v>
      </c>
      <c r="B691" s="4" t="s">
        <v>1</v>
      </c>
      <c r="C691" s="4" t="s">
        <v>21</v>
      </c>
      <c r="D691" s="4">
        <v>2010</v>
      </c>
      <c r="E691" s="4">
        <v>9228.2576536040469</v>
      </c>
      <c r="F691" s="4" t="s">
        <v>29</v>
      </c>
    </row>
    <row r="692" spans="1:6" x14ac:dyDescent="0.25">
      <c r="A692" s="4" t="s">
        <v>75</v>
      </c>
      <c r="B692" s="4" t="s">
        <v>1</v>
      </c>
      <c r="C692" s="4" t="s">
        <v>21</v>
      </c>
      <c r="D692" s="4">
        <v>2011</v>
      </c>
      <c r="E692" s="4">
        <v>9711.9899431634058</v>
      </c>
      <c r="F692" s="4" t="s">
        <v>29</v>
      </c>
    </row>
    <row r="693" spans="1:6" x14ac:dyDescent="0.25">
      <c r="A693" s="4" t="s">
        <v>75</v>
      </c>
      <c r="B693" s="4" t="s">
        <v>1</v>
      </c>
      <c r="C693" s="4" t="s">
        <v>21</v>
      </c>
      <c r="D693" s="4">
        <v>2012</v>
      </c>
      <c r="E693" s="4">
        <v>10965.345709805462</v>
      </c>
      <c r="F693" s="4" t="s">
        <v>29</v>
      </c>
    </row>
    <row r="694" spans="1:6" x14ac:dyDescent="0.25">
      <c r="A694" s="4" t="s">
        <v>75</v>
      </c>
      <c r="B694" s="4" t="s">
        <v>1</v>
      </c>
      <c r="C694" s="4" t="s">
        <v>21</v>
      </c>
      <c r="D694" s="4">
        <v>2013</v>
      </c>
      <c r="E694" s="4">
        <v>11162.071896151936</v>
      </c>
      <c r="F694" s="4" t="s">
        <v>29</v>
      </c>
    </row>
    <row r="695" spans="1:6" x14ac:dyDescent="0.25">
      <c r="A695" s="4" t="s">
        <v>75</v>
      </c>
      <c r="B695" s="4" t="s">
        <v>1</v>
      </c>
      <c r="C695" s="4" t="s">
        <v>21</v>
      </c>
      <c r="D695" s="4">
        <v>2014</v>
      </c>
      <c r="E695" s="4">
        <v>12443.269117385948</v>
      </c>
      <c r="F695" s="4" t="s">
        <v>29</v>
      </c>
    </row>
    <row r="696" spans="1:6" x14ac:dyDescent="0.25">
      <c r="A696" s="4" t="s">
        <v>75</v>
      </c>
      <c r="B696" s="4" t="s">
        <v>1</v>
      </c>
      <c r="C696" s="4" t="s">
        <v>21</v>
      </c>
      <c r="D696" s="4">
        <v>2015</v>
      </c>
      <c r="E696" s="4">
        <v>10860.397371171624</v>
      </c>
      <c r="F696" s="4" t="s">
        <v>29</v>
      </c>
    </row>
    <row r="697" spans="1:6" x14ac:dyDescent="0.25">
      <c r="A697" s="4" t="s">
        <v>75</v>
      </c>
      <c r="B697" s="4" t="s">
        <v>1</v>
      </c>
      <c r="C697" s="4" t="s">
        <v>21</v>
      </c>
      <c r="D697" s="4">
        <v>2016</v>
      </c>
      <c r="E697" s="4">
        <v>9253.1959502336631</v>
      </c>
      <c r="F697" s="4" t="s">
        <v>29</v>
      </c>
    </row>
    <row r="698" spans="1:6" x14ac:dyDescent="0.25">
      <c r="A698" s="4" t="s">
        <v>75</v>
      </c>
      <c r="B698" s="4" t="s">
        <v>1</v>
      </c>
      <c r="C698" s="4" t="s">
        <v>21</v>
      </c>
      <c r="D698" s="4">
        <v>2017</v>
      </c>
      <c r="E698" s="4">
        <v>9004.3643733022636</v>
      </c>
      <c r="F698" s="4" t="s">
        <v>29</v>
      </c>
    </row>
    <row r="699" spans="1:6" x14ac:dyDescent="0.25">
      <c r="A699" s="4" t="s">
        <v>75</v>
      </c>
      <c r="B699" s="4" t="s">
        <v>1</v>
      </c>
      <c r="C699" s="4" t="s">
        <v>21</v>
      </c>
      <c r="D699" s="4">
        <v>2018</v>
      </c>
      <c r="E699" s="4">
        <v>8739.5270246992168</v>
      </c>
      <c r="F699" s="4" t="s">
        <v>29</v>
      </c>
    </row>
    <row r="700" spans="1:6" x14ac:dyDescent="0.25">
      <c r="A700" s="4" t="s">
        <v>75</v>
      </c>
      <c r="B700" s="4" t="s">
        <v>1</v>
      </c>
      <c r="C700" s="4" t="s">
        <v>21</v>
      </c>
      <c r="D700" s="4">
        <v>2019</v>
      </c>
      <c r="E700" s="4">
        <v>8377.5008372969405</v>
      </c>
      <c r="F700" s="4" t="s">
        <v>29</v>
      </c>
    </row>
    <row r="701" spans="1:6" x14ac:dyDescent="0.25">
      <c r="A701" s="4" t="s">
        <v>75</v>
      </c>
      <c r="B701" s="4" t="s">
        <v>1</v>
      </c>
      <c r="C701" s="4" t="s">
        <v>21</v>
      </c>
      <c r="D701" s="4">
        <v>2020</v>
      </c>
      <c r="E701" s="4">
        <v>8018.114779589715</v>
      </c>
      <c r="F701" s="4" t="s">
        <v>29</v>
      </c>
    </row>
    <row r="702" spans="1:6" x14ac:dyDescent="0.25">
      <c r="A702" s="4" t="s">
        <v>75</v>
      </c>
      <c r="B702" s="4" t="s">
        <v>1</v>
      </c>
      <c r="C702" s="4" t="s">
        <v>21</v>
      </c>
      <c r="D702" s="4">
        <v>2021</v>
      </c>
      <c r="E702" s="4">
        <v>7766.9442812617972</v>
      </c>
      <c r="F702" s="4" t="s">
        <v>29</v>
      </c>
    </row>
    <row r="703" spans="1:6" x14ac:dyDescent="0.25">
      <c r="A703" s="4" t="s">
        <v>75</v>
      </c>
      <c r="B703" s="4" t="s">
        <v>1</v>
      </c>
      <c r="C703" s="4" t="s">
        <v>21</v>
      </c>
      <c r="D703" s="4">
        <v>2022</v>
      </c>
      <c r="E703" s="4">
        <v>7665.9765394823844</v>
      </c>
      <c r="F703" s="4" t="s">
        <v>29</v>
      </c>
    </row>
    <row r="704" spans="1:6" x14ac:dyDescent="0.25">
      <c r="A704" s="4" t="s">
        <v>75</v>
      </c>
      <c r="B704" s="4" t="s">
        <v>1</v>
      </c>
      <c r="C704" s="4" t="s">
        <v>21</v>
      </c>
      <c r="D704" s="4">
        <v>2023</v>
      </c>
      <c r="E704" s="4">
        <v>7748.4300575215393</v>
      </c>
      <c r="F704" s="4" t="s">
        <v>29</v>
      </c>
    </row>
    <row r="705" spans="1:6" x14ac:dyDescent="0.25">
      <c r="A705" s="4" t="s">
        <v>75</v>
      </c>
      <c r="B705" s="4" t="s">
        <v>1</v>
      </c>
      <c r="C705" s="4" t="s">
        <v>21</v>
      </c>
      <c r="D705" s="4">
        <v>2024</v>
      </c>
      <c r="E705" s="4">
        <v>8000.7898016932613</v>
      </c>
      <c r="F705" s="4" t="s">
        <v>29</v>
      </c>
    </row>
    <row r="706" spans="1:6" x14ac:dyDescent="0.25">
      <c r="A706" s="4" t="s">
        <v>75</v>
      </c>
      <c r="B706" s="4" t="s">
        <v>1</v>
      </c>
      <c r="C706" s="4" t="s">
        <v>21</v>
      </c>
      <c r="D706" s="4">
        <v>2025</v>
      </c>
      <c r="E706" s="4">
        <v>8368.4659433098986</v>
      </c>
      <c r="F706" s="4" t="s">
        <v>29</v>
      </c>
    </row>
    <row r="707" spans="1:6" x14ac:dyDescent="0.25">
      <c r="A707" s="4" t="s">
        <v>75</v>
      </c>
      <c r="B707" s="4" t="s">
        <v>1</v>
      </c>
      <c r="C707" s="4" t="s">
        <v>21</v>
      </c>
      <c r="D707" s="4">
        <v>2026</v>
      </c>
      <c r="E707" s="4">
        <v>8791.8719613311277</v>
      </c>
      <c r="F707" s="4" t="s">
        <v>29</v>
      </c>
    </row>
    <row r="708" spans="1:6" x14ac:dyDescent="0.25">
      <c r="A708" s="4" t="s">
        <v>75</v>
      </c>
      <c r="B708" s="4" t="s">
        <v>1</v>
      </c>
      <c r="C708" s="4" t="s">
        <v>21</v>
      </c>
      <c r="D708" s="4">
        <v>2027</v>
      </c>
      <c r="E708" s="4">
        <v>9231.0009376267335</v>
      </c>
      <c r="F708" s="4" t="s">
        <v>29</v>
      </c>
    </row>
    <row r="709" spans="1:6" x14ac:dyDescent="0.25">
      <c r="A709" s="4" t="s">
        <v>75</v>
      </c>
      <c r="B709" s="4" t="s">
        <v>1</v>
      </c>
      <c r="C709" s="4" t="s">
        <v>21</v>
      </c>
      <c r="D709" s="4">
        <v>2028</v>
      </c>
      <c r="E709" s="4">
        <v>9668.5416816687484</v>
      </c>
      <c r="F709" s="4" t="s">
        <v>29</v>
      </c>
    </row>
    <row r="710" spans="1:6" x14ac:dyDescent="0.25">
      <c r="A710" s="4" t="s">
        <v>75</v>
      </c>
      <c r="B710" s="4" t="s">
        <v>1</v>
      </c>
      <c r="C710" s="4" t="s">
        <v>21</v>
      </c>
      <c r="D710" s="4">
        <v>2029</v>
      </c>
      <c r="E710" s="4">
        <v>10095.187858776337</v>
      </c>
      <c r="F710" s="4" t="s">
        <v>29</v>
      </c>
    </row>
    <row r="711" spans="1:6" x14ac:dyDescent="0.25">
      <c r="A711" s="4" t="s">
        <v>75</v>
      </c>
      <c r="B711" s="4" t="s">
        <v>1</v>
      </c>
      <c r="C711" s="4" t="s">
        <v>21</v>
      </c>
      <c r="D711" s="4">
        <v>2030</v>
      </c>
      <c r="E711" s="4">
        <v>10510.915120728312</v>
      </c>
      <c r="F711" s="4" t="s">
        <v>29</v>
      </c>
    </row>
    <row r="712" spans="1:6" x14ac:dyDescent="0.25">
      <c r="A712" s="4" t="s">
        <v>75</v>
      </c>
      <c r="B712" s="4" t="s">
        <v>1</v>
      </c>
      <c r="C712" s="4" t="s">
        <v>21</v>
      </c>
      <c r="D712" s="4">
        <v>2031</v>
      </c>
      <c r="E712" s="4">
        <v>10923.834870976349</v>
      </c>
      <c r="F712" s="4" t="s">
        <v>29</v>
      </c>
    </row>
    <row r="713" spans="1:6" x14ac:dyDescent="0.25">
      <c r="A713" s="4" t="s">
        <v>75</v>
      </c>
      <c r="B713" s="4" t="s">
        <v>1</v>
      </c>
      <c r="C713" s="4" t="s">
        <v>21</v>
      </c>
      <c r="D713" s="4">
        <v>2032</v>
      </c>
      <c r="E713" s="4">
        <v>11340.837647825225</v>
      </c>
      <c r="F713" s="4" t="s">
        <v>29</v>
      </c>
    </row>
    <row r="714" spans="1:6" x14ac:dyDescent="0.25">
      <c r="A714" s="4" t="s">
        <v>75</v>
      </c>
      <c r="B714" s="4" t="s">
        <v>1</v>
      </c>
      <c r="C714" s="4" t="s">
        <v>21</v>
      </c>
      <c r="D714" s="4">
        <v>2033</v>
      </c>
      <c r="E714" s="4">
        <v>11768.927105044848</v>
      </c>
      <c r="F714" s="4" t="s">
        <v>29</v>
      </c>
    </row>
    <row r="715" spans="1:6" x14ac:dyDescent="0.25">
      <c r="A715" s="4" t="s">
        <v>75</v>
      </c>
      <c r="B715" s="4" t="s">
        <v>1</v>
      </c>
      <c r="C715" s="4" t="s">
        <v>21</v>
      </c>
      <c r="D715" s="4">
        <v>2034</v>
      </c>
      <c r="E715" s="4">
        <v>12210.966076182011</v>
      </c>
      <c r="F715" s="4" t="s">
        <v>29</v>
      </c>
    </row>
    <row r="716" spans="1:6" x14ac:dyDescent="0.25">
      <c r="A716" s="4" t="s">
        <v>75</v>
      </c>
      <c r="B716" s="4" t="s">
        <v>1</v>
      </c>
      <c r="C716" s="4" t="s">
        <v>21</v>
      </c>
      <c r="D716" s="4">
        <v>2035</v>
      </c>
      <c r="E716" s="4">
        <v>12663.956092608158</v>
      </c>
      <c r="F716" s="4" t="s">
        <v>29</v>
      </c>
    </row>
    <row r="717" spans="1:6" x14ac:dyDescent="0.25">
      <c r="A717" s="4" t="s">
        <v>75</v>
      </c>
      <c r="B717" s="4" t="s">
        <v>1</v>
      </c>
      <c r="C717" s="4" t="s">
        <v>21</v>
      </c>
      <c r="D717" s="4">
        <v>2036</v>
      </c>
      <c r="E717" s="4">
        <v>13122.034974895772</v>
      </c>
      <c r="F717" s="4" t="s">
        <v>29</v>
      </c>
    </row>
    <row r="718" spans="1:6" x14ac:dyDescent="0.25">
      <c r="A718" s="4" t="s">
        <v>75</v>
      </c>
      <c r="B718" s="4" t="s">
        <v>1</v>
      </c>
      <c r="C718" s="4" t="s">
        <v>21</v>
      </c>
      <c r="D718" s="4">
        <v>2037</v>
      </c>
      <c r="E718" s="4">
        <v>13584.69199098247</v>
      </c>
      <c r="F718" s="4" t="s">
        <v>29</v>
      </c>
    </row>
    <row r="719" spans="1:6" x14ac:dyDescent="0.25">
      <c r="A719" s="4" t="s">
        <v>75</v>
      </c>
      <c r="B719" s="4" t="s">
        <v>1</v>
      </c>
      <c r="C719" s="4" t="s">
        <v>21</v>
      </c>
      <c r="D719" s="4">
        <v>2038</v>
      </c>
      <c r="E719" s="4">
        <v>14044.582809797481</v>
      </c>
      <c r="F719" s="4" t="s">
        <v>29</v>
      </c>
    </row>
    <row r="720" spans="1:6" x14ac:dyDescent="0.25">
      <c r="A720" s="4" t="s">
        <v>75</v>
      </c>
      <c r="B720" s="4" t="s">
        <v>1</v>
      </c>
      <c r="C720" s="4" t="s">
        <v>21</v>
      </c>
      <c r="D720" s="4">
        <v>2039</v>
      </c>
      <c r="E720" s="4">
        <v>14499.394008949937</v>
      </c>
      <c r="F720" s="4" t="s">
        <v>29</v>
      </c>
    </row>
    <row r="721" spans="1:6" x14ac:dyDescent="0.25">
      <c r="A721" s="4" t="s">
        <v>75</v>
      </c>
      <c r="B721" s="4" t="s">
        <v>1</v>
      </c>
      <c r="C721" s="4" t="s">
        <v>21</v>
      </c>
      <c r="D721" s="4">
        <v>2040</v>
      </c>
      <c r="E721" s="4">
        <v>14948.629024810287</v>
      </c>
      <c r="F721" s="4" t="s">
        <v>29</v>
      </c>
    </row>
    <row r="722" spans="1:6" x14ac:dyDescent="0.25">
      <c r="A722" s="4" t="s">
        <v>75</v>
      </c>
      <c r="B722" s="4" t="s">
        <v>2</v>
      </c>
      <c r="C722" s="4" t="s">
        <v>21</v>
      </c>
      <c r="D722" s="4">
        <v>2005</v>
      </c>
      <c r="E722" s="4">
        <v>66520.777872327206</v>
      </c>
      <c r="F722" s="4" t="s">
        <v>29</v>
      </c>
    </row>
    <row r="723" spans="1:6" x14ac:dyDescent="0.25">
      <c r="A723" s="4" t="s">
        <v>75</v>
      </c>
      <c r="B723" s="4" t="s">
        <v>2</v>
      </c>
      <c r="C723" s="4" t="s">
        <v>21</v>
      </c>
      <c r="D723" s="4">
        <v>2006</v>
      </c>
      <c r="E723" s="4">
        <v>67372.372664401628</v>
      </c>
      <c r="F723" s="4" t="s">
        <v>29</v>
      </c>
    </row>
    <row r="724" spans="1:6" x14ac:dyDescent="0.25">
      <c r="A724" s="4" t="s">
        <v>75</v>
      </c>
      <c r="B724" s="4" t="s">
        <v>2</v>
      </c>
      <c r="C724" s="4" t="s">
        <v>21</v>
      </c>
      <c r="D724" s="4">
        <v>2007</v>
      </c>
      <c r="E724" s="4">
        <v>65879.084796231924</v>
      </c>
      <c r="F724" s="4" t="s">
        <v>29</v>
      </c>
    </row>
    <row r="725" spans="1:6" x14ac:dyDescent="0.25">
      <c r="A725" s="4" t="s">
        <v>75</v>
      </c>
      <c r="B725" s="4" t="s">
        <v>2</v>
      </c>
      <c r="C725" s="4" t="s">
        <v>21</v>
      </c>
      <c r="D725" s="4">
        <v>2008</v>
      </c>
      <c r="E725" s="4">
        <v>63127.050796101496</v>
      </c>
      <c r="F725" s="4" t="s">
        <v>29</v>
      </c>
    </row>
    <row r="726" spans="1:6" x14ac:dyDescent="0.25">
      <c r="A726" s="4" t="s">
        <v>75</v>
      </c>
      <c r="B726" s="4" t="s">
        <v>2</v>
      </c>
      <c r="C726" s="4" t="s">
        <v>21</v>
      </c>
      <c r="D726" s="4">
        <v>2009</v>
      </c>
      <c r="E726" s="4">
        <v>57738.111714996281</v>
      </c>
      <c r="F726" s="4" t="s">
        <v>29</v>
      </c>
    </row>
    <row r="727" spans="1:6" x14ac:dyDescent="0.25">
      <c r="A727" s="4" t="s">
        <v>75</v>
      </c>
      <c r="B727" s="4" t="s">
        <v>2</v>
      </c>
      <c r="C727" s="4" t="s">
        <v>21</v>
      </c>
      <c r="D727" s="4">
        <v>2010</v>
      </c>
      <c r="E727" s="4">
        <v>57927.210582443062</v>
      </c>
      <c r="F727" s="4" t="s">
        <v>29</v>
      </c>
    </row>
    <row r="728" spans="1:6" x14ac:dyDescent="0.25">
      <c r="A728" s="4" t="s">
        <v>75</v>
      </c>
      <c r="B728" s="4" t="s">
        <v>2</v>
      </c>
      <c r="C728" s="4" t="s">
        <v>21</v>
      </c>
      <c r="D728" s="4">
        <v>2011</v>
      </c>
      <c r="E728" s="4">
        <v>58235.193228879602</v>
      </c>
      <c r="F728" s="4" t="s">
        <v>29</v>
      </c>
    </row>
    <row r="729" spans="1:6" x14ac:dyDescent="0.25">
      <c r="A729" s="4" t="s">
        <v>75</v>
      </c>
      <c r="B729" s="4" t="s">
        <v>2</v>
      </c>
      <c r="C729" s="4" t="s">
        <v>21</v>
      </c>
      <c r="D729" s="4">
        <v>2012</v>
      </c>
      <c r="E729" s="4">
        <v>63998.916429851473</v>
      </c>
      <c r="F729" s="4" t="s">
        <v>29</v>
      </c>
    </row>
    <row r="730" spans="1:6" x14ac:dyDescent="0.25">
      <c r="A730" s="4" t="s">
        <v>75</v>
      </c>
      <c r="B730" s="4" t="s">
        <v>2</v>
      </c>
      <c r="C730" s="4" t="s">
        <v>21</v>
      </c>
      <c r="D730" s="4">
        <v>2013</v>
      </c>
      <c r="E730" s="4">
        <v>65898.730391354446</v>
      </c>
      <c r="F730" s="4" t="s">
        <v>29</v>
      </c>
    </row>
    <row r="731" spans="1:6" x14ac:dyDescent="0.25">
      <c r="A731" s="4" t="s">
        <v>75</v>
      </c>
      <c r="B731" s="4" t="s">
        <v>2</v>
      </c>
      <c r="C731" s="4" t="s">
        <v>21</v>
      </c>
      <c r="D731" s="4">
        <v>2014</v>
      </c>
      <c r="E731" s="4">
        <v>76109.268382614042</v>
      </c>
      <c r="F731" s="4" t="s">
        <v>29</v>
      </c>
    </row>
    <row r="732" spans="1:6" x14ac:dyDescent="0.25">
      <c r="A732" s="4" t="s">
        <v>75</v>
      </c>
      <c r="B732" s="4" t="s">
        <v>2</v>
      </c>
      <c r="C732" s="4" t="s">
        <v>21</v>
      </c>
      <c r="D732" s="4">
        <v>2015</v>
      </c>
      <c r="E732" s="4">
        <v>66480.901538198566</v>
      </c>
      <c r="F732" s="4" t="s">
        <v>29</v>
      </c>
    </row>
    <row r="733" spans="1:6" x14ac:dyDescent="0.25">
      <c r="A733" s="4" t="s">
        <v>75</v>
      </c>
      <c r="B733" s="4" t="s">
        <v>2</v>
      </c>
      <c r="C733" s="4" t="s">
        <v>21</v>
      </c>
      <c r="D733" s="4">
        <v>2016</v>
      </c>
      <c r="E733" s="4">
        <v>63793.965540929341</v>
      </c>
      <c r="F733" s="4" t="s">
        <v>29</v>
      </c>
    </row>
    <row r="734" spans="1:6" x14ac:dyDescent="0.25">
      <c r="A734" s="4" t="s">
        <v>75</v>
      </c>
      <c r="B734" s="4" t="s">
        <v>2</v>
      </c>
      <c r="C734" s="4" t="s">
        <v>21</v>
      </c>
      <c r="D734" s="4">
        <v>2017</v>
      </c>
      <c r="E734" s="4">
        <v>68379.877899827276</v>
      </c>
      <c r="F734" s="4" t="s">
        <v>29</v>
      </c>
    </row>
    <row r="735" spans="1:6" x14ac:dyDescent="0.25">
      <c r="A735" s="4" t="s">
        <v>75</v>
      </c>
      <c r="B735" s="4" t="s">
        <v>2</v>
      </c>
      <c r="C735" s="4" t="s">
        <v>21</v>
      </c>
      <c r="D735" s="4">
        <v>2018</v>
      </c>
      <c r="E735" s="4">
        <v>72337.115301320446</v>
      </c>
      <c r="F735" s="4" t="s">
        <v>29</v>
      </c>
    </row>
    <row r="736" spans="1:6" x14ac:dyDescent="0.25">
      <c r="A736" s="4" t="s">
        <v>75</v>
      </c>
      <c r="B736" s="4" t="s">
        <v>2</v>
      </c>
      <c r="C736" s="4" t="s">
        <v>21</v>
      </c>
      <c r="D736" s="4">
        <v>2019</v>
      </c>
      <c r="E736" s="4">
        <v>75820.638355525662</v>
      </c>
      <c r="F736" s="4" t="s">
        <v>29</v>
      </c>
    </row>
    <row r="737" spans="1:6" x14ac:dyDescent="0.25">
      <c r="A737" s="4" t="s">
        <v>75</v>
      </c>
      <c r="B737" s="4" t="s">
        <v>2</v>
      </c>
      <c r="C737" s="4" t="s">
        <v>21</v>
      </c>
      <c r="D737" s="4">
        <v>2020</v>
      </c>
      <c r="E737" s="4">
        <v>77742.434902051915</v>
      </c>
      <c r="F737" s="4" t="s">
        <v>29</v>
      </c>
    </row>
    <row r="738" spans="1:6" x14ac:dyDescent="0.25">
      <c r="A738" s="4" t="s">
        <v>75</v>
      </c>
      <c r="B738" s="4" t="s">
        <v>2</v>
      </c>
      <c r="C738" s="4" t="s">
        <v>21</v>
      </c>
      <c r="D738" s="4">
        <v>2021</v>
      </c>
      <c r="E738" s="4">
        <v>79139.724413354372</v>
      </c>
      <c r="F738" s="4" t="s">
        <v>29</v>
      </c>
    </row>
    <row r="739" spans="1:6" x14ac:dyDescent="0.25">
      <c r="A739" s="4" t="s">
        <v>75</v>
      </c>
      <c r="B739" s="4" t="s">
        <v>2</v>
      </c>
      <c r="C739" s="4" t="s">
        <v>21</v>
      </c>
      <c r="D739" s="4">
        <v>2022</v>
      </c>
      <c r="E739" s="4">
        <v>80518.733717399271</v>
      </c>
      <c r="F739" s="4" t="s">
        <v>29</v>
      </c>
    </row>
    <row r="740" spans="1:6" x14ac:dyDescent="0.25">
      <c r="A740" s="4" t="s">
        <v>75</v>
      </c>
      <c r="B740" s="4" t="s">
        <v>2</v>
      </c>
      <c r="C740" s="4" t="s">
        <v>21</v>
      </c>
      <c r="D740" s="4">
        <v>2023</v>
      </c>
      <c r="E740" s="4">
        <v>81980.968244631498</v>
      </c>
      <c r="F740" s="4" t="s">
        <v>29</v>
      </c>
    </row>
    <row r="741" spans="1:6" x14ac:dyDescent="0.25">
      <c r="A741" s="4" t="s">
        <v>75</v>
      </c>
      <c r="B741" s="4" t="s">
        <v>2</v>
      </c>
      <c r="C741" s="4" t="s">
        <v>21</v>
      </c>
      <c r="D741" s="4">
        <v>2024</v>
      </c>
      <c r="E741" s="4">
        <v>83490.587370421126</v>
      </c>
      <c r="F741" s="4" t="s">
        <v>29</v>
      </c>
    </row>
    <row r="742" spans="1:6" x14ac:dyDescent="0.25">
      <c r="A742" s="4" t="s">
        <v>75</v>
      </c>
      <c r="B742" s="4" t="s">
        <v>2</v>
      </c>
      <c r="C742" s="4" t="s">
        <v>21</v>
      </c>
      <c r="D742" s="4">
        <v>2025</v>
      </c>
      <c r="E742" s="4">
        <v>84860.799530502176</v>
      </c>
      <c r="F742" s="4" t="s">
        <v>29</v>
      </c>
    </row>
    <row r="743" spans="1:6" x14ac:dyDescent="0.25">
      <c r="A743" s="4" t="s">
        <v>75</v>
      </c>
      <c r="B743" s="4" t="s">
        <v>2</v>
      </c>
      <c r="C743" s="4" t="s">
        <v>21</v>
      </c>
      <c r="D743" s="4">
        <v>2026</v>
      </c>
      <c r="E743" s="4">
        <v>86183.853381908979</v>
      </c>
      <c r="F743" s="4" t="s">
        <v>29</v>
      </c>
    </row>
    <row r="744" spans="1:6" x14ac:dyDescent="0.25">
      <c r="A744" s="4" t="s">
        <v>75</v>
      </c>
      <c r="B744" s="4" t="s">
        <v>2</v>
      </c>
      <c r="C744" s="4" t="s">
        <v>21</v>
      </c>
      <c r="D744" s="4">
        <v>2027</v>
      </c>
      <c r="E744" s="4">
        <v>87445.725910395791</v>
      </c>
      <c r="F744" s="4" t="s">
        <v>29</v>
      </c>
    </row>
    <row r="745" spans="1:6" x14ac:dyDescent="0.25">
      <c r="A745" s="4" t="s">
        <v>75</v>
      </c>
      <c r="B745" s="4" t="s">
        <v>2</v>
      </c>
      <c r="C745" s="4" t="s">
        <v>21</v>
      </c>
      <c r="D745" s="4">
        <v>2028</v>
      </c>
      <c r="E745" s="4">
        <v>88570.688200091274</v>
      </c>
      <c r="F745" s="4" t="s">
        <v>29</v>
      </c>
    </row>
    <row r="746" spans="1:6" x14ac:dyDescent="0.25">
      <c r="A746" s="4" t="s">
        <v>75</v>
      </c>
      <c r="B746" s="4" t="s">
        <v>2</v>
      </c>
      <c r="C746" s="4" t="s">
        <v>21</v>
      </c>
      <c r="D746" s="4">
        <v>2029</v>
      </c>
      <c r="E746" s="4">
        <v>89489.403859124548</v>
      </c>
      <c r="F746" s="4" t="s">
        <v>29</v>
      </c>
    </row>
    <row r="747" spans="1:6" x14ac:dyDescent="0.25">
      <c r="A747" s="4" t="s">
        <v>75</v>
      </c>
      <c r="B747" s="4" t="s">
        <v>2</v>
      </c>
      <c r="C747" s="4" t="s">
        <v>21</v>
      </c>
      <c r="D747" s="4">
        <v>2030</v>
      </c>
      <c r="E747" s="4">
        <v>90285.718488411119</v>
      </c>
      <c r="F747" s="4" t="s">
        <v>29</v>
      </c>
    </row>
    <row r="748" spans="1:6" x14ac:dyDescent="0.25">
      <c r="A748" s="4" t="s">
        <v>75</v>
      </c>
      <c r="B748" s="4" t="s">
        <v>2</v>
      </c>
      <c r="C748" s="4" t="s">
        <v>21</v>
      </c>
      <c r="D748" s="4">
        <v>2031</v>
      </c>
      <c r="E748" s="4">
        <v>91050.721146838143</v>
      </c>
      <c r="F748" s="4" t="s">
        <v>29</v>
      </c>
    </row>
    <row r="749" spans="1:6" x14ac:dyDescent="0.25">
      <c r="A749" s="4" t="s">
        <v>75</v>
      </c>
      <c r="B749" s="4" t="s">
        <v>2</v>
      </c>
      <c r="C749" s="4" t="s">
        <v>21</v>
      </c>
      <c r="D749" s="4">
        <v>2032</v>
      </c>
      <c r="E749" s="4">
        <v>91831.009306895256</v>
      </c>
      <c r="F749" s="4" t="s">
        <v>29</v>
      </c>
    </row>
    <row r="750" spans="1:6" x14ac:dyDescent="0.25">
      <c r="A750" s="4" t="s">
        <v>75</v>
      </c>
      <c r="B750" s="4" t="s">
        <v>2</v>
      </c>
      <c r="C750" s="4" t="s">
        <v>21</v>
      </c>
      <c r="D750" s="4">
        <v>2033</v>
      </c>
      <c r="E750" s="4">
        <v>92605.096866735053</v>
      </c>
      <c r="F750" s="4" t="s">
        <v>29</v>
      </c>
    </row>
    <row r="751" spans="1:6" x14ac:dyDescent="0.25">
      <c r="A751" s="4" t="s">
        <v>75</v>
      </c>
      <c r="B751" s="4" t="s">
        <v>2</v>
      </c>
      <c r="C751" s="4" t="s">
        <v>21</v>
      </c>
      <c r="D751" s="4">
        <v>2034</v>
      </c>
      <c r="E751" s="4">
        <v>93445.531595482287</v>
      </c>
      <c r="F751" s="4" t="s">
        <v>29</v>
      </c>
    </row>
    <row r="752" spans="1:6" x14ac:dyDescent="0.25">
      <c r="A752" s="4" t="s">
        <v>75</v>
      </c>
      <c r="B752" s="4" t="s">
        <v>2</v>
      </c>
      <c r="C752" s="4" t="s">
        <v>21</v>
      </c>
      <c r="D752" s="4">
        <v>2035</v>
      </c>
      <c r="E752" s="4">
        <v>94410.705174145391</v>
      </c>
      <c r="F752" s="4" t="s">
        <v>29</v>
      </c>
    </row>
    <row r="753" spans="1:6" x14ac:dyDescent="0.25">
      <c r="A753" s="4" t="s">
        <v>75</v>
      </c>
      <c r="B753" s="4" t="s">
        <v>2</v>
      </c>
      <c r="C753" s="4" t="s">
        <v>21</v>
      </c>
      <c r="D753" s="4">
        <v>2036</v>
      </c>
      <c r="E753" s="4">
        <v>95272.036466664242</v>
      </c>
      <c r="F753" s="4" t="s">
        <v>29</v>
      </c>
    </row>
    <row r="754" spans="1:6" x14ac:dyDescent="0.25">
      <c r="A754" s="4" t="s">
        <v>75</v>
      </c>
      <c r="B754" s="4" t="s">
        <v>2</v>
      </c>
      <c r="C754" s="4" t="s">
        <v>21</v>
      </c>
      <c r="D754" s="4">
        <v>2037</v>
      </c>
      <c r="E754" s="4">
        <v>96330.590773348187</v>
      </c>
      <c r="F754" s="4" t="s">
        <v>29</v>
      </c>
    </row>
    <row r="755" spans="1:6" x14ac:dyDescent="0.25">
      <c r="A755" s="4" t="s">
        <v>75</v>
      </c>
      <c r="B755" s="4" t="s">
        <v>2</v>
      </c>
      <c r="C755" s="4" t="s">
        <v>21</v>
      </c>
      <c r="D755" s="4">
        <v>2038</v>
      </c>
      <c r="E755" s="4">
        <v>97319.185380825293</v>
      </c>
      <c r="F755" s="4" t="s">
        <v>29</v>
      </c>
    </row>
    <row r="756" spans="1:6" x14ac:dyDescent="0.25">
      <c r="A756" s="4" t="s">
        <v>75</v>
      </c>
      <c r="B756" s="4" t="s">
        <v>2</v>
      </c>
      <c r="C756" s="4" t="s">
        <v>21</v>
      </c>
      <c r="D756" s="4">
        <v>2039</v>
      </c>
      <c r="E756" s="4">
        <v>98397.269986975662</v>
      </c>
      <c r="F756" s="4" t="s">
        <v>29</v>
      </c>
    </row>
    <row r="757" spans="1:6" x14ac:dyDescent="0.25">
      <c r="A757" s="4" t="s">
        <v>75</v>
      </c>
      <c r="B757" s="4" t="s">
        <v>2</v>
      </c>
      <c r="C757" s="4" t="s">
        <v>21</v>
      </c>
      <c r="D757" s="4">
        <v>2040</v>
      </c>
      <c r="E757" s="4">
        <v>99473.69054764758</v>
      </c>
      <c r="F757" s="4" t="s">
        <v>29</v>
      </c>
    </row>
    <row r="758" spans="1:6" x14ac:dyDescent="0.25">
      <c r="A758" s="4" t="s">
        <v>75</v>
      </c>
      <c r="B758" s="4" t="s">
        <v>3</v>
      </c>
      <c r="C758" s="4" t="s">
        <v>21</v>
      </c>
      <c r="D758" s="4">
        <v>2005</v>
      </c>
      <c r="E758" s="4">
        <v>90</v>
      </c>
      <c r="F758" s="4" t="s">
        <v>29</v>
      </c>
    </row>
    <row r="759" spans="1:6" x14ac:dyDescent="0.25">
      <c r="A759" s="4" t="s">
        <v>75</v>
      </c>
      <c r="B759" s="4" t="s">
        <v>3</v>
      </c>
      <c r="C759" s="4" t="s">
        <v>21</v>
      </c>
      <c r="D759" s="4">
        <v>2006</v>
      </c>
      <c r="E759" s="4">
        <v>100</v>
      </c>
      <c r="F759" s="4" t="s">
        <v>29</v>
      </c>
    </row>
    <row r="760" spans="1:6" x14ac:dyDescent="0.25">
      <c r="A760" s="4" t="s">
        <v>75</v>
      </c>
      <c r="B760" s="4" t="s">
        <v>3</v>
      </c>
      <c r="C760" s="4" t="s">
        <v>21</v>
      </c>
      <c r="D760" s="4">
        <v>2007</v>
      </c>
      <c r="E760" s="4">
        <v>100</v>
      </c>
      <c r="F760" s="4" t="s">
        <v>29</v>
      </c>
    </row>
    <row r="761" spans="1:6" x14ac:dyDescent="0.25">
      <c r="A761" s="4" t="s">
        <v>75</v>
      </c>
      <c r="B761" s="4" t="s">
        <v>3</v>
      </c>
      <c r="C761" s="4" t="s">
        <v>21</v>
      </c>
      <c r="D761" s="4">
        <v>2008</v>
      </c>
      <c r="E761" s="4">
        <v>120</v>
      </c>
      <c r="F761" s="4" t="s">
        <v>29</v>
      </c>
    </row>
    <row r="762" spans="1:6" x14ac:dyDescent="0.25">
      <c r="A762" s="4" t="s">
        <v>75</v>
      </c>
      <c r="B762" s="4" t="s">
        <v>3</v>
      </c>
      <c r="C762" s="4" t="s">
        <v>21</v>
      </c>
      <c r="D762" s="4">
        <v>2009</v>
      </c>
      <c r="E762" s="4">
        <v>170</v>
      </c>
      <c r="F762" s="4" t="s">
        <v>29</v>
      </c>
    </row>
    <row r="763" spans="1:6" x14ac:dyDescent="0.25">
      <c r="A763" s="4" t="s">
        <v>75</v>
      </c>
      <c r="B763" s="4" t="s">
        <v>3</v>
      </c>
      <c r="C763" s="4" t="s">
        <v>21</v>
      </c>
      <c r="D763" s="4">
        <v>2010</v>
      </c>
      <c r="E763" s="4">
        <v>100</v>
      </c>
      <c r="F763" s="4" t="s">
        <v>29</v>
      </c>
    </row>
    <row r="764" spans="1:6" x14ac:dyDescent="0.25">
      <c r="A764" s="4" t="s">
        <v>75</v>
      </c>
      <c r="B764" s="4" t="s">
        <v>3</v>
      </c>
      <c r="C764" s="4" t="s">
        <v>21</v>
      </c>
      <c r="D764" s="4">
        <v>2011</v>
      </c>
      <c r="E764" s="4">
        <v>100</v>
      </c>
      <c r="F764" s="4" t="s">
        <v>29</v>
      </c>
    </row>
    <row r="765" spans="1:6" x14ac:dyDescent="0.25">
      <c r="A765" s="4" t="s">
        <v>75</v>
      </c>
      <c r="B765" s="4" t="s">
        <v>3</v>
      </c>
      <c r="C765" s="4" t="s">
        <v>21</v>
      </c>
      <c r="D765" s="4">
        <v>2012</v>
      </c>
      <c r="E765" s="4">
        <v>100</v>
      </c>
      <c r="F765" s="4" t="s">
        <v>29</v>
      </c>
    </row>
    <row r="766" spans="1:6" x14ac:dyDescent="0.25">
      <c r="A766" s="4" t="s">
        <v>75</v>
      </c>
      <c r="B766" s="4" t="s">
        <v>3</v>
      </c>
      <c r="C766" s="4" t="s">
        <v>21</v>
      </c>
      <c r="D766" s="4">
        <v>2013</v>
      </c>
      <c r="E766" s="4">
        <v>100</v>
      </c>
      <c r="F766" s="4" t="s">
        <v>29</v>
      </c>
    </row>
    <row r="767" spans="1:6" x14ac:dyDescent="0.25">
      <c r="A767" s="4" t="s">
        <v>75</v>
      </c>
      <c r="B767" s="4" t="s">
        <v>3</v>
      </c>
      <c r="C767" s="4" t="s">
        <v>21</v>
      </c>
      <c r="D767" s="4">
        <v>2014</v>
      </c>
      <c r="E767" s="4">
        <v>100</v>
      </c>
      <c r="F767" s="4" t="s">
        <v>29</v>
      </c>
    </row>
    <row r="768" spans="1:6" x14ac:dyDescent="0.25">
      <c r="A768" s="4" t="s">
        <v>75</v>
      </c>
      <c r="B768" s="4" t="s">
        <v>3</v>
      </c>
      <c r="C768" s="4" t="s">
        <v>21</v>
      </c>
      <c r="D768" s="4">
        <v>2015</v>
      </c>
      <c r="E768" s="4">
        <v>100</v>
      </c>
      <c r="F768" s="4" t="s">
        <v>29</v>
      </c>
    </row>
    <row r="769" spans="1:6" x14ac:dyDescent="0.25">
      <c r="A769" s="4" t="s">
        <v>75</v>
      </c>
      <c r="B769" s="4" t="s">
        <v>3</v>
      </c>
      <c r="C769" s="4" t="s">
        <v>21</v>
      </c>
      <c r="D769" s="4">
        <v>2016</v>
      </c>
      <c r="E769" s="4">
        <v>100</v>
      </c>
      <c r="F769" s="4" t="s">
        <v>29</v>
      </c>
    </row>
    <row r="770" spans="1:6" x14ac:dyDescent="0.25">
      <c r="A770" s="4" t="s">
        <v>75</v>
      </c>
      <c r="B770" s="4" t="s">
        <v>3</v>
      </c>
      <c r="C770" s="4" t="s">
        <v>21</v>
      </c>
      <c r="D770" s="4">
        <v>2017</v>
      </c>
      <c r="E770" s="4">
        <v>100</v>
      </c>
      <c r="F770" s="4" t="s">
        <v>29</v>
      </c>
    </row>
    <row r="771" spans="1:6" x14ac:dyDescent="0.25">
      <c r="A771" s="4" t="s">
        <v>75</v>
      </c>
      <c r="B771" s="4" t="s">
        <v>3</v>
      </c>
      <c r="C771" s="4" t="s">
        <v>21</v>
      </c>
      <c r="D771" s="4">
        <v>2018</v>
      </c>
      <c r="E771" s="4">
        <v>100</v>
      </c>
      <c r="F771" s="4" t="s">
        <v>29</v>
      </c>
    </row>
    <row r="772" spans="1:6" x14ac:dyDescent="0.25">
      <c r="A772" s="4" t="s">
        <v>75</v>
      </c>
      <c r="B772" s="4" t="s">
        <v>3</v>
      </c>
      <c r="C772" s="4" t="s">
        <v>21</v>
      </c>
      <c r="D772" s="4">
        <v>2019</v>
      </c>
      <c r="E772" s="4">
        <v>100</v>
      </c>
      <c r="F772" s="4" t="s">
        <v>29</v>
      </c>
    </row>
    <row r="773" spans="1:6" x14ac:dyDescent="0.25">
      <c r="A773" s="4" t="s">
        <v>75</v>
      </c>
      <c r="B773" s="4" t="s">
        <v>3</v>
      </c>
      <c r="C773" s="4" t="s">
        <v>21</v>
      </c>
      <c r="D773" s="4">
        <v>2020</v>
      </c>
      <c r="E773" s="4">
        <v>100</v>
      </c>
      <c r="F773" s="4" t="s">
        <v>29</v>
      </c>
    </row>
    <row r="774" spans="1:6" x14ac:dyDescent="0.25">
      <c r="A774" s="4" t="s">
        <v>75</v>
      </c>
      <c r="B774" s="4" t="s">
        <v>3</v>
      </c>
      <c r="C774" s="4" t="s">
        <v>21</v>
      </c>
      <c r="D774" s="4">
        <v>2021</v>
      </c>
      <c r="E774" s="4">
        <v>100</v>
      </c>
      <c r="F774" s="4" t="s">
        <v>29</v>
      </c>
    </row>
    <row r="775" spans="1:6" x14ac:dyDescent="0.25">
      <c r="A775" s="4" t="s">
        <v>75</v>
      </c>
      <c r="B775" s="4" t="s">
        <v>3</v>
      </c>
      <c r="C775" s="4" t="s">
        <v>21</v>
      </c>
      <c r="D775" s="4">
        <v>2022</v>
      </c>
      <c r="E775" s="4">
        <v>100</v>
      </c>
      <c r="F775" s="4" t="s">
        <v>29</v>
      </c>
    </row>
    <row r="776" spans="1:6" x14ac:dyDescent="0.25">
      <c r="A776" s="4" t="s">
        <v>75</v>
      </c>
      <c r="B776" s="4" t="s">
        <v>3</v>
      </c>
      <c r="C776" s="4" t="s">
        <v>21</v>
      </c>
      <c r="D776" s="4">
        <v>2023</v>
      </c>
      <c r="E776" s="4">
        <v>100</v>
      </c>
      <c r="F776" s="4" t="s">
        <v>29</v>
      </c>
    </row>
    <row r="777" spans="1:6" x14ac:dyDescent="0.25">
      <c r="A777" s="4" t="s">
        <v>75</v>
      </c>
      <c r="B777" s="4" t="s">
        <v>3</v>
      </c>
      <c r="C777" s="4" t="s">
        <v>21</v>
      </c>
      <c r="D777" s="4">
        <v>2024</v>
      </c>
      <c r="E777" s="4">
        <v>100</v>
      </c>
      <c r="F777" s="4" t="s">
        <v>29</v>
      </c>
    </row>
    <row r="778" spans="1:6" x14ac:dyDescent="0.25">
      <c r="A778" s="4" t="s">
        <v>75</v>
      </c>
      <c r="B778" s="4" t="s">
        <v>3</v>
      </c>
      <c r="C778" s="4" t="s">
        <v>21</v>
      </c>
      <c r="D778" s="4">
        <v>2025</v>
      </c>
      <c r="E778" s="4">
        <v>100</v>
      </c>
      <c r="F778" s="4" t="s">
        <v>29</v>
      </c>
    </row>
    <row r="779" spans="1:6" x14ac:dyDescent="0.25">
      <c r="A779" s="4" t="s">
        <v>75</v>
      </c>
      <c r="B779" s="4" t="s">
        <v>3</v>
      </c>
      <c r="C779" s="4" t="s">
        <v>21</v>
      </c>
      <c r="D779" s="4">
        <v>2026</v>
      </c>
      <c r="E779" s="4">
        <v>100</v>
      </c>
      <c r="F779" s="4" t="s">
        <v>29</v>
      </c>
    </row>
    <row r="780" spans="1:6" x14ac:dyDescent="0.25">
      <c r="A780" s="4" t="s">
        <v>75</v>
      </c>
      <c r="B780" s="4" t="s">
        <v>3</v>
      </c>
      <c r="C780" s="4" t="s">
        <v>21</v>
      </c>
      <c r="D780" s="4">
        <v>2027</v>
      </c>
      <c r="E780" s="4">
        <v>100</v>
      </c>
      <c r="F780" s="4" t="s">
        <v>29</v>
      </c>
    </row>
    <row r="781" spans="1:6" x14ac:dyDescent="0.25">
      <c r="A781" s="4" t="s">
        <v>75</v>
      </c>
      <c r="B781" s="4" t="s">
        <v>3</v>
      </c>
      <c r="C781" s="4" t="s">
        <v>21</v>
      </c>
      <c r="D781" s="4">
        <v>2028</v>
      </c>
      <c r="E781" s="4">
        <v>100</v>
      </c>
      <c r="F781" s="4" t="s">
        <v>29</v>
      </c>
    </row>
    <row r="782" spans="1:6" x14ac:dyDescent="0.25">
      <c r="A782" s="4" t="s">
        <v>75</v>
      </c>
      <c r="B782" s="4" t="s">
        <v>3</v>
      </c>
      <c r="C782" s="4" t="s">
        <v>21</v>
      </c>
      <c r="D782" s="4">
        <v>2029</v>
      </c>
      <c r="E782" s="4">
        <v>100</v>
      </c>
      <c r="F782" s="4" t="s">
        <v>29</v>
      </c>
    </row>
    <row r="783" spans="1:6" x14ac:dyDescent="0.25">
      <c r="A783" s="4" t="s">
        <v>75</v>
      </c>
      <c r="B783" s="4" t="s">
        <v>3</v>
      </c>
      <c r="C783" s="4" t="s">
        <v>21</v>
      </c>
      <c r="D783" s="4">
        <v>2030</v>
      </c>
      <c r="E783" s="4">
        <v>100</v>
      </c>
      <c r="F783" s="4" t="s">
        <v>29</v>
      </c>
    </row>
    <row r="784" spans="1:6" x14ac:dyDescent="0.25">
      <c r="A784" s="4" t="s">
        <v>75</v>
      </c>
      <c r="B784" s="4" t="s">
        <v>3</v>
      </c>
      <c r="C784" s="4" t="s">
        <v>21</v>
      </c>
      <c r="D784" s="4">
        <v>2031</v>
      </c>
      <c r="E784" s="4">
        <v>100</v>
      </c>
      <c r="F784" s="4" t="s">
        <v>29</v>
      </c>
    </row>
    <row r="785" spans="1:6" x14ac:dyDescent="0.25">
      <c r="A785" s="4" t="s">
        <v>75</v>
      </c>
      <c r="B785" s="4" t="s">
        <v>3</v>
      </c>
      <c r="C785" s="4" t="s">
        <v>21</v>
      </c>
      <c r="D785" s="4">
        <v>2032</v>
      </c>
      <c r="E785" s="4">
        <v>100</v>
      </c>
      <c r="F785" s="4" t="s">
        <v>29</v>
      </c>
    </row>
    <row r="786" spans="1:6" x14ac:dyDescent="0.25">
      <c r="A786" s="4" t="s">
        <v>75</v>
      </c>
      <c r="B786" s="4" t="s">
        <v>3</v>
      </c>
      <c r="C786" s="4" t="s">
        <v>21</v>
      </c>
      <c r="D786" s="4">
        <v>2033</v>
      </c>
      <c r="E786" s="4">
        <v>100</v>
      </c>
      <c r="F786" s="4" t="s">
        <v>29</v>
      </c>
    </row>
    <row r="787" spans="1:6" x14ac:dyDescent="0.25">
      <c r="A787" s="4" t="s">
        <v>75</v>
      </c>
      <c r="B787" s="4" t="s">
        <v>3</v>
      </c>
      <c r="C787" s="4" t="s">
        <v>21</v>
      </c>
      <c r="D787" s="4">
        <v>2034</v>
      </c>
      <c r="E787" s="4">
        <v>100</v>
      </c>
      <c r="F787" s="4" t="s">
        <v>29</v>
      </c>
    </row>
    <row r="788" spans="1:6" x14ac:dyDescent="0.25">
      <c r="A788" s="4" t="s">
        <v>75</v>
      </c>
      <c r="B788" s="4" t="s">
        <v>3</v>
      </c>
      <c r="C788" s="4" t="s">
        <v>21</v>
      </c>
      <c r="D788" s="4">
        <v>2035</v>
      </c>
      <c r="E788" s="4">
        <v>100</v>
      </c>
      <c r="F788" s="4" t="s">
        <v>29</v>
      </c>
    </row>
    <row r="789" spans="1:6" x14ac:dyDescent="0.25">
      <c r="A789" s="4" t="s">
        <v>75</v>
      </c>
      <c r="B789" s="4" t="s">
        <v>3</v>
      </c>
      <c r="C789" s="4" t="s">
        <v>21</v>
      </c>
      <c r="D789" s="4">
        <v>2036</v>
      </c>
      <c r="E789" s="4">
        <v>100</v>
      </c>
      <c r="F789" s="4" t="s">
        <v>29</v>
      </c>
    </row>
    <row r="790" spans="1:6" x14ac:dyDescent="0.25">
      <c r="A790" s="4" t="s">
        <v>75</v>
      </c>
      <c r="B790" s="4" t="s">
        <v>3</v>
      </c>
      <c r="C790" s="4" t="s">
        <v>21</v>
      </c>
      <c r="D790" s="4">
        <v>2037</v>
      </c>
      <c r="E790" s="4">
        <v>100</v>
      </c>
      <c r="F790" s="4" t="s">
        <v>29</v>
      </c>
    </row>
    <row r="791" spans="1:6" x14ac:dyDescent="0.25">
      <c r="A791" s="4" t="s">
        <v>75</v>
      </c>
      <c r="B791" s="4" t="s">
        <v>3</v>
      </c>
      <c r="C791" s="4" t="s">
        <v>21</v>
      </c>
      <c r="D791" s="4">
        <v>2038</v>
      </c>
      <c r="E791" s="4">
        <v>100</v>
      </c>
      <c r="F791" s="4" t="s">
        <v>29</v>
      </c>
    </row>
    <row r="792" spans="1:6" x14ac:dyDescent="0.25">
      <c r="A792" s="4" t="s">
        <v>75</v>
      </c>
      <c r="B792" s="4" t="s">
        <v>3</v>
      </c>
      <c r="C792" s="4" t="s">
        <v>21</v>
      </c>
      <c r="D792" s="4">
        <v>2039</v>
      </c>
      <c r="E792" s="4">
        <v>100</v>
      </c>
      <c r="F792" s="4" t="s">
        <v>29</v>
      </c>
    </row>
    <row r="793" spans="1:6" x14ac:dyDescent="0.25">
      <c r="A793" s="4" t="s">
        <v>75</v>
      </c>
      <c r="B793" s="4" t="s">
        <v>3</v>
      </c>
      <c r="C793" s="4" t="s">
        <v>21</v>
      </c>
      <c r="D793" s="4">
        <v>2040</v>
      </c>
      <c r="E793" s="4">
        <v>100</v>
      </c>
      <c r="F793" s="4" t="s">
        <v>29</v>
      </c>
    </row>
    <row r="794" spans="1:6" x14ac:dyDescent="0.25">
      <c r="A794" s="4" t="s">
        <v>75</v>
      </c>
      <c r="B794" s="4" t="s">
        <v>23</v>
      </c>
      <c r="C794" s="4" t="s">
        <v>21</v>
      </c>
      <c r="D794" s="4">
        <v>2005</v>
      </c>
      <c r="E794" s="4">
        <v>66707.270188812094</v>
      </c>
      <c r="F794" s="4" t="s">
        <v>29</v>
      </c>
    </row>
    <row r="795" spans="1:6" x14ac:dyDescent="0.25">
      <c r="A795" s="4" t="s">
        <v>75</v>
      </c>
      <c r="B795" s="4" t="s">
        <v>23</v>
      </c>
      <c r="C795" s="4" t="s">
        <v>21</v>
      </c>
      <c r="D795" s="4">
        <v>2006</v>
      </c>
      <c r="E795" s="4">
        <v>68152.120754608288</v>
      </c>
      <c r="F795" s="4" t="s">
        <v>29</v>
      </c>
    </row>
    <row r="796" spans="1:6" x14ac:dyDescent="0.25">
      <c r="A796" s="4" t="s">
        <v>75</v>
      </c>
      <c r="B796" s="4" t="s">
        <v>23</v>
      </c>
      <c r="C796" s="4" t="s">
        <v>21</v>
      </c>
      <c r="D796" s="4">
        <v>2007</v>
      </c>
      <c r="E796" s="4">
        <v>68070.971326164872</v>
      </c>
      <c r="F796" s="4" t="s">
        <v>29</v>
      </c>
    </row>
    <row r="797" spans="1:6" x14ac:dyDescent="0.25">
      <c r="A797" s="4" t="s">
        <v>75</v>
      </c>
      <c r="B797" s="4" t="s">
        <v>23</v>
      </c>
      <c r="C797" s="4" t="s">
        <v>21</v>
      </c>
      <c r="D797" s="4">
        <v>2008</v>
      </c>
      <c r="E797" s="4">
        <v>69965.500000000015</v>
      </c>
      <c r="F797" s="4" t="s">
        <v>29</v>
      </c>
    </row>
    <row r="798" spans="1:6" x14ac:dyDescent="0.25">
      <c r="A798" s="4" t="s">
        <v>75</v>
      </c>
      <c r="B798" s="4" t="s">
        <v>23</v>
      </c>
      <c r="C798" s="4" t="s">
        <v>21</v>
      </c>
      <c r="D798" s="4">
        <v>2009</v>
      </c>
      <c r="E798" s="4">
        <v>67609.15027265744</v>
      </c>
      <c r="F798" s="4" t="s">
        <v>29</v>
      </c>
    </row>
    <row r="799" spans="1:6" x14ac:dyDescent="0.25">
      <c r="A799" s="4" t="s">
        <v>75</v>
      </c>
      <c r="B799" s="4" t="s">
        <v>23</v>
      </c>
      <c r="C799" s="4" t="s">
        <v>21</v>
      </c>
      <c r="D799" s="4">
        <v>2010</v>
      </c>
      <c r="E799" s="4">
        <v>67255.468236047105</v>
      </c>
      <c r="F799" s="4" t="s">
        <v>29</v>
      </c>
    </row>
    <row r="800" spans="1:6" x14ac:dyDescent="0.25">
      <c r="A800" s="4" t="s">
        <v>75</v>
      </c>
      <c r="B800" s="4" t="s">
        <v>23</v>
      </c>
      <c r="C800" s="4" t="s">
        <v>21</v>
      </c>
      <c r="D800" s="4">
        <v>2011</v>
      </c>
      <c r="E800" s="4">
        <v>68047.183172043005</v>
      </c>
      <c r="F800" s="4" t="s">
        <v>29</v>
      </c>
    </row>
    <row r="801" spans="1:6" x14ac:dyDescent="0.25">
      <c r="A801" s="4" t="s">
        <v>75</v>
      </c>
      <c r="B801" s="4" t="s">
        <v>23</v>
      </c>
      <c r="C801" s="4" t="s">
        <v>21</v>
      </c>
      <c r="D801" s="4">
        <v>2012</v>
      </c>
      <c r="E801" s="4">
        <v>75064.26213965693</v>
      </c>
      <c r="F801" s="4" t="s">
        <v>29</v>
      </c>
    </row>
    <row r="802" spans="1:6" x14ac:dyDescent="0.25">
      <c r="A802" s="4" t="s">
        <v>75</v>
      </c>
      <c r="B802" s="4" t="s">
        <v>23</v>
      </c>
      <c r="C802" s="4" t="s">
        <v>21</v>
      </c>
      <c r="D802" s="4">
        <v>2013</v>
      </c>
      <c r="E802" s="4">
        <v>77160.802287506376</v>
      </c>
      <c r="F802" s="4" t="s">
        <v>29</v>
      </c>
    </row>
    <row r="803" spans="1:6" x14ac:dyDescent="0.25">
      <c r="A803" s="4" t="s">
        <v>75</v>
      </c>
      <c r="B803" s="4" t="s">
        <v>23</v>
      </c>
      <c r="C803" s="4" t="s">
        <v>21</v>
      </c>
      <c r="D803" s="4">
        <v>2014</v>
      </c>
      <c r="E803" s="4">
        <v>88652.537499999991</v>
      </c>
      <c r="F803" s="4" t="s">
        <v>29</v>
      </c>
    </row>
    <row r="804" spans="1:6" x14ac:dyDescent="0.25">
      <c r="A804" s="4" t="s">
        <v>75</v>
      </c>
      <c r="B804" s="4" t="s">
        <v>23</v>
      </c>
      <c r="C804" s="4" t="s">
        <v>21</v>
      </c>
      <c r="D804" s="4">
        <v>2015</v>
      </c>
      <c r="E804" s="4">
        <v>77441.298909370191</v>
      </c>
      <c r="F804" s="4" t="s">
        <v>29</v>
      </c>
    </row>
    <row r="805" spans="1:6" x14ac:dyDescent="0.25">
      <c r="A805" s="4" t="s">
        <v>75</v>
      </c>
      <c r="B805" s="4" t="s">
        <v>23</v>
      </c>
      <c r="C805" s="4" t="s">
        <v>21</v>
      </c>
      <c r="D805" s="4">
        <v>2016</v>
      </c>
      <c r="E805" s="4">
        <v>73147.161491163002</v>
      </c>
      <c r="F805" s="4" t="s">
        <v>29</v>
      </c>
    </row>
    <row r="806" spans="1:6" x14ac:dyDescent="0.25">
      <c r="A806" s="4" t="s">
        <v>75</v>
      </c>
      <c r="B806" s="4" t="s">
        <v>23</v>
      </c>
      <c r="C806" s="4" t="s">
        <v>21</v>
      </c>
      <c r="D806" s="4">
        <v>2017</v>
      </c>
      <c r="E806" s="4">
        <v>77484.242273129537</v>
      </c>
      <c r="F806" s="4" t="s">
        <v>29</v>
      </c>
    </row>
    <row r="807" spans="1:6" x14ac:dyDescent="0.25">
      <c r="A807" s="4" t="s">
        <v>75</v>
      </c>
      <c r="B807" s="4" t="s">
        <v>23</v>
      </c>
      <c r="C807" s="4" t="s">
        <v>21</v>
      </c>
      <c r="D807" s="4">
        <v>2018</v>
      </c>
      <c r="E807" s="4">
        <v>81176.642326019661</v>
      </c>
      <c r="F807" s="4" t="s">
        <v>29</v>
      </c>
    </row>
    <row r="808" spans="1:6" x14ac:dyDescent="0.25">
      <c r="A808" s="4" t="s">
        <v>75</v>
      </c>
      <c r="B808" s="4" t="s">
        <v>23</v>
      </c>
      <c r="C808" s="4" t="s">
        <v>21</v>
      </c>
      <c r="D808" s="4">
        <v>2019</v>
      </c>
      <c r="E808" s="4">
        <v>84298.139192822608</v>
      </c>
      <c r="F808" s="4" t="s">
        <v>29</v>
      </c>
    </row>
    <row r="809" spans="1:6" x14ac:dyDescent="0.25">
      <c r="A809" s="4" t="s">
        <v>75</v>
      </c>
      <c r="B809" s="4" t="s">
        <v>23</v>
      </c>
      <c r="C809" s="4" t="s">
        <v>21</v>
      </c>
      <c r="D809" s="4">
        <v>2020</v>
      </c>
      <c r="E809" s="4">
        <v>85860.549681641627</v>
      </c>
      <c r="F809" s="4" t="s">
        <v>29</v>
      </c>
    </row>
    <row r="810" spans="1:6" x14ac:dyDescent="0.25">
      <c r="A810" s="4" t="s">
        <v>75</v>
      </c>
      <c r="B810" s="4" t="s">
        <v>23</v>
      </c>
      <c r="C810" s="4" t="s">
        <v>21</v>
      </c>
      <c r="D810" s="4">
        <v>2021</v>
      </c>
      <c r="E810" s="4">
        <v>87006.668694616164</v>
      </c>
      <c r="F810" s="4" t="s">
        <v>29</v>
      </c>
    </row>
    <row r="811" spans="1:6" x14ac:dyDescent="0.25">
      <c r="A811" s="4" t="s">
        <v>75</v>
      </c>
      <c r="B811" s="4" t="s">
        <v>23</v>
      </c>
      <c r="C811" s="4" t="s">
        <v>21</v>
      </c>
      <c r="D811" s="4">
        <v>2022</v>
      </c>
      <c r="E811" s="4">
        <v>88284.710256881663</v>
      </c>
      <c r="F811" s="4" t="s">
        <v>29</v>
      </c>
    </row>
    <row r="812" spans="1:6" x14ac:dyDescent="0.25">
      <c r="A812" s="4" t="s">
        <v>75</v>
      </c>
      <c r="B812" s="4" t="s">
        <v>23</v>
      </c>
      <c r="C812" s="4" t="s">
        <v>21</v>
      </c>
      <c r="D812" s="4">
        <v>2023</v>
      </c>
      <c r="E812" s="4">
        <v>89829.398302153044</v>
      </c>
      <c r="F812" s="4" t="s">
        <v>29</v>
      </c>
    </row>
    <row r="813" spans="1:6" x14ac:dyDescent="0.25">
      <c r="A813" s="4" t="s">
        <v>75</v>
      </c>
      <c r="B813" s="4" t="s">
        <v>23</v>
      </c>
      <c r="C813" s="4" t="s">
        <v>21</v>
      </c>
      <c r="D813" s="4">
        <v>2024</v>
      </c>
      <c r="E813" s="4">
        <v>91591.377172114386</v>
      </c>
      <c r="F813" s="4" t="s">
        <v>29</v>
      </c>
    </row>
    <row r="814" spans="1:6" x14ac:dyDescent="0.25">
      <c r="A814" s="4" t="s">
        <v>75</v>
      </c>
      <c r="B814" s="4" t="s">
        <v>23</v>
      </c>
      <c r="C814" s="4" t="s">
        <v>21</v>
      </c>
      <c r="D814" s="4">
        <v>2025</v>
      </c>
      <c r="E814" s="4">
        <v>93329.265473812076</v>
      </c>
      <c r="F814" s="4" t="s">
        <v>29</v>
      </c>
    </row>
    <row r="815" spans="1:6" x14ac:dyDescent="0.25">
      <c r="A815" s="4" t="s">
        <v>75</v>
      </c>
      <c r="B815" s="4" t="s">
        <v>23</v>
      </c>
      <c r="C815" s="4" t="s">
        <v>21</v>
      </c>
      <c r="D815" s="4">
        <v>2026</v>
      </c>
      <c r="E815" s="4">
        <v>95075.725343240105</v>
      </c>
      <c r="F815" s="4" t="s">
        <v>29</v>
      </c>
    </row>
    <row r="816" spans="1:6" x14ac:dyDescent="0.25">
      <c r="A816" s="4" t="s">
        <v>75</v>
      </c>
      <c r="B816" s="4" t="s">
        <v>23</v>
      </c>
      <c r="C816" s="4" t="s">
        <v>21</v>
      </c>
      <c r="D816" s="4">
        <v>2027</v>
      </c>
      <c r="E816" s="4">
        <v>96776.726848022518</v>
      </c>
      <c r="F816" s="4" t="s">
        <v>29</v>
      </c>
    </row>
    <row r="817" spans="1:6" x14ac:dyDescent="0.25">
      <c r="A817" s="4" t="s">
        <v>75</v>
      </c>
      <c r="B817" s="4" t="s">
        <v>23</v>
      </c>
      <c r="C817" s="4" t="s">
        <v>21</v>
      </c>
      <c r="D817" s="4">
        <v>2028</v>
      </c>
      <c r="E817" s="4">
        <v>98339.229881760024</v>
      </c>
      <c r="F817" s="4" t="s">
        <v>29</v>
      </c>
    </row>
    <row r="818" spans="1:6" x14ac:dyDescent="0.25">
      <c r="A818" s="4" t="s">
        <v>75</v>
      </c>
      <c r="B818" s="4" t="s">
        <v>23</v>
      </c>
      <c r="C818" s="4" t="s">
        <v>21</v>
      </c>
      <c r="D818" s="4">
        <v>2029</v>
      </c>
      <c r="E818" s="4">
        <v>99684.591717900883</v>
      </c>
      <c r="F818" s="4" t="s">
        <v>29</v>
      </c>
    </row>
    <row r="819" spans="1:6" x14ac:dyDescent="0.25">
      <c r="A819" s="4" t="s">
        <v>75</v>
      </c>
      <c r="B819" s="4" t="s">
        <v>23</v>
      </c>
      <c r="C819" s="4" t="s">
        <v>21</v>
      </c>
      <c r="D819" s="4">
        <v>2030</v>
      </c>
      <c r="E819" s="4">
        <v>100896.63360913943</v>
      </c>
      <c r="F819" s="4" t="s">
        <v>29</v>
      </c>
    </row>
    <row r="820" spans="1:6" x14ac:dyDescent="0.25">
      <c r="A820" s="4" t="s">
        <v>75</v>
      </c>
      <c r="B820" s="4" t="s">
        <v>23</v>
      </c>
      <c r="C820" s="4" t="s">
        <v>21</v>
      </c>
      <c r="D820" s="4">
        <v>2031</v>
      </c>
      <c r="E820" s="4">
        <v>102074.5560178145</v>
      </c>
      <c r="F820" s="4" t="s">
        <v>29</v>
      </c>
    </row>
    <row r="821" spans="1:6" x14ac:dyDescent="0.25">
      <c r="A821" s="4" t="s">
        <v>75</v>
      </c>
      <c r="B821" s="4" t="s">
        <v>23</v>
      </c>
      <c r="C821" s="4" t="s">
        <v>21</v>
      </c>
      <c r="D821" s="4">
        <v>2032</v>
      </c>
      <c r="E821" s="4">
        <v>103271.84695472047</v>
      </c>
      <c r="F821" s="4" t="s">
        <v>29</v>
      </c>
    </row>
    <row r="822" spans="1:6" x14ac:dyDescent="0.25">
      <c r="A822" s="4" t="s">
        <v>75</v>
      </c>
      <c r="B822" s="4" t="s">
        <v>23</v>
      </c>
      <c r="C822" s="4" t="s">
        <v>21</v>
      </c>
      <c r="D822" s="4">
        <v>2033</v>
      </c>
      <c r="E822" s="4">
        <v>104474.0239717799</v>
      </c>
      <c r="F822" s="4" t="s">
        <v>29</v>
      </c>
    </row>
    <row r="823" spans="1:6" x14ac:dyDescent="0.25">
      <c r="A823" s="4" t="s">
        <v>75</v>
      </c>
      <c r="B823" s="4" t="s">
        <v>23</v>
      </c>
      <c r="C823" s="4" t="s">
        <v>21</v>
      </c>
      <c r="D823" s="4">
        <v>2034</v>
      </c>
      <c r="E823" s="4">
        <v>105756.4976716643</v>
      </c>
      <c r="F823" s="4" t="s">
        <v>29</v>
      </c>
    </row>
    <row r="824" spans="1:6" x14ac:dyDescent="0.25">
      <c r="A824" s="4" t="s">
        <v>75</v>
      </c>
      <c r="B824" s="4" t="s">
        <v>23</v>
      </c>
      <c r="C824" s="4" t="s">
        <v>21</v>
      </c>
      <c r="D824" s="4">
        <v>2035</v>
      </c>
      <c r="E824" s="4">
        <v>107174.66126675355</v>
      </c>
      <c r="F824" s="4" t="s">
        <v>29</v>
      </c>
    </row>
    <row r="825" spans="1:6" x14ac:dyDescent="0.25">
      <c r="A825" s="4" t="s">
        <v>75</v>
      </c>
      <c r="B825" s="4" t="s">
        <v>23</v>
      </c>
      <c r="C825" s="4" t="s">
        <v>21</v>
      </c>
      <c r="D825" s="4">
        <v>2036</v>
      </c>
      <c r="E825" s="4">
        <v>108494.07144156001</v>
      </c>
      <c r="F825" s="4" t="s">
        <v>29</v>
      </c>
    </row>
    <row r="826" spans="1:6" x14ac:dyDescent="0.25">
      <c r="A826" s="4" t="s">
        <v>75</v>
      </c>
      <c r="B826" s="4" t="s">
        <v>23</v>
      </c>
      <c r="C826" s="4" t="s">
        <v>21</v>
      </c>
      <c r="D826" s="4">
        <v>2037</v>
      </c>
      <c r="E826" s="4">
        <v>110015.28276433065</v>
      </c>
      <c r="F826" s="4" t="s">
        <v>29</v>
      </c>
    </row>
    <row r="827" spans="1:6" x14ac:dyDescent="0.25">
      <c r="A827" s="4" t="s">
        <v>75</v>
      </c>
      <c r="B827" s="4" t="s">
        <v>23</v>
      </c>
      <c r="C827" s="4" t="s">
        <v>21</v>
      </c>
      <c r="D827" s="4">
        <v>2038</v>
      </c>
      <c r="E827" s="4">
        <v>111463.76819062277</v>
      </c>
      <c r="F827" s="4" t="s">
        <v>29</v>
      </c>
    </row>
    <row r="828" spans="1:6" x14ac:dyDescent="0.25">
      <c r="A828" s="4" t="s">
        <v>75</v>
      </c>
      <c r="B828" s="4" t="s">
        <v>23</v>
      </c>
      <c r="C828" s="4" t="s">
        <v>21</v>
      </c>
      <c r="D828" s="4">
        <v>2039</v>
      </c>
      <c r="E828" s="4">
        <v>112996.6639959256</v>
      </c>
      <c r="F828" s="4" t="s">
        <v>29</v>
      </c>
    </row>
    <row r="829" spans="1:6" x14ac:dyDescent="0.25">
      <c r="A829" s="4" t="s">
        <v>75</v>
      </c>
      <c r="B829" s="4" t="s">
        <v>23</v>
      </c>
      <c r="C829" s="4" t="s">
        <v>21</v>
      </c>
      <c r="D829" s="4">
        <v>2040</v>
      </c>
      <c r="E829" s="4">
        <v>114522.31957245787</v>
      </c>
      <c r="F829" s="4" t="s">
        <v>29</v>
      </c>
    </row>
    <row r="830" spans="1:6" x14ac:dyDescent="0.25">
      <c r="A830" s="4" t="s">
        <v>76</v>
      </c>
      <c r="B830" s="4" t="s">
        <v>1</v>
      </c>
      <c r="C830" s="4" t="s">
        <v>21</v>
      </c>
      <c r="D830" s="4">
        <v>2005</v>
      </c>
      <c r="E830" s="4">
        <v>2203.4851382488482</v>
      </c>
      <c r="F830" s="4" t="s">
        <v>29</v>
      </c>
    </row>
    <row r="831" spans="1:6" x14ac:dyDescent="0.25">
      <c r="A831" s="4" t="s">
        <v>76</v>
      </c>
      <c r="B831" s="4" t="s">
        <v>1</v>
      </c>
      <c r="C831" s="4" t="s">
        <v>21</v>
      </c>
      <c r="D831" s="4">
        <v>2006</v>
      </c>
      <c r="E831" s="4">
        <v>3398.1617415514593</v>
      </c>
      <c r="F831" s="4" t="s">
        <v>29</v>
      </c>
    </row>
    <row r="832" spans="1:6" x14ac:dyDescent="0.25">
      <c r="A832" s="4" t="s">
        <v>76</v>
      </c>
      <c r="B832" s="4" t="s">
        <v>1</v>
      </c>
      <c r="C832" s="4" t="s">
        <v>21</v>
      </c>
      <c r="D832" s="4">
        <v>2007</v>
      </c>
      <c r="E832" s="4">
        <v>3531.5109030977987</v>
      </c>
      <c r="F832" s="4" t="s">
        <v>29</v>
      </c>
    </row>
    <row r="833" spans="1:6" x14ac:dyDescent="0.25">
      <c r="A833" s="4" t="s">
        <v>76</v>
      </c>
      <c r="B833" s="4" t="s">
        <v>1</v>
      </c>
      <c r="C833" s="4" t="s">
        <v>21</v>
      </c>
      <c r="D833" s="4">
        <v>2008</v>
      </c>
      <c r="E833" s="4">
        <v>3746.5833333333339</v>
      </c>
      <c r="F833" s="4" t="s">
        <v>29</v>
      </c>
    </row>
    <row r="834" spans="1:6" x14ac:dyDescent="0.25">
      <c r="A834" s="4" t="s">
        <v>76</v>
      </c>
      <c r="B834" s="4" t="s">
        <v>1</v>
      </c>
      <c r="C834" s="4" t="s">
        <v>21</v>
      </c>
      <c r="D834" s="4">
        <v>2009</v>
      </c>
      <c r="E834" s="4">
        <v>4116.2247580645162</v>
      </c>
      <c r="F834" s="4" t="s">
        <v>29</v>
      </c>
    </row>
    <row r="835" spans="1:6" x14ac:dyDescent="0.25">
      <c r="A835" s="4" t="s">
        <v>76</v>
      </c>
      <c r="B835" s="4" t="s">
        <v>1</v>
      </c>
      <c r="C835" s="4" t="s">
        <v>21</v>
      </c>
      <c r="D835" s="4">
        <v>2010</v>
      </c>
      <c r="E835" s="4">
        <v>4763.6846684587817</v>
      </c>
      <c r="F835" s="4" t="s">
        <v>29</v>
      </c>
    </row>
    <row r="836" spans="1:6" x14ac:dyDescent="0.25">
      <c r="A836" s="4" t="s">
        <v>76</v>
      </c>
      <c r="B836" s="4" t="s">
        <v>1</v>
      </c>
      <c r="C836" s="4" t="s">
        <v>21</v>
      </c>
      <c r="D836" s="4">
        <v>2011</v>
      </c>
      <c r="E836" s="4">
        <v>6462.2715092165899</v>
      </c>
      <c r="F836" s="4" t="s">
        <v>29</v>
      </c>
    </row>
    <row r="837" spans="1:6" x14ac:dyDescent="0.25">
      <c r="A837" s="4" t="s">
        <v>76</v>
      </c>
      <c r="B837" s="4" t="s">
        <v>1</v>
      </c>
      <c r="C837" s="4" t="s">
        <v>21</v>
      </c>
      <c r="D837" s="4">
        <v>2012</v>
      </c>
      <c r="E837" s="4">
        <v>8094.5645528982814</v>
      </c>
      <c r="F837" s="4" t="s">
        <v>29</v>
      </c>
    </row>
    <row r="838" spans="1:6" x14ac:dyDescent="0.25">
      <c r="A838" s="4" t="s">
        <v>76</v>
      </c>
      <c r="B838" s="4" t="s">
        <v>1</v>
      </c>
      <c r="C838" s="4" t="s">
        <v>21</v>
      </c>
      <c r="D838" s="4">
        <v>2013</v>
      </c>
      <c r="E838" s="4">
        <v>8262.7367191500271</v>
      </c>
      <c r="F838" s="4" t="s">
        <v>29</v>
      </c>
    </row>
    <row r="839" spans="1:6" x14ac:dyDescent="0.25">
      <c r="A839" s="4" t="s">
        <v>76</v>
      </c>
      <c r="B839" s="4" t="s">
        <v>1</v>
      </c>
      <c r="C839" s="4" t="s">
        <v>21</v>
      </c>
      <c r="D839" s="4">
        <v>2014</v>
      </c>
      <c r="E839" s="4">
        <v>7781.3506688428042</v>
      </c>
      <c r="F839" s="4" t="s">
        <v>29</v>
      </c>
    </row>
    <row r="840" spans="1:6" x14ac:dyDescent="0.25">
      <c r="A840" s="4" t="s">
        <v>76</v>
      </c>
      <c r="B840" s="4" t="s">
        <v>1</v>
      </c>
      <c r="C840" s="4" t="s">
        <v>21</v>
      </c>
      <c r="D840" s="4">
        <v>2015</v>
      </c>
      <c r="E840" s="4">
        <v>7282.7969105222728</v>
      </c>
      <c r="F840" s="4" t="s">
        <v>29</v>
      </c>
    </row>
    <row r="841" spans="1:6" x14ac:dyDescent="0.25">
      <c r="A841" s="4" t="s">
        <v>76</v>
      </c>
      <c r="B841" s="4" t="s">
        <v>1</v>
      </c>
      <c r="C841" s="4" t="s">
        <v>21</v>
      </c>
      <c r="D841" s="4">
        <v>2016</v>
      </c>
      <c r="E841" s="4">
        <v>6380.9985653812873</v>
      </c>
      <c r="F841" s="4" t="s">
        <v>29</v>
      </c>
    </row>
    <row r="842" spans="1:6" x14ac:dyDescent="0.25">
      <c r="A842" s="4" t="s">
        <v>76</v>
      </c>
      <c r="B842" s="4" t="s">
        <v>1</v>
      </c>
      <c r="C842" s="4" t="s">
        <v>21</v>
      </c>
      <c r="D842" s="4">
        <v>2017</v>
      </c>
      <c r="E842" s="4">
        <v>5830.8193436537013</v>
      </c>
      <c r="F842" s="4" t="s">
        <v>29</v>
      </c>
    </row>
    <row r="843" spans="1:6" x14ac:dyDescent="0.25">
      <c r="A843" s="4" t="s">
        <v>76</v>
      </c>
      <c r="B843" s="4" t="s">
        <v>1</v>
      </c>
      <c r="C843" s="4" t="s">
        <v>21</v>
      </c>
      <c r="D843" s="4">
        <v>2018</v>
      </c>
      <c r="E843" s="4">
        <v>5370.0572684063036</v>
      </c>
      <c r="F843" s="4" t="s">
        <v>29</v>
      </c>
    </row>
    <row r="844" spans="1:6" x14ac:dyDescent="0.25">
      <c r="A844" s="4" t="s">
        <v>76</v>
      </c>
      <c r="B844" s="4" t="s">
        <v>1</v>
      </c>
      <c r="C844" s="4" t="s">
        <v>21</v>
      </c>
      <c r="D844" s="4">
        <v>2019</v>
      </c>
      <c r="E844" s="4">
        <v>4909.8505699488514</v>
      </c>
      <c r="F844" s="4" t="s">
        <v>29</v>
      </c>
    </row>
    <row r="845" spans="1:6" x14ac:dyDescent="0.25">
      <c r="A845" s="4" t="s">
        <v>76</v>
      </c>
      <c r="B845" s="4" t="s">
        <v>1</v>
      </c>
      <c r="C845" s="4" t="s">
        <v>21</v>
      </c>
      <c r="D845" s="4">
        <v>2020</v>
      </c>
      <c r="E845" s="4">
        <v>4484.1674747578072</v>
      </c>
      <c r="F845" s="4" t="s">
        <v>29</v>
      </c>
    </row>
    <row r="846" spans="1:6" x14ac:dyDescent="0.25">
      <c r="A846" s="4" t="s">
        <v>76</v>
      </c>
      <c r="B846" s="4" t="s">
        <v>1</v>
      </c>
      <c r="C846" s="4" t="s">
        <v>21</v>
      </c>
      <c r="D846" s="4">
        <v>2021</v>
      </c>
      <c r="E846" s="4">
        <v>4121.1452642990935</v>
      </c>
      <c r="F846" s="4" t="s">
        <v>29</v>
      </c>
    </row>
    <row r="847" spans="1:6" x14ac:dyDescent="0.25">
      <c r="A847" s="4" t="s">
        <v>76</v>
      </c>
      <c r="B847" s="4" t="s">
        <v>1</v>
      </c>
      <c r="C847" s="4" t="s">
        <v>21</v>
      </c>
      <c r="D847" s="4">
        <v>2022</v>
      </c>
      <c r="E847" s="4">
        <v>3826.9191742644898</v>
      </c>
      <c r="F847" s="4" t="s">
        <v>29</v>
      </c>
    </row>
    <row r="848" spans="1:6" x14ac:dyDescent="0.25">
      <c r="A848" s="4" t="s">
        <v>76</v>
      </c>
      <c r="B848" s="4" t="s">
        <v>1</v>
      </c>
      <c r="C848" s="4" t="s">
        <v>21</v>
      </c>
      <c r="D848" s="4">
        <v>2023</v>
      </c>
      <c r="E848" s="4">
        <v>3600.441837935316</v>
      </c>
      <c r="F848" s="4" t="s">
        <v>29</v>
      </c>
    </row>
    <row r="849" spans="1:6" x14ac:dyDescent="0.25">
      <c r="A849" s="4" t="s">
        <v>76</v>
      </c>
      <c r="B849" s="4" t="s">
        <v>1</v>
      </c>
      <c r="C849" s="4" t="s">
        <v>21</v>
      </c>
      <c r="D849" s="4">
        <v>2024</v>
      </c>
      <c r="E849" s="4">
        <v>3421.5791860090576</v>
      </c>
      <c r="F849" s="4" t="s">
        <v>29</v>
      </c>
    </row>
    <row r="850" spans="1:6" x14ac:dyDescent="0.25">
      <c r="A850" s="4" t="s">
        <v>76</v>
      </c>
      <c r="B850" s="4" t="s">
        <v>1</v>
      </c>
      <c r="C850" s="4" t="s">
        <v>21</v>
      </c>
      <c r="D850" s="4">
        <v>2025</v>
      </c>
      <c r="E850" s="4">
        <v>3274.4085959379704</v>
      </c>
      <c r="F850" s="4" t="s">
        <v>29</v>
      </c>
    </row>
    <row r="851" spans="1:6" x14ac:dyDescent="0.25">
      <c r="A851" s="4" t="s">
        <v>76</v>
      </c>
      <c r="B851" s="4" t="s">
        <v>1</v>
      </c>
      <c r="C851" s="4" t="s">
        <v>21</v>
      </c>
      <c r="D851" s="4">
        <v>2026</v>
      </c>
      <c r="E851" s="4">
        <v>3165.0330486350226</v>
      </c>
      <c r="F851" s="4" t="s">
        <v>29</v>
      </c>
    </row>
    <row r="852" spans="1:6" x14ac:dyDescent="0.25">
      <c r="A852" s="4" t="s">
        <v>76</v>
      </c>
      <c r="B852" s="4" t="s">
        <v>1</v>
      </c>
      <c r="C852" s="4" t="s">
        <v>21</v>
      </c>
      <c r="D852" s="4">
        <v>2027</v>
      </c>
      <c r="E852" s="4">
        <v>3082.8214148488419</v>
      </c>
      <c r="F852" s="4" t="s">
        <v>29</v>
      </c>
    </row>
    <row r="853" spans="1:6" x14ac:dyDescent="0.25">
      <c r="A853" s="4" t="s">
        <v>76</v>
      </c>
      <c r="B853" s="4" t="s">
        <v>1</v>
      </c>
      <c r="C853" s="4" t="s">
        <v>21</v>
      </c>
      <c r="D853" s="4">
        <v>2028</v>
      </c>
      <c r="E853" s="4">
        <v>3018.6353249249978</v>
      </c>
      <c r="F853" s="4" t="s">
        <v>29</v>
      </c>
    </row>
    <row r="854" spans="1:6" x14ac:dyDescent="0.25">
      <c r="A854" s="4" t="s">
        <v>76</v>
      </c>
      <c r="B854" s="4" t="s">
        <v>1</v>
      </c>
      <c r="C854" s="4" t="s">
        <v>21</v>
      </c>
      <c r="D854" s="4">
        <v>2029</v>
      </c>
      <c r="E854" s="4">
        <v>2967.1504418326062</v>
      </c>
      <c r="F854" s="4" t="s">
        <v>29</v>
      </c>
    </row>
    <row r="855" spans="1:6" x14ac:dyDescent="0.25">
      <c r="A855" s="4" t="s">
        <v>76</v>
      </c>
      <c r="B855" s="4" t="s">
        <v>1</v>
      </c>
      <c r="C855" s="4" t="s">
        <v>21</v>
      </c>
      <c r="D855" s="4">
        <v>2030</v>
      </c>
      <c r="E855" s="4">
        <v>2925.086876904521</v>
      </c>
      <c r="F855" s="4" t="s">
        <v>29</v>
      </c>
    </row>
    <row r="856" spans="1:6" x14ac:dyDescent="0.25">
      <c r="A856" s="4" t="s">
        <v>76</v>
      </c>
      <c r="B856" s="4" t="s">
        <v>1</v>
      </c>
      <c r="C856" s="4" t="s">
        <v>21</v>
      </c>
      <c r="D856" s="4">
        <v>2031</v>
      </c>
      <c r="E856" s="4">
        <v>2891.5776481003336</v>
      </c>
      <c r="F856" s="4" t="s">
        <v>29</v>
      </c>
    </row>
    <row r="857" spans="1:6" x14ac:dyDescent="0.25">
      <c r="A857" s="4" t="s">
        <v>76</v>
      </c>
      <c r="B857" s="4" t="s">
        <v>1</v>
      </c>
      <c r="C857" s="4" t="s">
        <v>21</v>
      </c>
      <c r="D857" s="4">
        <v>2032</v>
      </c>
      <c r="E857" s="4">
        <v>2866.7694282492457</v>
      </c>
      <c r="F857" s="4" t="s">
        <v>29</v>
      </c>
    </row>
    <row r="858" spans="1:6" x14ac:dyDescent="0.25">
      <c r="A858" s="4" t="s">
        <v>76</v>
      </c>
      <c r="B858" s="4" t="s">
        <v>1</v>
      </c>
      <c r="C858" s="4" t="s">
        <v>21</v>
      </c>
      <c r="D858" s="4">
        <v>2033</v>
      </c>
      <c r="E858" s="4">
        <v>2851.6550502196901</v>
      </c>
      <c r="F858" s="4" t="s">
        <v>29</v>
      </c>
    </row>
    <row r="859" spans="1:6" x14ac:dyDescent="0.25">
      <c r="A859" s="4" t="s">
        <v>76</v>
      </c>
      <c r="B859" s="4" t="s">
        <v>1</v>
      </c>
      <c r="C859" s="4" t="s">
        <v>21</v>
      </c>
      <c r="D859" s="4">
        <v>2034</v>
      </c>
      <c r="E859" s="4">
        <v>2846.6252916602762</v>
      </c>
      <c r="F859" s="4" t="s">
        <v>29</v>
      </c>
    </row>
    <row r="860" spans="1:6" x14ac:dyDescent="0.25">
      <c r="A860" s="4" t="s">
        <v>76</v>
      </c>
      <c r="B860" s="4" t="s">
        <v>1</v>
      </c>
      <c r="C860" s="4" t="s">
        <v>21</v>
      </c>
      <c r="D860" s="4">
        <v>2035</v>
      </c>
      <c r="E860" s="4">
        <v>2851.0058895152529</v>
      </c>
      <c r="F860" s="4" t="s">
        <v>29</v>
      </c>
    </row>
    <row r="861" spans="1:6" x14ac:dyDescent="0.25">
      <c r="A861" s="4" t="s">
        <v>76</v>
      </c>
      <c r="B861" s="4" t="s">
        <v>1</v>
      </c>
      <c r="C861" s="4" t="s">
        <v>21</v>
      </c>
      <c r="D861" s="4">
        <v>2036</v>
      </c>
      <c r="E861" s="4">
        <v>2860.3662810300943</v>
      </c>
      <c r="F861" s="4" t="s">
        <v>29</v>
      </c>
    </row>
    <row r="862" spans="1:6" x14ac:dyDescent="0.25">
      <c r="A862" s="4" t="s">
        <v>76</v>
      </c>
      <c r="B862" s="4" t="s">
        <v>1</v>
      </c>
      <c r="C862" s="4" t="s">
        <v>21</v>
      </c>
      <c r="D862" s="4">
        <v>2037</v>
      </c>
      <c r="E862" s="4">
        <v>2860.8240830031282</v>
      </c>
      <c r="F862" s="4" t="s">
        <v>29</v>
      </c>
    </row>
    <row r="863" spans="1:6" x14ac:dyDescent="0.25">
      <c r="A863" s="4" t="s">
        <v>76</v>
      </c>
      <c r="B863" s="4" t="s">
        <v>1</v>
      </c>
      <c r="C863" s="4" t="s">
        <v>21</v>
      </c>
      <c r="D863" s="4">
        <v>2038</v>
      </c>
      <c r="E863" s="4">
        <v>2863.5630399055535</v>
      </c>
      <c r="F863" s="4" t="s">
        <v>29</v>
      </c>
    </row>
    <row r="864" spans="1:6" x14ac:dyDescent="0.25">
      <c r="A864" s="4" t="s">
        <v>76</v>
      </c>
      <c r="B864" s="4" t="s">
        <v>1</v>
      </c>
      <c r="C864" s="4" t="s">
        <v>21</v>
      </c>
      <c r="D864" s="4">
        <v>2039</v>
      </c>
      <c r="E864" s="4">
        <v>2872.569884495726</v>
      </c>
      <c r="F864" s="4" t="s">
        <v>29</v>
      </c>
    </row>
    <row r="865" spans="1:6" x14ac:dyDescent="0.25">
      <c r="A865" s="4" t="s">
        <v>76</v>
      </c>
      <c r="B865" s="4" t="s">
        <v>1</v>
      </c>
      <c r="C865" s="4" t="s">
        <v>21</v>
      </c>
      <c r="D865" s="4">
        <v>2040</v>
      </c>
      <c r="E865" s="4">
        <v>2885.8934506431474</v>
      </c>
      <c r="F865" s="4" t="s">
        <v>29</v>
      </c>
    </row>
    <row r="866" spans="1:6" x14ac:dyDescent="0.25">
      <c r="A866" s="4" t="s">
        <v>76</v>
      </c>
      <c r="B866" s="4" t="s">
        <v>23</v>
      </c>
      <c r="C866" s="4" t="s">
        <v>21</v>
      </c>
      <c r="D866" s="4">
        <v>2005</v>
      </c>
      <c r="E866" s="4">
        <v>2203.4851382488482</v>
      </c>
      <c r="F866" s="4" t="s">
        <v>29</v>
      </c>
    </row>
    <row r="867" spans="1:6" x14ac:dyDescent="0.25">
      <c r="A867" s="4" t="s">
        <v>76</v>
      </c>
      <c r="B867" s="4" t="s">
        <v>23</v>
      </c>
      <c r="C867" s="4" t="s">
        <v>21</v>
      </c>
      <c r="D867" s="4">
        <v>2006</v>
      </c>
      <c r="E867" s="4">
        <v>3398.1617415514593</v>
      </c>
      <c r="F867" s="4" t="s">
        <v>29</v>
      </c>
    </row>
    <row r="868" spans="1:6" x14ac:dyDescent="0.25">
      <c r="A868" s="4" t="s">
        <v>76</v>
      </c>
      <c r="B868" s="4" t="s">
        <v>23</v>
      </c>
      <c r="C868" s="4" t="s">
        <v>21</v>
      </c>
      <c r="D868" s="4">
        <v>2007</v>
      </c>
      <c r="E868" s="4">
        <v>3531.5109030977987</v>
      </c>
      <c r="F868" s="4" t="s">
        <v>29</v>
      </c>
    </row>
    <row r="869" spans="1:6" x14ac:dyDescent="0.25">
      <c r="A869" s="4" t="s">
        <v>76</v>
      </c>
      <c r="B869" s="4" t="s">
        <v>23</v>
      </c>
      <c r="C869" s="4" t="s">
        <v>21</v>
      </c>
      <c r="D869" s="4">
        <v>2008</v>
      </c>
      <c r="E869" s="4">
        <v>3746.5833333333339</v>
      </c>
      <c r="F869" s="4" t="s">
        <v>29</v>
      </c>
    </row>
    <row r="870" spans="1:6" x14ac:dyDescent="0.25">
      <c r="A870" s="4" t="s">
        <v>76</v>
      </c>
      <c r="B870" s="4" t="s">
        <v>23</v>
      </c>
      <c r="C870" s="4" t="s">
        <v>21</v>
      </c>
      <c r="D870" s="4">
        <v>2009</v>
      </c>
      <c r="E870" s="4">
        <v>4116.2247580645162</v>
      </c>
      <c r="F870" s="4" t="s">
        <v>29</v>
      </c>
    </row>
    <row r="871" spans="1:6" x14ac:dyDescent="0.25">
      <c r="A871" s="4" t="s">
        <v>76</v>
      </c>
      <c r="B871" s="4" t="s">
        <v>23</v>
      </c>
      <c r="C871" s="4" t="s">
        <v>21</v>
      </c>
      <c r="D871" s="4">
        <v>2010</v>
      </c>
      <c r="E871" s="4">
        <v>4763.6846684587817</v>
      </c>
      <c r="F871" s="4" t="s">
        <v>29</v>
      </c>
    </row>
    <row r="872" spans="1:6" x14ac:dyDescent="0.25">
      <c r="A872" s="4" t="s">
        <v>76</v>
      </c>
      <c r="B872" s="4" t="s">
        <v>23</v>
      </c>
      <c r="C872" s="4" t="s">
        <v>21</v>
      </c>
      <c r="D872" s="4">
        <v>2011</v>
      </c>
      <c r="E872" s="4">
        <v>6462.2715092165899</v>
      </c>
      <c r="F872" s="4" t="s">
        <v>29</v>
      </c>
    </row>
    <row r="873" spans="1:6" x14ac:dyDescent="0.25">
      <c r="A873" s="4" t="s">
        <v>76</v>
      </c>
      <c r="B873" s="4" t="s">
        <v>23</v>
      </c>
      <c r="C873" s="4" t="s">
        <v>21</v>
      </c>
      <c r="D873" s="4">
        <v>2012</v>
      </c>
      <c r="E873" s="4">
        <v>8094.5645528982814</v>
      </c>
      <c r="F873" s="4" t="s">
        <v>29</v>
      </c>
    </row>
    <row r="874" spans="1:6" x14ac:dyDescent="0.25">
      <c r="A874" s="4" t="s">
        <v>76</v>
      </c>
      <c r="B874" s="4" t="s">
        <v>23</v>
      </c>
      <c r="C874" s="4" t="s">
        <v>21</v>
      </c>
      <c r="D874" s="4">
        <v>2013</v>
      </c>
      <c r="E874" s="4">
        <v>8262.7367191500271</v>
      </c>
      <c r="F874" s="4" t="s">
        <v>29</v>
      </c>
    </row>
    <row r="875" spans="1:6" x14ac:dyDescent="0.25">
      <c r="A875" s="4" t="s">
        <v>76</v>
      </c>
      <c r="B875" s="4" t="s">
        <v>23</v>
      </c>
      <c r="C875" s="4" t="s">
        <v>21</v>
      </c>
      <c r="D875" s="4">
        <v>2014</v>
      </c>
      <c r="E875" s="4">
        <v>7781.3506688428042</v>
      </c>
      <c r="F875" s="4" t="s">
        <v>29</v>
      </c>
    </row>
    <row r="876" spans="1:6" x14ac:dyDescent="0.25">
      <c r="A876" s="4" t="s">
        <v>76</v>
      </c>
      <c r="B876" s="4" t="s">
        <v>23</v>
      </c>
      <c r="C876" s="4" t="s">
        <v>21</v>
      </c>
      <c r="D876" s="4">
        <v>2015</v>
      </c>
      <c r="E876" s="4">
        <v>7282.7969105222728</v>
      </c>
      <c r="F876" s="4" t="s">
        <v>29</v>
      </c>
    </row>
    <row r="877" spans="1:6" x14ac:dyDescent="0.25">
      <c r="A877" s="4" t="s">
        <v>76</v>
      </c>
      <c r="B877" s="4" t="s">
        <v>23</v>
      </c>
      <c r="C877" s="4" t="s">
        <v>21</v>
      </c>
      <c r="D877" s="4">
        <v>2016</v>
      </c>
      <c r="E877" s="4">
        <v>6380.9985653812873</v>
      </c>
      <c r="F877" s="4" t="s">
        <v>29</v>
      </c>
    </row>
    <row r="878" spans="1:6" x14ac:dyDescent="0.25">
      <c r="A878" s="4" t="s">
        <v>76</v>
      </c>
      <c r="B878" s="4" t="s">
        <v>23</v>
      </c>
      <c r="C878" s="4" t="s">
        <v>21</v>
      </c>
      <c r="D878" s="4">
        <v>2017</v>
      </c>
      <c r="E878" s="4">
        <v>5830.8193436537013</v>
      </c>
      <c r="F878" s="4" t="s">
        <v>29</v>
      </c>
    </row>
    <row r="879" spans="1:6" x14ac:dyDescent="0.25">
      <c r="A879" s="4" t="s">
        <v>76</v>
      </c>
      <c r="B879" s="4" t="s">
        <v>23</v>
      </c>
      <c r="C879" s="4" t="s">
        <v>21</v>
      </c>
      <c r="D879" s="4">
        <v>2018</v>
      </c>
      <c r="E879" s="4">
        <v>5370.0572684063036</v>
      </c>
      <c r="F879" s="4" t="s">
        <v>29</v>
      </c>
    </row>
    <row r="880" spans="1:6" x14ac:dyDescent="0.25">
      <c r="A880" s="4" t="s">
        <v>76</v>
      </c>
      <c r="B880" s="4" t="s">
        <v>23</v>
      </c>
      <c r="C880" s="4" t="s">
        <v>21</v>
      </c>
      <c r="D880" s="4">
        <v>2019</v>
      </c>
      <c r="E880" s="4">
        <v>4909.8505699488514</v>
      </c>
      <c r="F880" s="4" t="s">
        <v>29</v>
      </c>
    </row>
    <row r="881" spans="1:6" x14ac:dyDescent="0.25">
      <c r="A881" s="4" t="s">
        <v>76</v>
      </c>
      <c r="B881" s="4" t="s">
        <v>23</v>
      </c>
      <c r="C881" s="4" t="s">
        <v>21</v>
      </c>
      <c r="D881" s="4">
        <v>2020</v>
      </c>
      <c r="E881" s="4">
        <v>4484.1674747578072</v>
      </c>
      <c r="F881" s="4" t="s">
        <v>29</v>
      </c>
    </row>
    <row r="882" spans="1:6" x14ac:dyDescent="0.25">
      <c r="A882" s="4" t="s">
        <v>76</v>
      </c>
      <c r="B882" s="4" t="s">
        <v>23</v>
      </c>
      <c r="C882" s="4" t="s">
        <v>21</v>
      </c>
      <c r="D882" s="4">
        <v>2021</v>
      </c>
      <c r="E882" s="4">
        <v>4121.1452642990935</v>
      </c>
      <c r="F882" s="4" t="s">
        <v>29</v>
      </c>
    </row>
    <row r="883" spans="1:6" x14ac:dyDescent="0.25">
      <c r="A883" s="4" t="s">
        <v>76</v>
      </c>
      <c r="B883" s="4" t="s">
        <v>23</v>
      </c>
      <c r="C883" s="4" t="s">
        <v>21</v>
      </c>
      <c r="D883" s="4">
        <v>2022</v>
      </c>
      <c r="E883" s="4">
        <v>3826.9191742644898</v>
      </c>
      <c r="F883" s="4" t="s">
        <v>29</v>
      </c>
    </row>
    <row r="884" spans="1:6" x14ac:dyDescent="0.25">
      <c r="A884" s="4" t="s">
        <v>76</v>
      </c>
      <c r="B884" s="4" t="s">
        <v>23</v>
      </c>
      <c r="C884" s="4" t="s">
        <v>21</v>
      </c>
      <c r="D884" s="4">
        <v>2023</v>
      </c>
      <c r="E884" s="4">
        <v>3600.441837935316</v>
      </c>
      <c r="F884" s="4" t="s">
        <v>29</v>
      </c>
    </row>
    <row r="885" spans="1:6" x14ac:dyDescent="0.25">
      <c r="A885" s="4" t="s">
        <v>76</v>
      </c>
      <c r="B885" s="4" t="s">
        <v>23</v>
      </c>
      <c r="C885" s="4" t="s">
        <v>21</v>
      </c>
      <c r="D885" s="4">
        <v>2024</v>
      </c>
      <c r="E885" s="4">
        <v>3421.5791860090576</v>
      </c>
      <c r="F885" s="4" t="s">
        <v>29</v>
      </c>
    </row>
    <row r="886" spans="1:6" x14ac:dyDescent="0.25">
      <c r="A886" s="4" t="s">
        <v>76</v>
      </c>
      <c r="B886" s="4" t="s">
        <v>23</v>
      </c>
      <c r="C886" s="4" t="s">
        <v>21</v>
      </c>
      <c r="D886" s="4">
        <v>2025</v>
      </c>
      <c r="E886" s="4">
        <v>3274.4085959379704</v>
      </c>
      <c r="F886" s="4" t="s">
        <v>29</v>
      </c>
    </row>
    <row r="887" spans="1:6" x14ac:dyDescent="0.25">
      <c r="A887" s="4" t="s">
        <v>76</v>
      </c>
      <c r="B887" s="4" t="s">
        <v>23</v>
      </c>
      <c r="C887" s="4" t="s">
        <v>21</v>
      </c>
      <c r="D887" s="4">
        <v>2026</v>
      </c>
      <c r="E887" s="4">
        <v>3165.0330486350226</v>
      </c>
      <c r="F887" s="4" t="s">
        <v>29</v>
      </c>
    </row>
    <row r="888" spans="1:6" x14ac:dyDescent="0.25">
      <c r="A888" s="4" t="s">
        <v>76</v>
      </c>
      <c r="B888" s="4" t="s">
        <v>23</v>
      </c>
      <c r="C888" s="4" t="s">
        <v>21</v>
      </c>
      <c r="D888" s="4">
        <v>2027</v>
      </c>
      <c r="E888" s="4">
        <v>3082.8214148488419</v>
      </c>
      <c r="F888" s="4" t="s">
        <v>29</v>
      </c>
    </row>
    <row r="889" spans="1:6" x14ac:dyDescent="0.25">
      <c r="A889" s="4" t="s">
        <v>76</v>
      </c>
      <c r="B889" s="4" t="s">
        <v>23</v>
      </c>
      <c r="C889" s="4" t="s">
        <v>21</v>
      </c>
      <c r="D889" s="4">
        <v>2028</v>
      </c>
      <c r="E889" s="4">
        <v>3018.6353249249978</v>
      </c>
      <c r="F889" s="4" t="s">
        <v>29</v>
      </c>
    </row>
    <row r="890" spans="1:6" x14ac:dyDescent="0.25">
      <c r="A890" s="4" t="s">
        <v>76</v>
      </c>
      <c r="B890" s="4" t="s">
        <v>23</v>
      </c>
      <c r="C890" s="4" t="s">
        <v>21</v>
      </c>
      <c r="D890" s="4">
        <v>2029</v>
      </c>
      <c r="E890" s="4">
        <v>2967.1504418326062</v>
      </c>
      <c r="F890" s="4" t="s">
        <v>29</v>
      </c>
    </row>
    <row r="891" spans="1:6" x14ac:dyDescent="0.25">
      <c r="A891" s="4" t="s">
        <v>76</v>
      </c>
      <c r="B891" s="4" t="s">
        <v>23</v>
      </c>
      <c r="C891" s="4" t="s">
        <v>21</v>
      </c>
      <c r="D891" s="4">
        <v>2030</v>
      </c>
      <c r="E891" s="4">
        <v>2925.086876904521</v>
      </c>
      <c r="F891" s="4" t="s">
        <v>29</v>
      </c>
    </row>
    <row r="892" spans="1:6" x14ac:dyDescent="0.25">
      <c r="A892" s="4" t="s">
        <v>76</v>
      </c>
      <c r="B892" s="4" t="s">
        <v>23</v>
      </c>
      <c r="C892" s="4" t="s">
        <v>21</v>
      </c>
      <c r="D892" s="4">
        <v>2031</v>
      </c>
      <c r="E892" s="4">
        <v>2891.5776481003336</v>
      </c>
      <c r="F892" s="4" t="s">
        <v>29</v>
      </c>
    </row>
    <row r="893" spans="1:6" x14ac:dyDescent="0.25">
      <c r="A893" s="4" t="s">
        <v>76</v>
      </c>
      <c r="B893" s="4" t="s">
        <v>23</v>
      </c>
      <c r="C893" s="4" t="s">
        <v>21</v>
      </c>
      <c r="D893" s="4">
        <v>2032</v>
      </c>
      <c r="E893" s="4">
        <v>2866.7694282492457</v>
      </c>
      <c r="F893" s="4" t="s">
        <v>29</v>
      </c>
    </row>
    <row r="894" spans="1:6" x14ac:dyDescent="0.25">
      <c r="A894" s="4" t="s">
        <v>76</v>
      </c>
      <c r="B894" s="4" t="s">
        <v>23</v>
      </c>
      <c r="C894" s="4" t="s">
        <v>21</v>
      </c>
      <c r="D894" s="4">
        <v>2033</v>
      </c>
      <c r="E894" s="4">
        <v>2851.6550502196901</v>
      </c>
      <c r="F894" s="4" t="s">
        <v>29</v>
      </c>
    </row>
    <row r="895" spans="1:6" x14ac:dyDescent="0.25">
      <c r="A895" s="4" t="s">
        <v>76</v>
      </c>
      <c r="B895" s="4" t="s">
        <v>23</v>
      </c>
      <c r="C895" s="4" t="s">
        <v>21</v>
      </c>
      <c r="D895" s="4">
        <v>2034</v>
      </c>
      <c r="E895" s="4">
        <v>2846.6252916602762</v>
      </c>
      <c r="F895" s="4" t="s">
        <v>29</v>
      </c>
    </row>
    <row r="896" spans="1:6" x14ac:dyDescent="0.25">
      <c r="A896" s="4" t="s">
        <v>76</v>
      </c>
      <c r="B896" s="4" t="s">
        <v>23</v>
      </c>
      <c r="C896" s="4" t="s">
        <v>21</v>
      </c>
      <c r="D896" s="4">
        <v>2035</v>
      </c>
      <c r="E896" s="4">
        <v>2851.0058895152529</v>
      </c>
      <c r="F896" s="4" t="s">
        <v>29</v>
      </c>
    </row>
    <row r="897" spans="1:6" x14ac:dyDescent="0.25">
      <c r="A897" s="4" t="s">
        <v>76</v>
      </c>
      <c r="B897" s="4" t="s">
        <v>23</v>
      </c>
      <c r="C897" s="4" t="s">
        <v>21</v>
      </c>
      <c r="D897" s="4">
        <v>2036</v>
      </c>
      <c r="E897" s="4">
        <v>2860.3662810300943</v>
      </c>
      <c r="F897" s="4" t="s">
        <v>29</v>
      </c>
    </row>
    <row r="898" spans="1:6" x14ac:dyDescent="0.25">
      <c r="A898" s="4" t="s">
        <v>76</v>
      </c>
      <c r="B898" s="4" t="s">
        <v>23</v>
      </c>
      <c r="C898" s="4" t="s">
        <v>21</v>
      </c>
      <c r="D898" s="4">
        <v>2037</v>
      </c>
      <c r="E898" s="4">
        <v>2860.8240830031282</v>
      </c>
      <c r="F898" s="4" t="s">
        <v>29</v>
      </c>
    </row>
    <row r="899" spans="1:6" x14ac:dyDescent="0.25">
      <c r="A899" s="4" t="s">
        <v>76</v>
      </c>
      <c r="B899" s="4" t="s">
        <v>23</v>
      </c>
      <c r="C899" s="4" t="s">
        <v>21</v>
      </c>
      <c r="D899" s="4">
        <v>2038</v>
      </c>
      <c r="E899" s="4">
        <v>2863.5630399055535</v>
      </c>
      <c r="F899" s="4" t="s">
        <v>29</v>
      </c>
    </row>
    <row r="900" spans="1:6" x14ac:dyDescent="0.25">
      <c r="A900" s="4" t="s">
        <v>76</v>
      </c>
      <c r="B900" s="4" t="s">
        <v>23</v>
      </c>
      <c r="C900" s="4" t="s">
        <v>21</v>
      </c>
      <c r="D900" s="4">
        <v>2039</v>
      </c>
      <c r="E900" s="4">
        <v>2872.569884495726</v>
      </c>
      <c r="F900" s="4" t="s">
        <v>29</v>
      </c>
    </row>
    <row r="901" spans="1:6" x14ac:dyDescent="0.25">
      <c r="A901" s="4" t="s">
        <v>76</v>
      </c>
      <c r="B901" s="4" t="s">
        <v>23</v>
      </c>
      <c r="C901" s="4" t="s">
        <v>21</v>
      </c>
      <c r="D901" s="4">
        <v>2040</v>
      </c>
      <c r="E901" s="4">
        <v>2885.8934506431474</v>
      </c>
      <c r="F901" s="4" t="s">
        <v>29</v>
      </c>
    </row>
    <row r="902" spans="1:6" x14ac:dyDescent="0.25">
      <c r="A902" s="4" t="s">
        <v>77</v>
      </c>
      <c r="B902" s="4" t="s">
        <v>1</v>
      </c>
      <c r="C902" s="4" t="s">
        <v>21</v>
      </c>
      <c r="D902" s="4">
        <v>2005</v>
      </c>
      <c r="E902" s="4">
        <v>380</v>
      </c>
      <c r="F902" s="4" t="s">
        <v>29</v>
      </c>
    </row>
    <row r="903" spans="1:6" x14ac:dyDescent="0.25">
      <c r="A903" s="4" t="s">
        <v>77</v>
      </c>
      <c r="B903" s="4" t="s">
        <v>1</v>
      </c>
      <c r="C903" s="4" t="s">
        <v>21</v>
      </c>
      <c r="D903" s="4">
        <v>2006</v>
      </c>
      <c r="E903" s="4">
        <v>340</v>
      </c>
      <c r="F903" s="4" t="s">
        <v>29</v>
      </c>
    </row>
    <row r="904" spans="1:6" x14ac:dyDescent="0.25">
      <c r="A904" s="4" t="s">
        <v>77</v>
      </c>
      <c r="B904" s="4" t="s">
        <v>1</v>
      </c>
      <c r="C904" s="4" t="s">
        <v>21</v>
      </c>
      <c r="D904" s="4">
        <v>2007</v>
      </c>
      <c r="E904" s="4">
        <v>300</v>
      </c>
      <c r="F904" s="4" t="s">
        <v>29</v>
      </c>
    </row>
    <row r="905" spans="1:6" x14ac:dyDescent="0.25">
      <c r="A905" s="4" t="s">
        <v>77</v>
      </c>
      <c r="B905" s="4" t="s">
        <v>1</v>
      </c>
      <c r="C905" s="4" t="s">
        <v>21</v>
      </c>
      <c r="D905" s="4">
        <v>2008</v>
      </c>
      <c r="E905" s="4">
        <v>270</v>
      </c>
      <c r="F905" s="4" t="s">
        <v>29</v>
      </c>
    </row>
    <row r="906" spans="1:6" x14ac:dyDescent="0.25">
      <c r="A906" s="4" t="s">
        <v>77</v>
      </c>
      <c r="B906" s="4" t="s">
        <v>1</v>
      </c>
      <c r="C906" s="4" t="s">
        <v>21</v>
      </c>
      <c r="D906" s="4">
        <v>2009</v>
      </c>
      <c r="E906" s="4">
        <v>250</v>
      </c>
      <c r="F906" s="4" t="s">
        <v>29</v>
      </c>
    </row>
    <row r="907" spans="1:6" x14ac:dyDescent="0.25">
      <c r="A907" s="4" t="s">
        <v>77</v>
      </c>
      <c r="B907" s="4" t="s">
        <v>1</v>
      </c>
      <c r="C907" s="4" t="s">
        <v>21</v>
      </c>
      <c r="D907" s="4">
        <v>2010</v>
      </c>
      <c r="E907" s="4">
        <v>240</v>
      </c>
      <c r="F907" s="4" t="s">
        <v>29</v>
      </c>
    </row>
    <row r="908" spans="1:6" x14ac:dyDescent="0.25">
      <c r="A908" s="4" t="s">
        <v>77</v>
      </c>
      <c r="B908" s="4" t="s">
        <v>1</v>
      </c>
      <c r="C908" s="4" t="s">
        <v>21</v>
      </c>
      <c r="D908" s="4">
        <v>2011</v>
      </c>
      <c r="E908" s="4">
        <v>220</v>
      </c>
      <c r="F908" s="4" t="s">
        <v>29</v>
      </c>
    </row>
    <row r="909" spans="1:6" x14ac:dyDescent="0.25">
      <c r="A909" s="4" t="s">
        <v>77</v>
      </c>
      <c r="B909" s="4" t="s">
        <v>1</v>
      </c>
      <c r="C909" s="4" t="s">
        <v>21</v>
      </c>
      <c r="D909" s="4">
        <v>2012</v>
      </c>
      <c r="E909" s="4">
        <v>220</v>
      </c>
      <c r="F909" s="4" t="s">
        <v>29</v>
      </c>
    </row>
    <row r="910" spans="1:6" x14ac:dyDescent="0.25">
      <c r="A910" s="4" t="s">
        <v>77</v>
      </c>
      <c r="B910" s="4" t="s">
        <v>1</v>
      </c>
      <c r="C910" s="4" t="s">
        <v>21</v>
      </c>
      <c r="D910" s="4">
        <v>2013</v>
      </c>
      <c r="E910" s="4">
        <v>200</v>
      </c>
      <c r="F910" s="4" t="s">
        <v>29</v>
      </c>
    </row>
    <row r="911" spans="1:6" x14ac:dyDescent="0.25">
      <c r="A911" s="4" t="s">
        <v>77</v>
      </c>
      <c r="B911" s="4" t="s">
        <v>1</v>
      </c>
      <c r="C911" s="4" t="s">
        <v>21</v>
      </c>
      <c r="D911" s="4">
        <v>2014</v>
      </c>
      <c r="E911" s="4">
        <v>190</v>
      </c>
      <c r="F911" s="4" t="s">
        <v>29</v>
      </c>
    </row>
    <row r="912" spans="1:6" x14ac:dyDescent="0.25">
      <c r="A912" s="4" t="s">
        <v>77</v>
      </c>
      <c r="B912" s="4" t="s">
        <v>1</v>
      </c>
      <c r="C912" s="4" t="s">
        <v>21</v>
      </c>
      <c r="D912" s="4">
        <v>2015</v>
      </c>
      <c r="E912" s="4">
        <v>157.3838965693806</v>
      </c>
      <c r="F912" s="4" t="s">
        <v>29</v>
      </c>
    </row>
    <row r="913" spans="1:6" x14ac:dyDescent="0.25">
      <c r="A913" s="4" t="s">
        <v>77</v>
      </c>
      <c r="B913" s="4" t="s">
        <v>1</v>
      </c>
      <c r="C913" s="4" t="s">
        <v>21</v>
      </c>
      <c r="D913" s="4">
        <v>2016</v>
      </c>
      <c r="E913" s="4">
        <v>155.15005760368666</v>
      </c>
      <c r="F913" s="4" t="s">
        <v>29</v>
      </c>
    </row>
    <row r="914" spans="1:6" x14ac:dyDescent="0.25">
      <c r="A914" s="4" t="s">
        <v>77</v>
      </c>
      <c r="B914" s="4" t="s">
        <v>1</v>
      </c>
      <c r="C914" s="4" t="s">
        <v>21</v>
      </c>
      <c r="D914" s="4">
        <v>2017</v>
      </c>
      <c r="E914" s="4">
        <v>94</v>
      </c>
      <c r="F914" s="4" t="s">
        <v>29</v>
      </c>
    </row>
    <row r="915" spans="1:6" x14ac:dyDescent="0.25">
      <c r="A915" s="4" t="s">
        <v>77</v>
      </c>
      <c r="B915" s="4" t="s">
        <v>1</v>
      </c>
      <c r="C915" s="4" t="s">
        <v>21</v>
      </c>
      <c r="D915" s="4">
        <v>2018</v>
      </c>
      <c r="E915" s="4">
        <v>124</v>
      </c>
      <c r="F915" s="4" t="s">
        <v>29</v>
      </c>
    </row>
    <row r="916" spans="1:6" x14ac:dyDescent="0.25">
      <c r="A916" s="4" t="s">
        <v>77</v>
      </c>
      <c r="B916" s="4" t="s">
        <v>1</v>
      </c>
      <c r="C916" s="4" t="s">
        <v>21</v>
      </c>
      <c r="D916" s="4">
        <v>2019</v>
      </c>
      <c r="E916" s="4">
        <v>129</v>
      </c>
      <c r="F916" s="4" t="s">
        <v>29</v>
      </c>
    </row>
    <row r="917" spans="1:6" x14ac:dyDescent="0.25">
      <c r="A917" s="4" t="s">
        <v>77</v>
      </c>
      <c r="B917" s="4" t="s">
        <v>1</v>
      </c>
      <c r="C917" s="4" t="s">
        <v>21</v>
      </c>
      <c r="D917" s="4">
        <v>2020</v>
      </c>
      <c r="E917" s="4">
        <v>135</v>
      </c>
      <c r="F917" s="4" t="s">
        <v>29</v>
      </c>
    </row>
    <row r="918" spans="1:6" x14ac:dyDescent="0.25">
      <c r="A918" s="4" t="s">
        <v>77</v>
      </c>
      <c r="B918" s="4" t="s">
        <v>1</v>
      </c>
      <c r="C918" s="4" t="s">
        <v>21</v>
      </c>
      <c r="D918" s="4">
        <v>2021</v>
      </c>
      <c r="E918" s="4">
        <v>147.54616102251788</v>
      </c>
      <c r="F918" s="4" t="s">
        <v>29</v>
      </c>
    </row>
    <row r="919" spans="1:6" x14ac:dyDescent="0.25">
      <c r="A919" s="4" t="s">
        <v>77</v>
      </c>
      <c r="B919" s="4" t="s">
        <v>1</v>
      </c>
      <c r="C919" s="4" t="s">
        <v>21</v>
      </c>
      <c r="D919" s="4">
        <v>2022</v>
      </c>
      <c r="E919" s="4">
        <v>146.0706994122927</v>
      </c>
      <c r="F919" s="4" t="s">
        <v>29</v>
      </c>
    </row>
    <row r="920" spans="1:6" x14ac:dyDescent="0.25">
      <c r="A920" s="4" t="s">
        <v>77</v>
      </c>
      <c r="B920" s="4" t="s">
        <v>1</v>
      </c>
      <c r="C920" s="4" t="s">
        <v>21</v>
      </c>
      <c r="D920" s="4">
        <v>2023</v>
      </c>
      <c r="E920" s="4">
        <v>144.60999241816978</v>
      </c>
      <c r="F920" s="4" t="s">
        <v>29</v>
      </c>
    </row>
    <row r="921" spans="1:6" x14ac:dyDescent="0.25">
      <c r="A921" s="4" t="s">
        <v>77</v>
      </c>
      <c r="B921" s="4" t="s">
        <v>1</v>
      </c>
      <c r="C921" s="4" t="s">
        <v>21</v>
      </c>
      <c r="D921" s="4">
        <v>2024</v>
      </c>
      <c r="E921" s="4">
        <v>143.16389249398807</v>
      </c>
      <c r="F921" s="4" t="s">
        <v>29</v>
      </c>
    </row>
    <row r="922" spans="1:6" x14ac:dyDescent="0.25">
      <c r="A922" s="4" t="s">
        <v>77</v>
      </c>
      <c r="B922" s="4" t="s">
        <v>1</v>
      </c>
      <c r="C922" s="4" t="s">
        <v>21</v>
      </c>
      <c r="D922" s="4">
        <v>2025</v>
      </c>
      <c r="E922" s="4">
        <v>141.7322535690482</v>
      </c>
      <c r="F922" s="4" t="s">
        <v>29</v>
      </c>
    </row>
    <row r="923" spans="1:6" x14ac:dyDescent="0.25">
      <c r="A923" s="4" t="s">
        <v>77</v>
      </c>
      <c r="B923" s="4" t="s">
        <v>1</v>
      </c>
      <c r="C923" s="4" t="s">
        <v>21</v>
      </c>
      <c r="D923" s="4">
        <v>2026</v>
      </c>
      <c r="E923" s="4">
        <v>138.91178172302412</v>
      </c>
      <c r="F923" s="4" t="s">
        <v>29</v>
      </c>
    </row>
    <row r="924" spans="1:6" x14ac:dyDescent="0.25">
      <c r="A924" s="4" t="s">
        <v>77</v>
      </c>
      <c r="B924" s="4" t="s">
        <v>1</v>
      </c>
      <c r="C924" s="4" t="s">
        <v>21</v>
      </c>
      <c r="D924" s="4">
        <v>2027</v>
      </c>
      <c r="E924" s="4">
        <v>136.13354608856363</v>
      </c>
      <c r="F924" s="4" t="s">
        <v>29</v>
      </c>
    </row>
    <row r="925" spans="1:6" x14ac:dyDescent="0.25">
      <c r="A925" s="4" t="s">
        <v>77</v>
      </c>
      <c r="B925" s="4" t="s">
        <v>1</v>
      </c>
      <c r="C925" s="4" t="s">
        <v>21</v>
      </c>
      <c r="D925" s="4">
        <v>2028</v>
      </c>
      <c r="E925" s="4">
        <v>132.02175734956211</v>
      </c>
      <c r="F925" s="4" t="s">
        <v>29</v>
      </c>
    </row>
    <row r="926" spans="1:6" x14ac:dyDescent="0.25">
      <c r="A926" s="4" t="s">
        <v>77</v>
      </c>
      <c r="B926" s="4" t="s">
        <v>1</v>
      </c>
      <c r="C926" s="4" t="s">
        <v>21</v>
      </c>
      <c r="D926" s="4">
        <v>2029</v>
      </c>
      <c r="E926" s="4">
        <v>129.34006540339914</v>
      </c>
      <c r="F926" s="4" t="s">
        <v>29</v>
      </c>
    </row>
    <row r="927" spans="1:6" x14ac:dyDescent="0.25">
      <c r="A927" s="4" t="s">
        <v>77</v>
      </c>
      <c r="B927" s="4" t="s">
        <v>1</v>
      </c>
      <c r="C927" s="4" t="s">
        <v>21</v>
      </c>
      <c r="D927" s="4">
        <v>2030</v>
      </c>
      <c r="E927" s="4">
        <v>126.69880512042445</v>
      </c>
      <c r="F927" s="4" t="s">
        <v>29</v>
      </c>
    </row>
    <row r="928" spans="1:6" x14ac:dyDescent="0.25">
      <c r="A928" s="4" t="s">
        <v>77</v>
      </c>
      <c r="B928" s="4" t="s">
        <v>1</v>
      </c>
      <c r="C928" s="4" t="s">
        <v>21</v>
      </c>
      <c r="D928" s="4">
        <v>2031</v>
      </c>
      <c r="E928" s="4">
        <v>124.09743603656895</v>
      </c>
      <c r="F928" s="4" t="s">
        <v>29</v>
      </c>
    </row>
    <row r="929" spans="1:6" x14ac:dyDescent="0.25">
      <c r="A929" s="4" t="s">
        <v>77</v>
      </c>
      <c r="B929" s="4" t="s">
        <v>1</v>
      </c>
      <c r="C929" s="4" t="s">
        <v>21</v>
      </c>
      <c r="D929" s="4">
        <v>2032</v>
      </c>
      <c r="E929" s="4">
        <v>121.53542445387848</v>
      </c>
      <c r="F929" s="4" t="s">
        <v>29</v>
      </c>
    </row>
    <row r="930" spans="1:6" x14ac:dyDescent="0.25">
      <c r="A930" s="4" t="s">
        <v>77</v>
      </c>
      <c r="B930" s="4" t="s">
        <v>1</v>
      </c>
      <c r="C930" s="4" t="s">
        <v>21</v>
      </c>
      <c r="D930" s="4">
        <v>2033</v>
      </c>
      <c r="E930" s="4">
        <v>120.32007020933968</v>
      </c>
      <c r="F930" s="4" t="s">
        <v>29</v>
      </c>
    </row>
    <row r="931" spans="1:6" x14ac:dyDescent="0.25">
      <c r="A931" s="4" t="s">
        <v>77</v>
      </c>
      <c r="B931" s="4" t="s">
        <v>1</v>
      </c>
      <c r="C931" s="4" t="s">
        <v>21</v>
      </c>
      <c r="D931" s="4">
        <v>2034</v>
      </c>
      <c r="E931" s="4">
        <v>117.82212092564578</v>
      </c>
      <c r="F931" s="4" t="s">
        <v>29</v>
      </c>
    </row>
    <row r="932" spans="1:6" x14ac:dyDescent="0.25">
      <c r="A932" s="4" t="s">
        <v>77</v>
      </c>
      <c r="B932" s="4" t="s">
        <v>1</v>
      </c>
      <c r="C932" s="4" t="s">
        <v>21</v>
      </c>
      <c r="D932" s="4">
        <v>2035</v>
      </c>
      <c r="E932" s="4">
        <v>115.36209862060481</v>
      </c>
      <c r="F932" s="4" t="s">
        <v>29</v>
      </c>
    </row>
    <row r="933" spans="1:6" x14ac:dyDescent="0.25">
      <c r="A933" s="4" t="s">
        <v>77</v>
      </c>
      <c r="B933" s="4" t="s">
        <v>1</v>
      </c>
      <c r="C933" s="4" t="s">
        <v>21</v>
      </c>
      <c r="D933" s="4">
        <v>2036</v>
      </c>
      <c r="E933" s="4">
        <v>114.20847763439876</v>
      </c>
      <c r="F933" s="4" t="s">
        <v>29</v>
      </c>
    </row>
    <row r="934" spans="1:6" x14ac:dyDescent="0.25">
      <c r="A934" s="4" t="s">
        <v>77</v>
      </c>
      <c r="B934" s="4" t="s">
        <v>1</v>
      </c>
      <c r="C934" s="4" t="s">
        <v>21</v>
      </c>
      <c r="D934" s="4">
        <v>2037</v>
      </c>
      <c r="E934" s="4">
        <v>111.81009960407638</v>
      </c>
      <c r="F934" s="4" t="s">
        <v>29</v>
      </c>
    </row>
    <row r="935" spans="1:6" x14ac:dyDescent="0.25">
      <c r="A935" s="4" t="s">
        <v>77</v>
      </c>
      <c r="B935" s="4" t="s">
        <v>1</v>
      </c>
      <c r="C935" s="4" t="s">
        <v>21</v>
      </c>
      <c r="D935" s="4">
        <v>2038</v>
      </c>
      <c r="E935" s="4">
        <v>109.44826828659701</v>
      </c>
      <c r="F935" s="4" t="s">
        <v>29</v>
      </c>
    </row>
    <row r="936" spans="1:6" x14ac:dyDescent="0.25">
      <c r="A936" s="4" t="s">
        <v>77</v>
      </c>
      <c r="B936" s="4" t="s">
        <v>1</v>
      </c>
      <c r="C936" s="4" t="s">
        <v>21</v>
      </c>
      <c r="D936" s="4">
        <v>2039</v>
      </c>
      <c r="E936" s="4">
        <v>108.35378560373104</v>
      </c>
      <c r="F936" s="4" t="s">
        <v>29</v>
      </c>
    </row>
    <row r="937" spans="1:6" x14ac:dyDescent="0.25">
      <c r="A937" s="4" t="s">
        <v>77</v>
      </c>
      <c r="B937" s="4" t="s">
        <v>1</v>
      </c>
      <c r="C937" s="4" t="s">
        <v>21</v>
      </c>
      <c r="D937" s="4">
        <v>2040</v>
      </c>
      <c r="E937" s="4">
        <v>106.05126765965176</v>
      </c>
      <c r="F937" s="4" t="s">
        <v>29</v>
      </c>
    </row>
    <row r="938" spans="1:6" x14ac:dyDescent="0.25">
      <c r="A938" s="4" t="s">
        <v>77</v>
      </c>
      <c r="B938" s="4" t="s">
        <v>23</v>
      </c>
      <c r="C938" s="4" t="s">
        <v>21</v>
      </c>
      <c r="D938" s="4">
        <v>2005</v>
      </c>
      <c r="E938" s="4">
        <v>380</v>
      </c>
      <c r="F938" s="4" t="s">
        <v>29</v>
      </c>
    </row>
    <row r="939" spans="1:6" x14ac:dyDescent="0.25">
      <c r="A939" s="4" t="s">
        <v>77</v>
      </c>
      <c r="B939" s="4" t="s">
        <v>23</v>
      </c>
      <c r="C939" s="4" t="s">
        <v>21</v>
      </c>
      <c r="D939" s="4">
        <v>2006</v>
      </c>
      <c r="E939" s="4">
        <v>340</v>
      </c>
      <c r="F939" s="4" t="s">
        <v>29</v>
      </c>
    </row>
    <row r="940" spans="1:6" x14ac:dyDescent="0.25">
      <c r="A940" s="4" t="s">
        <v>77</v>
      </c>
      <c r="B940" s="4" t="s">
        <v>23</v>
      </c>
      <c r="C940" s="4" t="s">
        <v>21</v>
      </c>
      <c r="D940" s="4">
        <v>2007</v>
      </c>
      <c r="E940" s="4">
        <v>300</v>
      </c>
      <c r="F940" s="4" t="s">
        <v>29</v>
      </c>
    </row>
    <row r="941" spans="1:6" x14ac:dyDescent="0.25">
      <c r="A941" s="4" t="s">
        <v>77</v>
      </c>
      <c r="B941" s="4" t="s">
        <v>23</v>
      </c>
      <c r="C941" s="4" t="s">
        <v>21</v>
      </c>
      <c r="D941" s="4">
        <v>2008</v>
      </c>
      <c r="E941" s="4">
        <v>270</v>
      </c>
      <c r="F941" s="4" t="s">
        <v>29</v>
      </c>
    </row>
    <row r="942" spans="1:6" x14ac:dyDescent="0.25">
      <c r="A942" s="4" t="s">
        <v>77</v>
      </c>
      <c r="B942" s="4" t="s">
        <v>23</v>
      </c>
      <c r="C942" s="4" t="s">
        <v>21</v>
      </c>
      <c r="D942" s="4">
        <v>2009</v>
      </c>
      <c r="E942" s="4">
        <v>250</v>
      </c>
      <c r="F942" s="4" t="s">
        <v>29</v>
      </c>
    </row>
    <row r="943" spans="1:6" x14ac:dyDescent="0.25">
      <c r="A943" s="4" t="s">
        <v>77</v>
      </c>
      <c r="B943" s="4" t="s">
        <v>23</v>
      </c>
      <c r="C943" s="4" t="s">
        <v>21</v>
      </c>
      <c r="D943" s="4">
        <v>2010</v>
      </c>
      <c r="E943" s="4">
        <v>240</v>
      </c>
      <c r="F943" s="4" t="s">
        <v>29</v>
      </c>
    </row>
    <row r="944" spans="1:6" x14ac:dyDescent="0.25">
      <c r="A944" s="4" t="s">
        <v>77</v>
      </c>
      <c r="B944" s="4" t="s">
        <v>23</v>
      </c>
      <c r="C944" s="4" t="s">
        <v>21</v>
      </c>
      <c r="D944" s="4">
        <v>2011</v>
      </c>
      <c r="E944" s="4">
        <v>220</v>
      </c>
      <c r="F944" s="4" t="s">
        <v>29</v>
      </c>
    </row>
    <row r="945" spans="1:6" x14ac:dyDescent="0.25">
      <c r="A945" s="4" t="s">
        <v>77</v>
      </c>
      <c r="B945" s="4" t="s">
        <v>23</v>
      </c>
      <c r="C945" s="4" t="s">
        <v>21</v>
      </c>
      <c r="D945" s="4">
        <v>2012</v>
      </c>
      <c r="E945" s="4">
        <v>220</v>
      </c>
      <c r="F945" s="4" t="s">
        <v>29</v>
      </c>
    </row>
    <row r="946" spans="1:6" x14ac:dyDescent="0.25">
      <c r="A946" s="4" t="s">
        <v>77</v>
      </c>
      <c r="B946" s="4" t="s">
        <v>23</v>
      </c>
      <c r="C946" s="4" t="s">
        <v>21</v>
      </c>
      <c r="D946" s="4">
        <v>2013</v>
      </c>
      <c r="E946" s="4">
        <v>200</v>
      </c>
      <c r="F946" s="4" t="s">
        <v>29</v>
      </c>
    </row>
    <row r="947" spans="1:6" x14ac:dyDescent="0.25">
      <c r="A947" s="4" t="s">
        <v>77</v>
      </c>
      <c r="B947" s="4" t="s">
        <v>23</v>
      </c>
      <c r="C947" s="4" t="s">
        <v>21</v>
      </c>
      <c r="D947" s="4">
        <v>2014</v>
      </c>
      <c r="E947" s="4">
        <v>190</v>
      </c>
      <c r="F947" s="4" t="s">
        <v>29</v>
      </c>
    </row>
    <row r="948" spans="1:6" x14ac:dyDescent="0.25">
      <c r="A948" s="4" t="s">
        <v>77</v>
      </c>
      <c r="B948" s="4" t="s">
        <v>23</v>
      </c>
      <c r="C948" s="4" t="s">
        <v>21</v>
      </c>
      <c r="D948" s="4">
        <v>2015</v>
      </c>
      <c r="E948" s="4">
        <v>157.3838965693806</v>
      </c>
      <c r="F948" s="4" t="s">
        <v>29</v>
      </c>
    </row>
    <row r="949" spans="1:6" x14ac:dyDescent="0.25">
      <c r="A949" s="4" t="s">
        <v>77</v>
      </c>
      <c r="B949" s="4" t="s">
        <v>23</v>
      </c>
      <c r="C949" s="4" t="s">
        <v>21</v>
      </c>
      <c r="D949" s="4">
        <v>2016</v>
      </c>
      <c r="E949" s="4">
        <v>155.15005760368666</v>
      </c>
      <c r="F949" s="4" t="s">
        <v>29</v>
      </c>
    </row>
    <row r="950" spans="1:6" x14ac:dyDescent="0.25">
      <c r="A950" s="4" t="s">
        <v>77</v>
      </c>
      <c r="B950" s="4" t="s">
        <v>23</v>
      </c>
      <c r="C950" s="4" t="s">
        <v>21</v>
      </c>
      <c r="D950" s="4">
        <v>2017</v>
      </c>
      <c r="E950" s="4">
        <v>94</v>
      </c>
      <c r="F950" s="4" t="s">
        <v>29</v>
      </c>
    </row>
    <row r="951" spans="1:6" x14ac:dyDescent="0.25">
      <c r="A951" s="4" t="s">
        <v>77</v>
      </c>
      <c r="B951" s="4" t="s">
        <v>23</v>
      </c>
      <c r="C951" s="4" t="s">
        <v>21</v>
      </c>
      <c r="D951" s="4">
        <v>2018</v>
      </c>
      <c r="E951" s="4">
        <v>124</v>
      </c>
      <c r="F951" s="4" t="s">
        <v>29</v>
      </c>
    </row>
    <row r="952" spans="1:6" x14ac:dyDescent="0.25">
      <c r="A952" s="4" t="s">
        <v>77</v>
      </c>
      <c r="B952" s="4" t="s">
        <v>23</v>
      </c>
      <c r="C952" s="4" t="s">
        <v>21</v>
      </c>
      <c r="D952" s="4">
        <v>2019</v>
      </c>
      <c r="E952" s="4">
        <v>129</v>
      </c>
      <c r="F952" s="4" t="s">
        <v>29</v>
      </c>
    </row>
    <row r="953" spans="1:6" x14ac:dyDescent="0.25">
      <c r="A953" s="4" t="s">
        <v>77</v>
      </c>
      <c r="B953" s="4" t="s">
        <v>23</v>
      </c>
      <c r="C953" s="4" t="s">
        <v>21</v>
      </c>
      <c r="D953" s="4">
        <v>2020</v>
      </c>
      <c r="E953" s="4">
        <v>135</v>
      </c>
      <c r="F953" s="4" t="s">
        <v>29</v>
      </c>
    </row>
    <row r="954" spans="1:6" x14ac:dyDescent="0.25">
      <c r="A954" s="4" t="s">
        <v>77</v>
      </c>
      <c r="B954" s="4" t="s">
        <v>23</v>
      </c>
      <c r="C954" s="4" t="s">
        <v>21</v>
      </c>
      <c r="D954" s="4">
        <v>2021</v>
      </c>
      <c r="E954" s="4">
        <v>147.54616102251788</v>
      </c>
      <c r="F954" s="4" t="s">
        <v>29</v>
      </c>
    </row>
    <row r="955" spans="1:6" x14ac:dyDescent="0.25">
      <c r="A955" s="4" t="s">
        <v>77</v>
      </c>
      <c r="B955" s="4" t="s">
        <v>23</v>
      </c>
      <c r="C955" s="4" t="s">
        <v>21</v>
      </c>
      <c r="D955" s="4">
        <v>2022</v>
      </c>
      <c r="E955" s="4">
        <v>146.0706994122927</v>
      </c>
      <c r="F955" s="4" t="s">
        <v>29</v>
      </c>
    </row>
    <row r="956" spans="1:6" x14ac:dyDescent="0.25">
      <c r="A956" s="4" t="s">
        <v>77</v>
      </c>
      <c r="B956" s="4" t="s">
        <v>23</v>
      </c>
      <c r="C956" s="4" t="s">
        <v>21</v>
      </c>
      <c r="D956" s="4">
        <v>2023</v>
      </c>
      <c r="E956" s="4">
        <v>144.60999241816978</v>
      </c>
      <c r="F956" s="4" t="s">
        <v>29</v>
      </c>
    </row>
    <row r="957" spans="1:6" x14ac:dyDescent="0.25">
      <c r="A957" s="4" t="s">
        <v>77</v>
      </c>
      <c r="B957" s="4" t="s">
        <v>23</v>
      </c>
      <c r="C957" s="4" t="s">
        <v>21</v>
      </c>
      <c r="D957" s="4">
        <v>2024</v>
      </c>
      <c r="E957" s="4">
        <v>143.16389249398807</v>
      </c>
      <c r="F957" s="4" t="s">
        <v>29</v>
      </c>
    </row>
    <row r="958" spans="1:6" x14ac:dyDescent="0.25">
      <c r="A958" s="4" t="s">
        <v>77</v>
      </c>
      <c r="B958" s="4" t="s">
        <v>23</v>
      </c>
      <c r="C958" s="4" t="s">
        <v>21</v>
      </c>
      <c r="D958" s="4">
        <v>2025</v>
      </c>
      <c r="E958" s="4">
        <v>141.7322535690482</v>
      </c>
      <c r="F958" s="4" t="s">
        <v>29</v>
      </c>
    </row>
    <row r="959" spans="1:6" x14ac:dyDescent="0.25">
      <c r="A959" s="4" t="s">
        <v>77</v>
      </c>
      <c r="B959" s="4" t="s">
        <v>23</v>
      </c>
      <c r="C959" s="4" t="s">
        <v>21</v>
      </c>
      <c r="D959" s="4">
        <v>2026</v>
      </c>
      <c r="E959" s="4">
        <v>138.91178172302412</v>
      </c>
      <c r="F959" s="4" t="s">
        <v>29</v>
      </c>
    </row>
    <row r="960" spans="1:6" x14ac:dyDescent="0.25">
      <c r="A960" s="4" t="s">
        <v>77</v>
      </c>
      <c r="B960" s="4" t="s">
        <v>23</v>
      </c>
      <c r="C960" s="4" t="s">
        <v>21</v>
      </c>
      <c r="D960" s="4">
        <v>2027</v>
      </c>
      <c r="E960" s="4">
        <v>136.13354608856363</v>
      </c>
      <c r="F960" s="4" t="s">
        <v>29</v>
      </c>
    </row>
    <row r="961" spans="1:6" x14ac:dyDescent="0.25">
      <c r="A961" s="4" t="s">
        <v>77</v>
      </c>
      <c r="B961" s="4" t="s">
        <v>23</v>
      </c>
      <c r="C961" s="4" t="s">
        <v>21</v>
      </c>
      <c r="D961" s="4">
        <v>2028</v>
      </c>
      <c r="E961" s="4">
        <v>132.02175734956211</v>
      </c>
      <c r="F961" s="4" t="s">
        <v>29</v>
      </c>
    </row>
    <row r="962" spans="1:6" x14ac:dyDescent="0.25">
      <c r="A962" s="4" t="s">
        <v>77</v>
      </c>
      <c r="B962" s="4" t="s">
        <v>23</v>
      </c>
      <c r="C962" s="4" t="s">
        <v>21</v>
      </c>
      <c r="D962" s="4">
        <v>2029</v>
      </c>
      <c r="E962" s="4">
        <v>129.34006540339914</v>
      </c>
      <c r="F962" s="4" t="s">
        <v>29</v>
      </c>
    </row>
    <row r="963" spans="1:6" x14ac:dyDescent="0.25">
      <c r="A963" s="4" t="s">
        <v>77</v>
      </c>
      <c r="B963" s="4" t="s">
        <v>23</v>
      </c>
      <c r="C963" s="4" t="s">
        <v>21</v>
      </c>
      <c r="D963" s="4">
        <v>2030</v>
      </c>
      <c r="E963" s="4">
        <v>126.69880512042445</v>
      </c>
      <c r="F963" s="4" t="s">
        <v>29</v>
      </c>
    </row>
    <row r="964" spans="1:6" x14ac:dyDescent="0.25">
      <c r="A964" s="4" t="s">
        <v>77</v>
      </c>
      <c r="B964" s="4" t="s">
        <v>23</v>
      </c>
      <c r="C964" s="4" t="s">
        <v>21</v>
      </c>
      <c r="D964" s="4">
        <v>2031</v>
      </c>
      <c r="E964" s="4">
        <v>124.09743603656895</v>
      </c>
      <c r="F964" s="4" t="s">
        <v>29</v>
      </c>
    </row>
    <row r="965" spans="1:6" x14ac:dyDescent="0.25">
      <c r="A965" s="4" t="s">
        <v>77</v>
      </c>
      <c r="B965" s="4" t="s">
        <v>23</v>
      </c>
      <c r="C965" s="4" t="s">
        <v>21</v>
      </c>
      <c r="D965" s="4">
        <v>2032</v>
      </c>
      <c r="E965" s="4">
        <v>121.53542445387848</v>
      </c>
      <c r="F965" s="4" t="s">
        <v>29</v>
      </c>
    </row>
    <row r="966" spans="1:6" x14ac:dyDescent="0.25">
      <c r="A966" s="4" t="s">
        <v>77</v>
      </c>
      <c r="B966" s="4" t="s">
        <v>23</v>
      </c>
      <c r="C966" s="4" t="s">
        <v>21</v>
      </c>
      <c r="D966" s="4">
        <v>2033</v>
      </c>
      <c r="E966" s="4">
        <v>120.32007020933968</v>
      </c>
      <c r="F966" s="4" t="s">
        <v>29</v>
      </c>
    </row>
    <row r="967" spans="1:6" x14ac:dyDescent="0.25">
      <c r="A967" s="4" t="s">
        <v>77</v>
      </c>
      <c r="B967" s="4" t="s">
        <v>23</v>
      </c>
      <c r="C967" s="4" t="s">
        <v>21</v>
      </c>
      <c r="D967" s="4">
        <v>2034</v>
      </c>
      <c r="E967" s="4">
        <v>117.82212092564578</v>
      </c>
      <c r="F967" s="4" t="s">
        <v>29</v>
      </c>
    </row>
    <row r="968" spans="1:6" x14ac:dyDescent="0.25">
      <c r="A968" s="4" t="s">
        <v>77</v>
      </c>
      <c r="B968" s="4" t="s">
        <v>23</v>
      </c>
      <c r="C968" s="4" t="s">
        <v>21</v>
      </c>
      <c r="D968" s="4">
        <v>2035</v>
      </c>
      <c r="E968" s="4">
        <v>115.36209862060481</v>
      </c>
      <c r="F968" s="4" t="s">
        <v>29</v>
      </c>
    </row>
    <row r="969" spans="1:6" x14ac:dyDescent="0.25">
      <c r="A969" s="4" t="s">
        <v>77</v>
      </c>
      <c r="B969" s="4" t="s">
        <v>23</v>
      </c>
      <c r="C969" s="4" t="s">
        <v>21</v>
      </c>
      <c r="D969" s="4">
        <v>2036</v>
      </c>
      <c r="E969" s="4">
        <v>114.20847763439876</v>
      </c>
      <c r="F969" s="4" t="s">
        <v>29</v>
      </c>
    </row>
    <row r="970" spans="1:6" x14ac:dyDescent="0.25">
      <c r="A970" s="4" t="s">
        <v>77</v>
      </c>
      <c r="B970" s="4" t="s">
        <v>23</v>
      </c>
      <c r="C970" s="4" t="s">
        <v>21</v>
      </c>
      <c r="D970" s="4">
        <v>2037</v>
      </c>
      <c r="E970" s="4">
        <v>111.81009960407638</v>
      </c>
      <c r="F970" s="4" t="s">
        <v>29</v>
      </c>
    </row>
    <row r="971" spans="1:6" x14ac:dyDescent="0.25">
      <c r="A971" s="4" t="s">
        <v>77</v>
      </c>
      <c r="B971" s="4" t="s">
        <v>23</v>
      </c>
      <c r="C971" s="4" t="s">
        <v>21</v>
      </c>
      <c r="D971" s="4">
        <v>2038</v>
      </c>
      <c r="E971" s="4">
        <v>109.44826828659701</v>
      </c>
      <c r="F971" s="4" t="s">
        <v>29</v>
      </c>
    </row>
    <row r="972" spans="1:6" x14ac:dyDescent="0.25">
      <c r="A972" s="4" t="s">
        <v>77</v>
      </c>
      <c r="B972" s="4" t="s">
        <v>23</v>
      </c>
      <c r="C972" s="4" t="s">
        <v>21</v>
      </c>
      <c r="D972" s="4">
        <v>2039</v>
      </c>
      <c r="E972" s="4">
        <v>108.35378560373104</v>
      </c>
      <c r="F972" s="4" t="s">
        <v>29</v>
      </c>
    </row>
    <row r="973" spans="1:6" x14ac:dyDescent="0.25">
      <c r="A973" s="4" t="s">
        <v>77</v>
      </c>
      <c r="B973" s="4" t="s">
        <v>23</v>
      </c>
      <c r="C973" s="4" t="s">
        <v>21</v>
      </c>
      <c r="D973" s="4">
        <v>2040</v>
      </c>
      <c r="E973" s="4">
        <v>106.05126765965176</v>
      </c>
      <c r="F973" s="4" t="s">
        <v>29</v>
      </c>
    </row>
    <row r="974" spans="1:6" x14ac:dyDescent="0.25">
      <c r="A974" s="4" t="s">
        <v>78</v>
      </c>
      <c r="B974" s="4" t="s">
        <v>1</v>
      </c>
      <c r="C974" s="4" t="s">
        <v>21</v>
      </c>
      <c r="D974" s="4">
        <v>2005</v>
      </c>
      <c r="E974" s="4">
        <v>0</v>
      </c>
      <c r="F974" s="4" t="s">
        <v>29</v>
      </c>
    </row>
    <row r="975" spans="1:6" x14ac:dyDescent="0.25">
      <c r="A975" s="4" t="s">
        <v>78</v>
      </c>
      <c r="B975" s="4" t="s">
        <v>1</v>
      </c>
      <c r="C975" s="4" t="s">
        <v>21</v>
      </c>
      <c r="D975" s="4">
        <v>2006</v>
      </c>
      <c r="E975" s="4">
        <v>0</v>
      </c>
      <c r="F975" s="4" t="s">
        <v>29</v>
      </c>
    </row>
    <row r="976" spans="1:6" x14ac:dyDescent="0.25">
      <c r="A976" s="4" t="s">
        <v>78</v>
      </c>
      <c r="B976" s="4" t="s">
        <v>1</v>
      </c>
      <c r="C976" s="4" t="s">
        <v>21</v>
      </c>
      <c r="D976" s="4">
        <v>2007</v>
      </c>
      <c r="E976" s="4">
        <v>0</v>
      </c>
      <c r="F976" s="4" t="s">
        <v>29</v>
      </c>
    </row>
    <row r="977" spans="1:6" x14ac:dyDescent="0.25">
      <c r="A977" s="4" t="s">
        <v>78</v>
      </c>
      <c r="B977" s="4" t="s">
        <v>1</v>
      </c>
      <c r="C977" s="4" t="s">
        <v>21</v>
      </c>
      <c r="D977" s="4">
        <v>2008</v>
      </c>
      <c r="E977" s="4">
        <v>0</v>
      </c>
      <c r="F977" s="4" t="s">
        <v>29</v>
      </c>
    </row>
    <row r="978" spans="1:6" x14ac:dyDescent="0.25">
      <c r="A978" s="4" t="s">
        <v>78</v>
      </c>
      <c r="B978" s="4" t="s">
        <v>1</v>
      </c>
      <c r="C978" s="4" t="s">
        <v>21</v>
      </c>
      <c r="D978" s="4">
        <v>2009</v>
      </c>
      <c r="E978" s="4">
        <v>0</v>
      </c>
      <c r="F978" s="4" t="s">
        <v>29</v>
      </c>
    </row>
    <row r="979" spans="1:6" x14ac:dyDescent="0.25">
      <c r="A979" s="4" t="s">
        <v>78</v>
      </c>
      <c r="B979" s="4" t="s">
        <v>1</v>
      </c>
      <c r="C979" s="4" t="s">
        <v>21</v>
      </c>
      <c r="D979" s="4">
        <v>2010</v>
      </c>
      <c r="E979" s="4">
        <v>0</v>
      </c>
      <c r="F979" s="4" t="s">
        <v>29</v>
      </c>
    </row>
    <row r="980" spans="1:6" x14ac:dyDescent="0.25">
      <c r="A980" s="4" t="s">
        <v>78</v>
      </c>
      <c r="B980" s="4" t="s">
        <v>1</v>
      </c>
      <c r="C980" s="4" t="s">
        <v>21</v>
      </c>
      <c r="D980" s="4">
        <v>2011</v>
      </c>
      <c r="E980" s="4">
        <v>0</v>
      </c>
      <c r="F980" s="4" t="s">
        <v>29</v>
      </c>
    </row>
    <row r="981" spans="1:6" x14ac:dyDescent="0.25">
      <c r="A981" s="4" t="s">
        <v>78</v>
      </c>
      <c r="B981" s="4" t="s">
        <v>1</v>
      </c>
      <c r="C981" s="4" t="s">
        <v>21</v>
      </c>
      <c r="D981" s="4">
        <v>2012</v>
      </c>
      <c r="E981" s="4">
        <v>0</v>
      </c>
      <c r="F981" s="4" t="s">
        <v>29</v>
      </c>
    </row>
    <row r="982" spans="1:6" x14ac:dyDescent="0.25">
      <c r="A982" s="4" t="s">
        <v>78</v>
      </c>
      <c r="B982" s="4" t="s">
        <v>1</v>
      </c>
      <c r="C982" s="4" t="s">
        <v>21</v>
      </c>
      <c r="D982" s="4">
        <v>2013</v>
      </c>
      <c r="E982" s="4">
        <v>0</v>
      </c>
      <c r="F982" s="4" t="s">
        <v>29</v>
      </c>
    </row>
    <row r="983" spans="1:6" x14ac:dyDescent="0.25">
      <c r="A983" s="4" t="s">
        <v>78</v>
      </c>
      <c r="B983" s="4" t="s">
        <v>1</v>
      </c>
      <c r="C983" s="4" t="s">
        <v>21</v>
      </c>
      <c r="D983" s="4">
        <v>2014</v>
      </c>
      <c r="E983" s="4">
        <v>0</v>
      </c>
      <c r="F983" s="4" t="s">
        <v>29</v>
      </c>
    </row>
    <row r="984" spans="1:6" x14ac:dyDescent="0.25">
      <c r="A984" s="4" t="s">
        <v>78</v>
      </c>
      <c r="B984" s="4" t="s">
        <v>1</v>
      </c>
      <c r="C984" s="4" t="s">
        <v>21</v>
      </c>
      <c r="D984" s="4">
        <v>2015</v>
      </c>
      <c r="E984" s="4">
        <v>0</v>
      </c>
      <c r="F984" s="4" t="s">
        <v>29</v>
      </c>
    </row>
    <row r="985" spans="1:6" x14ac:dyDescent="0.25">
      <c r="A985" s="4" t="s">
        <v>78</v>
      </c>
      <c r="B985" s="4" t="s">
        <v>1</v>
      </c>
      <c r="C985" s="4" t="s">
        <v>21</v>
      </c>
      <c r="D985" s="4">
        <v>2016</v>
      </c>
      <c r="E985" s="4">
        <v>0</v>
      </c>
      <c r="F985" s="4" t="s">
        <v>29</v>
      </c>
    </row>
    <row r="986" spans="1:6" x14ac:dyDescent="0.25">
      <c r="A986" s="4" t="s">
        <v>78</v>
      </c>
      <c r="B986" s="4" t="s">
        <v>1</v>
      </c>
      <c r="C986" s="4" t="s">
        <v>21</v>
      </c>
      <c r="D986" s="4">
        <v>2017</v>
      </c>
      <c r="E986" s="4">
        <v>0</v>
      </c>
      <c r="F986" s="4" t="s">
        <v>29</v>
      </c>
    </row>
    <row r="987" spans="1:6" x14ac:dyDescent="0.25">
      <c r="A987" s="4" t="s">
        <v>78</v>
      </c>
      <c r="B987" s="4" t="s">
        <v>1</v>
      </c>
      <c r="C987" s="4" t="s">
        <v>21</v>
      </c>
      <c r="D987" s="4">
        <v>2018</v>
      </c>
      <c r="E987" s="4">
        <v>0</v>
      </c>
      <c r="F987" s="4" t="s">
        <v>29</v>
      </c>
    </row>
    <row r="988" spans="1:6" x14ac:dyDescent="0.25">
      <c r="A988" s="4" t="s">
        <v>78</v>
      </c>
      <c r="B988" s="4" t="s">
        <v>1</v>
      </c>
      <c r="C988" s="4" t="s">
        <v>21</v>
      </c>
      <c r="D988" s="4">
        <v>2019</v>
      </c>
      <c r="E988" s="4">
        <v>0</v>
      </c>
      <c r="F988" s="4" t="s">
        <v>29</v>
      </c>
    </row>
    <row r="989" spans="1:6" x14ac:dyDescent="0.25">
      <c r="A989" s="4" t="s">
        <v>78</v>
      </c>
      <c r="B989" s="4" t="s">
        <v>1</v>
      </c>
      <c r="C989" s="4" t="s">
        <v>21</v>
      </c>
      <c r="D989" s="4">
        <v>2020</v>
      </c>
      <c r="E989" s="4">
        <v>0</v>
      </c>
      <c r="F989" s="4" t="s">
        <v>29</v>
      </c>
    </row>
    <row r="990" spans="1:6" x14ac:dyDescent="0.25">
      <c r="A990" s="4" t="s">
        <v>78</v>
      </c>
      <c r="B990" s="4" t="s">
        <v>1</v>
      </c>
      <c r="C990" s="4" t="s">
        <v>21</v>
      </c>
      <c r="D990" s="4">
        <v>2021</v>
      </c>
      <c r="E990" s="4">
        <v>0</v>
      </c>
      <c r="F990" s="4" t="s">
        <v>29</v>
      </c>
    </row>
    <row r="991" spans="1:6" x14ac:dyDescent="0.25">
      <c r="A991" s="4" t="s">
        <v>78</v>
      </c>
      <c r="B991" s="4" t="s">
        <v>1</v>
      </c>
      <c r="C991" s="4" t="s">
        <v>21</v>
      </c>
      <c r="D991" s="4">
        <v>2022</v>
      </c>
      <c r="E991" s="4">
        <v>0</v>
      </c>
      <c r="F991" s="4" t="s">
        <v>29</v>
      </c>
    </row>
    <row r="992" spans="1:6" x14ac:dyDescent="0.25">
      <c r="A992" s="4" t="s">
        <v>78</v>
      </c>
      <c r="B992" s="4" t="s">
        <v>1</v>
      </c>
      <c r="C992" s="4" t="s">
        <v>21</v>
      </c>
      <c r="D992" s="4">
        <v>2023</v>
      </c>
      <c r="E992" s="4">
        <v>0</v>
      </c>
      <c r="F992" s="4" t="s">
        <v>29</v>
      </c>
    </row>
    <row r="993" spans="1:6" x14ac:dyDescent="0.25">
      <c r="A993" s="4" t="s">
        <v>78</v>
      </c>
      <c r="B993" s="4" t="s">
        <v>1</v>
      </c>
      <c r="C993" s="4" t="s">
        <v>21</v>
      </c>
      <c r="D993" s="4">
        <v>2024</v>
      </c>
      <c r="E993" s="4">
        <v>0</v>
      </c>
      <c r="F993" s="4" t="s">
        <v>29</v>
      </c>
    </row>
    <row r="994" spans="1:6" x14ac:dyDescent="0.25">
      <c r="A994" s="4" t="s">
        <v>78</v>
      </c>
      <c r="B994" s="4" t="s">
        <v>1</v>
      </c>
      <c r="C994" s="4" t="s">
        <v>21</v>
      </c>
      <c r="D994" s="4">
        <v>2025</v>
      </c>
      <c r="E994" s="4">
        <v>0</v>
      </c>
      <c r="F994" s="4" t="s">
        <v>29</v>
      </c>
    </row>
    <row r="995" spans="1:6" x14ac:dyDescent="0.25">
      <c r="A995" s="4" t="s">
        <v>78</v>
      </c>
      <c r="B995" s="4" t="s">
        <v>1</v>
      </c>
      <c r="C995" s="4" t="s">
        <v>21</v>
      </c>
      <c r="D995" s="4">
        <v>2026</v>
      </c>
      <c r="E995" s="4">
        <v>0</v>
      </c>
      <c r="F995" s="4" t="s">
        <v>29</v>
      </c>
    </row>
    <row r="996" spans="1:6" x14ac:dyDescent="0.25">
      <c r="A996" s="4" t="s">
        <v>78</v>
      </c>
      <c r="B996" s="4" t="s">
        <v>1</v>
      </c>
      <c r="C996" s="4" t="s">
        <v>21</v>
      </c>
      <c r="D996" s="4">
        <v>2027</v>
      </c>
      <c r="E996" s="4">
        <v>0</v>
      </c>
      <c r="F996" s="4" t="s">
        <v>29</v>
      </c>
    </row>
    <row r="997" spans="1:6" x14ac:dyDescent="0.25">
      <c r="A997" s="4" t="s">
        <v>78</v>
      </c>
      <c r="B997" s="4" t="s">
        <v>1</v>
      </c>
      <c r="C997" s="4" t="s">
        <v>21</v>
      </c>
      <c r="D997" s="4">
        <v>2028</v>
      </c>
      <c r="E997" s="4">
        <v>0</v>
      </c>
      <c r="F997" s="4" t="s">
        <v>29</v>
      </c>
    </row>
    <row r="998" spans="1:6" x14ac:dyDescent="0.25">
      <c r="A998" s="4" t="s">
        <v>78</v>
      </c>
      <c r="B998" s="4" t="s">
        <v>1</v>
      </c>
      <c r="C998" s="4" t="s">
        <v>21</v>
      </c>
      <c r="D998" s="4">
        <v>2029</v>
      </c>
      <c r="E998" s="4">
        <v>0</v>
      </c>
      <c r="F998" s="4" t="s">
        <v>29</v>
      </c>
    </row>
    <row r="999" spans="1:6" x14ac:dyDescent="0.25">
      <c r="A999" s="4" t="s">
        <v>78</v>
      </c>
      <c r="B999" s="4" t="s">
        <v>1</v>
      </c>
      <c r="C999" s="4" t="s">
        <v>21</v>
      </c>
      <c r="D999" s="4">
        <v>2030</v>
      </c>
      <c r="E999" s="4">
        <v>0</v>
      </c>
      <c r="F999" s="4" t="s">
        <v>29</v>
      </c>
    </row>
    <row r="1000" spans="1:6" x14ac:dyDescent="0.25">
      <c r="A1000" s="4" t="s">
        <v>78</v>
      </c>
      <c r="B1000" s="4" t="s">
        <v>1</v>
      </c>
      <c r="C1000" s="4" t="s">
        <v>21</v>
      </c>
      <c r="D1000" s="4">
        <v>2031</v>
      </c>
      <c r="E1000" s="4">
        <v>0</v>
      </c>
      <c r="F1000" s="4" t="s">
        <v>29</v>
      </c>
    </row>
    <row r="1001" spans="1:6" x14ac:dyDescent="0.25">
      <c r="A1001" s="4" t="s">
        <v>78</v>
      </c>
      <c r="B1001" s="4" t="s">
        <v>1</v>
      </c>
      <c r="C1001" s="4" t="s">
        <v>21</v>
      </c>
      <c r="D1001" s="4">
        <v>2032</v>
      </c>
      <c r="E1001" s="4">
        <v>0</v>
      </c>
      <c r="F1001" s="4" t="s">
        <v>29</v>
      </c>
    </row>
    <row r="1002" spans="1:6" x14ac:dyDescent="0.25">
      <c r="A1002" s="4" t="s">
        <v>78</v>
      </c>
      <c r="B1002" s="4" t="s">
        <v>1</v>
      </c>
      <c r="C1002" s="4" t="s">
        <v>21</v>
      </c>
      <c r="D1002" s="4">
        <v>2033</v>
      </c>
      <c r="E1002" s="4">
        <v>0</v>
      </c>
      <c r="F1002" s="4" t="s">
        <v>29</v>
      </c>
    </row>
    <row r="1003" spans="1:6" x14ac:dyDescent="0.25">
      <c r="A1003" s="4" t="s">
        <v>78</v>
      </c>
      <c r="B1003" s="4" t="s">
        <v>1</v>
      </c>
      <c r="C1003" s="4" t="s">
        <v>21</v>
      </c>
      <c r="D1003" s="4">
        <v>2034</v>
      </c>
      <c r="E1003" s="4">
        <v>0</v>
      </c>
      <c r="F1003" s="4" t="s">
        <v>29</v>
      </c>
    </row>
    <row r="1004" spans="1:6" x14ac:dyDescent="0.25">
      <c r="A1004" s="4" t="s">
        <v>78</v>
      </c>
      <c r="B1004" s="4" t="s">
        <v>1</v>
      </c>
      <c r="C1004" s="4" t="s">
        <v>21</v>
      </c>
      <c r="D1004" s="4">
        <v>2035</v>
      </c>
      <c r="E1004" s="4">
        <v>0</v>
      </c>
      <c r="F1004" s="4" t="s">
        <v>29</v>
      </c>
    </row>
    <row r="1005" spans="1:6" x14ac:dyDescent="0.25">
      <c r="A1005" s="4" t="s">
        <v>78</v>
      </c>
      <c r="B1005" s="4" t="s">
        <v>1</v>
      </c>
      <c r="C1005" s="4" t="s">
        <v>21</v>
      </c>
      <c r="D1005" s="4">
        <v>2036</v>
      </c>
      <c r="E1005" s="4">
        <v>0</v>
      </c>
      <c r="F1005" s="4" t="s">
        <v>29</v>
      </c>
    </row>
    <row r="1006" spans="1:6" x14ac:dyDescent="0.25">
      <c r="A1006" s="4" t="s">
        <v>78</v>
      </c>
      <c r="B1006" s="4" t="s">
        <v>1</v>
      </c>
      <c r="C1006" s="4" t="s">
        <v>21</v>
      </c>
      <c r="D1006" s="4">
        <v>2037</v>
      </c>
      <c r="E1006" s="4">
        <v>0</v>
      </c>
      <c r="F1006" s="4" t="s">
        <v>29</v>
      </c>
    </row>
    <row r="1007" spans="1:6" x14ac:dyDescent="0.25">
      <c r="A1007" s="4" t="s">
        <v>78</v>
      </c>
      <c r="B1007" s="4" t="s">
        <v>1</v>
      </c>
      <c r="C1007" s="4" t="s">
        <v>21</v>
      </c>
      <c r="D1007" s="4">
        <v>2038</v>
      </c>
      <c r="E1007" s="4">
        <v>0</v>
      </c>
      <c r="F1007" s="4" t="s">
        <v>29</v>
      </c>
    </row>
    <row r="1008" spans="1:6" x14ac:dyDescent="0.25">
      <c r="A1008" s="4" t="s">
        <v>78</v>
      </c>
      <c r="B1008" s="4" t="s">
        <v>1</v>
      </c>
      <c r="C1008" s="4" t="s">
        <v>21</v>
      </c>
      <c r="D1008" s="4">
        <v>2039</v>
      </c>
      <c r="E1008" s="4">
        <v>0</v>
      </c>
      <c r="F1008" s="4" t="s">
        <v>29</v>
      </c>
    </row>
    <row r="1009" spans="1:6" x14ac:dyDescent="0.25">
      <c r="A1009" s="4" t="s">
        <v>78</v>
      </c>
      <c r="B1009" s="4" t="s">
        <v>1</v>
      </c>
      <c r="C1009" s="4" t="s">
        <v>21</v>
      </c>
      <c r="D1009" s="4">
        <v>2040</v>
      </c>
      <c r="E1009" s="4">
        <v>0</v>
      </c>
      <c r="F1009" s="4" t="s">
        <v>29</v>
      </c>
    </row>
    <row r="1010" spans="1:6" x14ac:dyDescent="0.25">
      <c r="A1010" s="4" t="s">
        <v>78</v>
      </c>
      <c r="B1010" s="4" t="s">
        <v>23</v>
      </c>
      <c r="C1010" s="4" t="s">
        <v>21</v>
      </c>
      <c r="D1010" s="4">
        <v>2005</v>
      </c>
      <c r="E1010" s="4">
        <v>0</v>
      </c>
      <c r="F1010" s="4" t="s">
        <v>29</v>
      </c>
    </row>
    <row r="1011" spans="1:6" x14ac:dyDescent="0.25">
      <c r="A1011" s="4" t="s">
        <v>78</v>
      </c>
      <c r="B1011" s="4" t="s">
        <v>23</v>
      </c>
      <c r="C1011" s="4" t="s">
        <v>21</v>
      </c>
      <c r="D1011" s="4">
        <v>2006</v>
      </c>
      <c r="E1011" s="4">
        <v>0</v>
      </c>
      <c r="F1011" s="4" t="s">
        <v>29</v>
      </c>
    </row>
    <row r="1012" spans="1:6" x14ac:dyDescent="0.25">
      <c r="A1012" s="4" t="s">
        <v>78</v>
      </c>
      <c r="B1012" s="4" t="s">
        <v>23</v>
      </c>
      <c r="C1012" s="4" t="s">
        <v>21</v>
      </c>
      <c r="D1012" s="4">
        <v>2007</v>
      </c>
      <c r="E1012" s="4">
        <v>0</v>
      </c>
      <c r="F1012" s="4" t="s">
        <v>29</v>
      </c>
    </row>
    <row r="1013" spans="1:6" x14ac:dyDescent="0.25">
      <c r="A1013" s="4" t="s">
        <v>78</v>
      </c>
      <c r="B1013" s="4" t="s">
        <v>23</v>
      </c>
      <c r="C1013" s="4" t="s">
        <v>21</v>
      </c>
      <c r="D1013" s="4">
        <v>2008</v>
      </c>
      <c r="E1013" s="4">
        <v>0</v>
      </c>
      <c r="F1013" s="4" t="s">
        <v>29</v>
      </c>
    </row>
    <row r="1014" spans="1:6" x14ac:dyDescent="0.25">
      <c r="A1014" s="4" t="s">
        <v>78</v>
      </c>
      <c r="B1014" s="4" t="s">
        <v>23</v>
      </c>
      <c r="C1014" s="4" t="s">
        <v>21</v>
      </c>
      <c r="D1014" s="4">
        <v>2009</v>
      </c>
      <c r="E1014" s="4">
        <v>0</v>
      </c>
      <c r="F1014" s="4" t="s">
        <v>29</v>
      </c>
    </row>
    <row r="1015" spans="1:6" x14ac:dyDescent="0.25">
      <c r="A1015" s="4" t="s">
        <v>78</v>
      </c>
      <c r="B1015" s="4" t="s">
        <v>23</v>
      </c>
      <c r="C1015" s="4" t="s">
        <v>21</v>
      </c>
      <c r="D1015" s="4">
        <v>2010</v>
      </c>
      <c r="E1015" s="4">
        <v>0</v>
      </c>
      <c r="F1015" s="4" t="s">
        <v>29</v>
      </c>
    </row>
    <row r="1016" spans="1:6" x14ac:dyDescent="0.25">
      <c r="A1016" s="4" t="s">
        <v>78</v>
      </c>
      <c r="B1016" s="4" t="s">
        <v>23</v>
      </c>
      <c r="C1016" s="4" t="s">
        <v>21</v>
      </c>
      <c r="D1016" s="4">
        <v>2011</v>
      </c>
      <c r="E1016" s="4">
        <v>0</v>
      </c>
      <c r="F1016" s="4" t="s">
        <v>29</v>
      </c>
    </row>
    <row r="1017" spans="1:6" x14ac:dyDescent="0.25">
      <c r="A1017" s="4" t="s">
        <v>78</v>
      </c>
      <c r="B1017" s="4" t="s">
        <v>23</v>
      </c>
      <c r="C1017" s="4" t="s">
        <v>21</v>
      </c>
      <c r="D1017" s="4">
        <v>2012</v>
      </c>
      <c r="E1017" s="4">
        <v>0</v>
      </c>
      <c r="F1017" s="4" t="s">
        <v>29</v>
      </c>
    </row>
    <row r="1018" spans="1:6" x14ac:dyDescent="0.25">
      <c r="A1018" s="4" t="s">
        <v>78</v>
      </c>
      <c r="B1018" s="4" t="s">
        <v>23</v>
      </c>
      <c r="C1018" s="4" t="s">
        <v>21</v>
      </c>
      <c r="D1018" s="4">
        <v>2013</v>
      </c>
      <c r="E1018" s="4">
        <v>0</v>
      </c>
      <c r="F1018" s="4" t="s">
        <v>29</v>
      </c>
    </row>
    <row r="1019" spans="1:6" x14ac:dyDescent="0.25">
      <c r="A1019" s="4" t="s">
        <v>78</v>
      </c>
      <c r="B1019" s="4" t="s">
        <v>23</v>
      </c>
      <c r="C1019" s="4" t="s">
        <v>21</v>
      </c>
      <c r="D1019" s="4">
        <v>2014</v>
      </c>
      <c r="E1019" s="4">
        <v>0</v>
      </c>
      <c r="F1019" s="4" t="s">
        <v>29</v>
      </c>
    </row>
    <row r="1020" spans="1:6" x14ac:dyDescent="0.25">
      <c r="A1020" s="4" t="s">
        <v>78</v>
      </c>
      <c r="B1020" s="4" t="s">
        <v>23</v>
      </c>
      <c r="C1020" s="4" t="s">
        <v>21</v>
      </c>
      <c r="D1020" s="4">
        <v>2015</v>
      </c>
      <c r="E1020" s="4">
        <v>0</v>
      </c>
      <c r="F1020" s="4" t="s">
        <v>29</v>
      </c>
    </row>
    <row r="1021" spans="1:6" x14ac:dyDescent="0.25">
      <c r="A1021" s="4" t="s">
        <v>78</v>
      </c>
      <c r="B1021" s="4" t="s">
        <v>23</v>
      </c>
      <c r="C1021" s="4" t="s">
        <v>21</v>
      </c>
      <c r="D1021" s="4">
        <v>2016</v>
      </c>
      <c r="E1021" s="4">
        <v>0</v>
      </c>
      <c r="F1021" s="4" t="s">
        <v>29</v>
      </c>
    </row>
    <row r="1022" spans="1:6" x14ac:dyDescent="0.25">
      <c r="A1022" s="4" t="s">
        <v>78</v>
      </c>
      <c r="B1022" s="4" t="s">
        <v>23</v>
      </c>
      <c r="C1022" s="4" t="s">
        <v>21</v>
      </c>
      <c r="D1022" s="4">
        <v>2017</v>
      </c>
      <c r="E1022" s="4">
        <v>0</v>
      </c>
      <c r="F1022" s="4" t="s">
        <v>29</v>
      </c>
    </row>
    <row r="1023" spans="1:6" x14ac:dyDescent="0.25">
      <c r="A1023" s="4" t="s">
        <v>78</v>
      </c>
      <c r="B1023" s="4" t="s">
        <v>23</v>
      </c>
      <c r="C1023" s="4" t="s">
        <v>21</v>
      </c>
      <c r="D1023" s="4">
        <v>2018</v>
      </c>
      <c r="E1023" s="4">
        <v>0</v>
      </c>
      <c r="F1023" s="4" t="s">
        <v>29</v>
      </c>
    </row>
    <row r="1024" spans="1:6" x14ac:dyDescent="0.25">
      <c r="A1024" s="4" t="s">
        <v>78</v>
      </c>
      <c r="B1024" s="4" t="s">
        <v>23</v>
      </c>
      <c r="C1024" s="4" t="s">
        <v>21</v>
      </c>
      <c r="D1024" s="4">
        <v>2019</v>
      </c>
      <c r="E1024" s="4">
        <v>0</v>
      </c>
      <c r="F1024" s="4" t="s">
        <v>29</v>
      </c>
    </row>
    <row r="1025" spans="1:6" x14ac:dyDescent="0.25">
      <c r="A1025" s="4" t="s">
        <v>78</v>
      </c>
      <c r="B1025" s="4" t="s">
        <v>23</v>
      </c>
      <c r="C1025" s="4" t="s">
        <v>21</v>
      </c>
      <c r="D1025" s="4">
        <v>2020</v>
      </c>
      <c r="E1025" s="4">
        <v>0</v>
      </c>
      <c r="F1025" s="4" t="s">
        <v>29</v>
      </c>
    </row>
    <row r="1026" spans="1:6" x14ac:dyDescent="0.25">
      <c r="A1026" s="4" t="s">
        <v>78</v>
      </c>
      <c r="B1026" s="4" t="s">
        <v>23</v>
      </c>
      <c r="C1026" s="4" t="s">
        <v>21</v>
      </c>
      <c r="D1026" s="4">
        <v>2021</v>
      </c>
      <c r="E1026" s="4">
        <v>0</v>
      </c>
      <c r="F1026" s="4" t="s">
        <v>29</v>
      </c>
    </row>
    <row r="1027" spans="1:6" x14ac:dyDescent="0.25">
      <c r="A1027" s="4" t="s">
        <v>78</v>
      </c>
      <c r="B1027" s="4" t="s">
        <v>23</v>
      </c>
      <c r="C1027" s="4" t="s">
        <v>21</v>
      </c>
      <c r="D1027" s="4">
        <v>2022</v>
      </c>
      <c r="E1027" s="4">
        <v>0</v>
      </c>
      <c r="F1027" s="4" t="s">
        <v>29</v>
      </c>
    </row>
    <row r="1028" spans="1:6" x14ac:dyDescent="0.25">
      <c r="A1028" s="4" t="s">
        <v>78</v>
      </c>
      <c r="B1028" s="4" t="s">
        <v>23</v>
      </c>
      <c r="C1028" s="4" t="s">
        <v>21</v>
      </c>
      <c r="D1028" s="4">
        <v>2023</v>
      </c>
      <c r="E1028" s="4">
        <v>0</v>
      </c>
      <c r="F1028" s="4" t="s">
        <v>29</v>
      </c>
    </row>
    <row r="1029" spans="1:6" x14ac:dyDescent="0.25">
      <c r="A1029" s="4" t="s">
        <v>78</v>
      </c>
      <c r="B1029" s="4" t="s">
        <v>23</v>
      </c>
      <c r="C1029" s="4" t="s">
        <v>21</v>
      </c>
      <c r="D1029" s="4">
        <v>2024</v>
      </c>
      <c r="E1029" s="4">
        <v>0</v>
      </c>
      <c r="F1029" s="4" t="s">
        <v>29</v>
      </c>
    </row>
    <row r="1030" spans="1:6" x14ac:dyDescent="0.25">
      <c r="A1030" s="4" t="s">
        <v>78</v>
      </c>
      <c r="B1030" s="4" t="s">
        <v>23</v>
      </c>
      <c r="C1030" s="4" t="s">
        <v>21</v>
      </c>
      <c r="D1030" s="4">
        <v>2025</v>
      </c>
      <c r="E1030" s="4">
        <v>0</v>
      </c>
      <c r="F1030" s="4" t="s">
        <v>29</v>
      </c>
    </row>
    <row r="1031" spans="1:6" x14ac:dyDescent="0.25">
      <c r="A1031" s="4" t="s">
        <v>78</v>
      </c>
      <c r="B1031" s="4" t="s">
        <v>23</v>
      </c>
      <c r="C1031" s="4" t="s">
        <v>21</v>
      </c>
      <c r="D1031" s="4">
        <v>2026</v>
      </c>
      <c r="E1031" s="4">
        <v>0</v>
      </c>
      <c r="F1031" s="4" t="s">
        <v>29</v>
      </c>
    </row>
    <row r="1032" spans="1:6" x14ac:dyDescent="0.25">
      <c r="A1032" s="4" t="s">
        <v>78</v>
      </c>
      <c r="B1032" s="4" t="s">
        <v>23</v>
      </c>
      <c r="C1032" s="4" t="s">
        <v>21</v>
      </c>
      <c r="D1032" s="4">
        <v>2027</v>
      </c>
      <c r="E1032" s="4">
        <v>0</v>
      </c>
      <c r="F1032" s="4" t="s">
        <v>29</v>
      </c>
    </row>
    <row r="1033" spans="1:6" x14ac:dyDescent="0.25">
      <c r="A1033" s="4" t="s">
        <v>78</v>
      </c>
      <c r="B1033" s="4" t="s">
        <v>23</v>
      </c>
      <c r="C1033" s="4" t="s">
        <v>21</v>
      </c>
      <c r="D1033" s="4">
        <v>2028</v>
      </c>
      <c r="E1033" s="4">
        <v>0</v>
      </c>
      <c r="F1033" s="4" t="s">
        <v>29</v>
      </c>
    </row>
    <row r="1034" spans="1:6" x14ac:dyDescent="0.25">
      <c r="A1034" s="4" t="s">
        <v>78</v>
      </c>
      <c r="B1034" s="4" t="s">
        <v>23</v>
      </c>
      <c r="C1034" s="4" t="s">
        <v>21</v>
      </c>
      <c r="D1034" s="4">
        <v>2029</v>
      </c>
      <c r="E1034" s="4">
        <v>0</v>
      </c>
      <c r="F1034" s="4" t="s">
        <v>29</v>
      </c>
    </row>
    <row r="1035" spans="1:6" x14ac:dyDescent="0.25">
      <c r="A1035" s="4" t="s">
        <v>78</v>
      </c>
      <c r="B1035" s="4" t="s">
        <v>23</v>
      </c>
      <c r="C1035" s="4" t="s">
        <v>21</v>
      </c>
      <c r="D1035" s="4">
        <v>2030</v>
      </c>
      <c r="E1035" s="4">
        <v>0</v>
      </c>
      <c r="F1035" s="4" t="s">
        <v>29</v>
      </c>
    </row>
    <row r="1036" spans="1:6" x14ac:dyDescent="0.25">
      <c r="A1036" s="4" t="s">
        <v>78</v>
      </c>
      <c r="B1036" s="4" t="s">
        <v>23</v>
      </c>
      <c r="C1036" s="4" t="s">
        <v>21</v>
      </c>
      <c r="D1036" s="4">
        <v>2031</v>
      </c>
      <c r="E1036" s="4">
        <v>0</v>
      </c>
      <c r="F1036" s="4" t="s">
        <v>29</v>
      </c>
    </row>
    <row r="1037" spans="1:6" x14ac:dyDescent="0.25">
      <c r="A1037" s="4" t="s">
        <v>78</v>
      </c>
      <c r="B1037" s="4" t="s">
        <v>23</v>
      </c>
      <c r="C1037" s="4" t="s">
        <v>21</v>
      </c>
      <c r="D1037" s="4">
        <v>2032</v>
      </c>
      <c r="E1037" s="4">
        <v>0</v>
      </c>
      <c r="F1037" s="4" t="s">
        <v>29</v>
      </c>
    </row>
    <row r="1038" spans="1:6" x14ac:dyDescent="0.25">
      <c r="A1038" s="4" t="s">
        <v>78</v>
      </c>
      <c r="B1038" s="4" t="s">
        <v>23</v>
      </c>
      <c r="C1038" s="4" t="s">
        <v>21</v>
      </c>
      <c r="D1038" s="4">
        <v>2033</v>
      </c>
      <c r="E1038" s="4">
        <v>0</v>
      </c>
      <c r="F1038" s="4" t="s">
        <v>29</v>
      </c>
    </row>
    <row r="1039" spans="1:6" x14ac:dyDescent="0.25">
      <c r="A1039" s="4" t="s">
        <v>78</v>
      </c>
      <c r="B1039" s="4" t="s">
        <v>23</v>
      </c>
      <c r="C1039" s="4" t="s">
        <v>21</v>
      </c>
      <c r="D1039" s="4">
        <v>2034</v>
      </c>
      <c r="E1039" s="4">
        <v>0</v>
      </c>
      <c r="F1039" s="4" t="s">
        <v>29</v>
      </c>
    </row>
    <row r="1040" spans="1:6" x14ac:dyDescent="0.25">
      <c r="A1040" s="4" t="s">
        <v>78</v>
      </c>
      <c r="B1040" s="4" t="s">
        <v>23</v>
      </c>
      <c r="C1040" s="4" t="s">
        <v>21</v>
      </c>
      <c r="D1040" s="4">
        <v>2035</v>
      </c>
      <c r="E1040" s="4">
        <v>0</v>
      </c>
      <c r="F1040" s="4" t="s">
        <v>29</v>
      </c>
    </row>
    <row r="1041" spans="1:6" x14ac:dyDescent="0.25">
      <c r="A1041" s="4" t="s">
        <v>78</v>
      </c>
      <c r="B1041" s="4" t="s">
        <v>23</v>
      </c>
      <c r="C1041" s="4" t="s">
        <v>21</v>
      </c>
      <c r="D1041" s="4">
        <v>2036</v>
      </c>
      <c r="E1041" s="4">
        <v>0</v>
      </c>
      <c r="F1041" s="4" t="s">
        <v>29</v>
      </c>
    </row>
    <row r="1042" spans="1:6" x14ac:dyDescent="0.25">
      <c r="A1042" s="4" t="s">
        <v>78</v>
      </c>
      <c r="B1042" s="4" t="s">
        <v>23</v>
      </c>
      <c r="C1042" s="4" t="s">
        <v>21</v>
      </c>
      <c r="D1042" s="4">
        <v>2037</v>
      </c>
      <c r="E1042" s="4">
        <v>0</v>
      </c>
      <c r="F1042" s="4" t="s">
        <v>29</v>
      </c>
    </row>
    <row r="1043" spans="1:6" x14ac:dyDescent="0.25">
      <c r="A1043" s="4" t="s">
        <v>78</v>
      </c>
      <c r="B1043" s="4" t="s">
        <v>23</v>
      </c>
      <c r="C1043" s="4" t="s">
        <v>21</v>
      </c>
      <c r="D1043" s="4">
        <v>2038</v>
      </c>
      <c r="E1043" s="4">
        <v>0</v>
      </c>
      <c r="F1043" s="4" t="s">
        <v>29</v>
      </c>
    </row>
    <row r="1044" spans="1:6" x14ac:dyDescent="0.25">
      <c r="A1044" s="4" t="s">
        <v>78</v>
      </c>
      <c r="B1044" s="4" t="s">
        <v>23</v>
      </c>
      <c r="C1044" s="4" t="s">
        <v>21</v>
      </c>
      <c r="D1044" s="4">
        <v>2039</v>
      </c>
      <c r="E1044" s="4">
        <v>0</v>
      </c>
      <c r="F1044" s="4" t="s">
        <v>29</v>
      </c>
    </row>
    <row r="1045" spans="1:6" x14ac:dyDescent="0.25">
      <c r="A1045" s="4" t="s">
        <v>78</v>
      </c>
      <c r="B1045" s="4" t="s">
        <v>23</v>
      </c>
      <c r="C1045" s="4" t="s">
        <v>21</v>
      </c>
      <c r="D1045" s="4">
        <v>2040</v>
      </c>
      <c r="E1045" s="4">
        <v>0</v>
      </c>
      <c r="F1045" s="4" t="s">
        <v>29</v>
      </c>
    </row>
    <row r="1046" spans="1:6" x14ac:dyDescent="0.25">
      <c r="A1046" s="4" t="s">
        <v>79</v>
      </c>
      <c r="B1046" s="4" t="s">
        <v>1</v>
      </c>
      <c r="C1046" s="4" t="s">
        <v>21</v>
      </c>
      <c r="D1046" s="4">
        <v>2005</v>
      </c>
      <c r="E1046" s="4">
        <v>0</v>
      </c>
      <c r="F1046" s="4" t="s">
        <v>29</v>
      </c>
    </row>
    <row r="1047" spans="1:6" x14ac:dyDescent="0.25">
      <c r="A1047" s="4" t="s">
        <v>79</v>
      </c>
      <c r="B1047" s="4" t="s">
        <v>1</v>
      </c>
      <c r="C1047" s="4" t="s">
        <v>21</v>
      </c>
      <c r="D1047" s="4">
        <v>2006</v>
      </c>
      <c r="E1047" s="4">
        <v>0</v>
      </c>
      <c r="F1047" s="4" t="s">
        <v>29</v>
      </c>
    </row>
    <row r="1048" spans="1:6" x14ac:dyDescent="0.25">
      <c r="A1048" s="4" t="s">
        <v>79</v>
      </c>
      <c r="B1048" s="4" t="s">
        <v>1</v>
      </c>
      <c r="C1048" s="4" t="s">
        <v>21</v>
      </c>
      <c r="D1048" s="4">
        <v>2007</v>
      </c>
      <c r="E1048" s="4">
        <v>0</v>
      </c>
      <c r="F1048" s="4" t="s">
        <v>29</v>
      </c>
    </row>
    <row r="1049" spans="1:6" x14ac:dyDescent="0.25">
      <c r="A1049" s="4" t="s">
        <v>79</v>
      </c>
      <c r="B1049" s="4" t="s">
        <v>1</v>
      </c>
      <c r="C1049" s="4" t="s">
        <v>21</v>
      </c>
      <c r="D1049" s="4">
        <v>2008</v>
      </c>
      <c r="E1049" s="4">
        <v>0</v>
      </c>
      <c r="F1049" s="4" t="s">
        <v>29</v>
      </c>
    </row>
    <row r="1050" spans="1:6" x14ac:dyDescent="0.25">
      <c r="A1050" s="4" t="s">
        <v>79</v>
      </c>
      <c r="B1050" s="4" t="s">
        <v>1</v>
      </c>
      <c r="C1050" s="4" t="s">
        <v>21</v>
      </c>
      <c r="D1050" s="4">
        <v>2009</v>
      </c>
      <c r="E1050" s="4">
        <v>0</v>
      </c>
      <c r="F1050" s="4" t="s">
        <v>29</v>
      </c>
    </row>
    <row r="1051" spans="1:6" x14ac:dyDescent="0.25">
      <c r="A1051" s="4" t="s">
        <v>79</v>
      </c>
      <c r="B1051" s="4" t="s">
        <v>1</v>
      </c>
      <c r="C1051" s="4" t="s">
        <v>21</v>
      </c>
      <c r="D1051" s="4">
        <v>2010</v>
      </c>
      <c r="E1051" s="4">
        <v>0</v>
      </c>
      <c r="F1051" s="4" t="s">
        <v>29</v>
      </c>
    </row>
    <row r="1052" spans="1:6" x14ac:dyDescent="0.25">
      <c r="A1052" s="4" t="s">
        <v>79</v>
      </c>
      <c r="B1052" s="4" t="s">
        <v>1</v>
      </c>
      <c r="C1052" s="4" t="s">
        <v>21</v>
      </c>
      <c r="D1052" s="4">
        <v>2011</v>
      </c>
      <c r="E1052" s="4">
        <v>0</v>
      </c>
      <c r="F1052" s="4" t="s">
        <v>29</v>
      </c>
    </row>
    <row r="1053" spans="1:6" x14ac:dyDescent="0.25">
      <c r="A1053" s="4" t="s">
        <v>79</v>
      </c>
      <c r="B1053" s="4" t="s">
        <v>1</v>
      </c>
      <c r="C1053" s="4" t="s">
        <v>21</v>
      </c>
      <c r="D1053" s="4">
        <v>2012</v>
      </c>
      <c r="E1053" s="4">
        <v>0</v>
      </c>
      <c r="F1053" s="4" t="s">
        <v>29</v>
      </c>
    </row>
    <row r="1054" spans="1:6" x14ac:dyDescent="0.25">
      <c r="A1054" s="4" t="s">
        <v>79</v>
      </c>
      <c r="B1054" s="4" t="s">
        <v>1</v>
      </c>
      <c r="C1054" s="4" t="s">
        <v>21</v>
      </c>
      <c r="D1054" s="4">
        <v>2013</v>
      </c>
      <c r="E1054" s="4">
        <v>0</v>
      </c>
      <c r="F1054" s="4" t="s">
        <v>29</v>
      </c>
    </row>
    <row r="1055" spans="1:6" x14ac:dyDescent="0.25">
      <c r="A1055" s="4" t="s">
        <v>79</v>
      </c>
      <c r="B1055" s="4" t="s">
        <v>1</v>
      </c>
      <c r="C1055" s="4" t="s">
        <v>21</v>
      </c>
      <c r="D1055" s="4">
        <v>2014</v>
      </c>
      <c r="E1055" s="4">
        <v>0</v>
      </c>
      <c r="F1055" s="4" t="s">
        <v>29</v>
      </c>
    </row>
    <row r="1056" spans="1:6" x14ac:dyDescent="0.25">
      <c r="A1056" s="4" t="s">
        <v>79</v>
      </c>
      <c r="B1056" s="4" t="s">
        <v>1</v>
      </c>
      <c r="C1056" s="4" t="s">
        <v>21</v>
      </c>
      <c r="D1056" s="4">
        <v>2015</v>
      </c>
      <c r="E1056" s="4">
        <v>0</v>
      </c>
      <c r="F1056" s="4" t="s">
        <v>29</v>
      </c>
    </row>
    <row r="1057" spans="1:6" x14ac:dyDescent="0.25">
      <c r="A1057" s="4" t="s">
        <v>79</v>
      </c>
      <c r="B1057" s="4" t="s">
        <v>1</v>
      </c>
      <c r="C1057" s="4" t="s">
        <v>21</v>
      </c>
      <c r="D1057" s="4">
        <v>2016</v>
      </c>
      <c r="E1057" s="4">
        <v>0</v>
      </c>
      <c r="F1057" s="4" t="s">
        <v>29</v>
      </c>
    </row>
    <row r="1058" spans="1:6" x14ac:dyDescent="0.25">
      <c r="A1058" s="4" t="s">
        <v>79</v>
      </c>
      <c r="B1058" s="4" t="s">
        <v>1</v>
      </c>
      <c r="C1058" s="4" t="s">
        <v>21</v>
      </c>
      <c r="D1058" s="4">
        <v>2017</v>
      </c>
      <c r="E1058" s="4">
        <v>0</v>
      </c>
      <c r="F1058" s="4" t="s">
        <v>29</v>
      </c>
    </row>
    <row r="1059" spans="1:6" x14ac:dyDescent="0.25">
      <c r="A1059" s="4" t="s">
        <v>79</v>
      </c>
      <c r="B1059" s="4" t="s">
        <v>1</v>
      </c>
      <c r="C1059" s="4" t="s">
        <v>21</v>
      </c>
      <c r="D1059" s="4">
        <v>2018</v>
      </c>
      <c r="E1059" s="4">
        <v>0</v>
      </c>
      <c r="F1059" s="4" t="s">
        <v>29</v>
      </c>
    </row>
    <row r="1060" spans="1:6" x14ac:dyDescent="0.25">
      <c r="A1060" s="4" t="s">
        <v>79</v>
      </c>
      <c r="B1060" s="4" t="s">
        <v>1</v>
      </c>
      <c r="C1060" s="4" t="s">
        <v>21</v>
      </c>
      <c r="D1060" s="4">
        <v>2019</v>
      </c>
      <c r="E1060" s="4">
        <v>0</v>
      </c>
      <c r="F1060" s="4" t="s">
        <v>29</v>
      </c>
    </row>
    <row r="1061" spans="1:6" x14ac:dyDescent="0.25">
      <c r="A1061" s="4" t="s">
        <v>79</v>
      </c>
      <c r="B1061" s="4" t="s">
        <v>1</v>
      </c>
      <c r="C1061" s="4" t="s">
        <v>21</v>
      </c>
      <c r="D1061" s="4">
        <v>2020</v>
      </c>
      <c r="E1061" s="4">
        <v>0</v>
      </c>
      <c r="F1061" s="4" t="s">
        <v>29</v>
      </c>
    </row>
    <row r="1062" spans="1:6" x14ac:dyDescent="0.25">
      <c r="A1062" s="4" t="s">
        <v>79</v>
      </c>
      <c r="B1062" s="4" t="s">
        <v>1</v>
      </c>
      <c r="C1062" s="4" t="s">
        <v>21</v>
      </c>
      <c r="D1062" s="4">
        <v>2021</v>
      </c>
      <c r="E1062" s="4">
        <v>0</v>
      </c>
      <c r="F1062" s="4" t="s">
        <v>29</v>
      </c>
    </row>
    <row r="1063" spans="1:6" x14ac:dyDescent="0.25">
      <c r="A1063" s="4" t="s">
        <v>79</v>
      </c>
      <c r="B1063" s="4" t="s">
        <v>1</v>
      </c>
      <c r="C1063" s="4" t="s">
        <v>21</v>
      </c>
      <c r="D1063" s="4">
        <v>2022</v>
      </c>
      <c r="E1063" s="4">
        <v>0</v>
      </c>
      <c r="F1063" s="4" t="s">
        <v>29</v>
      </c>
    </row>
    <row r="1064" spans="1:6" x14ac:dyDescent="0.25">
      <c r="A1064" s="4" t="s">
        <v>79</v>
      </c>
      <c r="B1064" s="4" t="s">
        <v>1</v>
      </c>
      <c r="C1064" s="4" t="s">
        <v>21</v>
      </c>
      <c r="D1064" s="4">
        <v>2023</v>
      </c>
      <c r="E1064" s="4">
        <v>0</v>
      </c>
      <c r="F1064" s="4" t="s">
        <v>29</v>
      </c>
    </row>
    <row r="1065" spans="1:6" x14ac:dyDescent="0.25">
      <c r="A1065" s="4" t="s">
        <v>79</v>
      </c>
      <c r="B1065" s="4" t="s">
        <v>1</v>
      </c>
      <c r="C1065" s="4" t="s">
        <v>21</v>
      </c>
      <c r="D1065" s="4">
        <v>2024</v>
      </c>
      <c r="E1065" s="4">
        <v>0</v>
      </c>
      <c r="F1065" s="4" t="s">
        <v>29</v>
      </c>
    </row>
    <row r="1066" spans="1:6" x14ac:dyDescent="0.25">
      <c r="A1066" s="4" t="s">
        <v>79</v>
      </c>
      <c r="B1066" s="4" t="s">
        <v>1</v>
      </c>
      <c r="C1066" s="4" t="s">
        <v>21</v>
      </c>
      <c r="D1066" s="4">
        <v>2025</v>
      </c>
      <c r="E1066" s="4">
        <v>0</v>
      </c>
      <c r="F1066" s="4" t="s">
        <v>29</v>
      </c>
    </row>
    <row r="1067" spans="1:6" x14ac:dyDescent="0.25">
      <c r="A1067" s="4" t="s">
        <v>79</v>
      </c>
      <c r="B1067" s="4" t="s">
        <v>1</v>
      </c>
      <c r="C1067" s="4" t="s">
        <v>21</v>
      </c>
      <c r="D1067" s="4">
        <v>2026</v>
      </c>
      <c r="E1067" s="4">
        <v>0</v>
      </c>
      <c r="F1067" s="4" t="s">
        <v>29</v>
      </c>
    </row>
    <row r="1068" spans="1:6" x14ac:dyDescent="0.25">
      <c r="A1068" s="4" t="s">
        <v>79</v>
      </c>
      <c r="B1068" s="4" t="s">
        <v>1</v>
      </c>
      <c r="C1068" s="4" t="s">
        <v>21</v>
      </c>
      <c r="D1068" s="4">
        <v>2027</v>
      </c>
      <c r="E1068" s="4">
        <v>0</v>
      </c>
      <c r="F1068" s="4" t="s">
        <v>29</v>
      </c>
    </row>
    <row r="1069" spans="1:6" x14ac:dyDescent="0.25">
      <c r="A1069" s="4" t="s">
        <v>79</v>
      </c>
      <c r="B1069" s="4" t="s">
        <v>1</v>
      </c>
      <c r="C1069" s="4" t="s">
        <v>21</v>
      </c>
      <c r="D1069" s="4">
        <v>2028</v>
      </c>
      <c r="E1069" s="4">
        <v>0</v>
      </c>
      <c r="F1069" s="4" t="s">
        <v>29</v>
      </c>
    </row>
    <row r="1070" spans="1:6" x14ac:dyDescent="0.25">
      <c r="A1070" s="4" t="s">
        <v>79</v>
      </c>
      <c r="B1070" s="4" t="s">
        <v>1</v>
      </c>
      <c r="C1070" s="4" t="s">
        <v>21</v>
      </c>
      <c r="D1070" s="4">
        <v>2029</v>
      </c>
      <c r="E1070" s="4">
        <v>0</v>
      </c>
      <c r="F1070" s="4" t="s">
        <v>29</v>
      </c>
    </row>
    <row r="1071" spans="1:6" x14ac:dyDescent="0.25">
      <c r="A1071" s="4" t="s">
        <v>79</v>
      </c>
      <c r="B1071" s="4" t="s">
        <v>1</v>
      </c>
      <c r="C1071" s="4" t="s">
        <v>21</v>
      </c>
      <c r="D1071" s="4">
        <v>2030</v>
      </c>
      <c r="E1071" s="4">
        <v>0</v>
      </c>
      <c r="F1071" s="4" t="s">
        <v>29</v>
      </c>
    </row>
    <row r="1072" spans="1:6" x14ac:dyDescent="0.25">
      <c r="A1072" s="4" t="s">
        <v>79</v>
      </c>
      <c r="B1072" s="4" t="s">
        <v>1</v>
      </c>
      <c r="C1072" s="4" t="s">
        <v>21</v>
      </c>
      <c r="D1072" s="4">
        <v>2031</v>
      </c>
      <c r="E1072" s="4">
        <v>0</v>
      </c>
      <c r="F1072" s="4" t="s">
        <v>29</v>
      </c>
    </row>
    <row r="1073" spans="1:6" x14ac:dyDescent="0.25">
      <c r="A1073" s="4" t="s">
        <v>79</v>
      </c>
      <c r="B1073" s="4" t="s">
        <v>1</v>
      </c>
      <c r="C1073" s="4" t="s">
        <v>21</v>
      </c>
      <c r="D1073" s="4">
        <v>2032</v>
      </c>
      <c r="E1073" s="4">
        <v>0</v>
      </c>
      <c r="F1073" s="4" t="s">
        <v>29</v>
      </c>
    </row>
    <row r="1074" spans="1:6" x14ac:dyDescent="0.25">
      <c r="A1074" s="4" t="s">
        <v>79</v>
      </c>
      <c r="B1074" s="4" t="s">
        <v>1</v>
      </c>
      <c r="C1074" s="4" t="s">
        <v>21</v>
      </c>
      <c r="D1074" s="4">
        <v>2033</v>
      </c>
      <c r="E1074" s="4">
        <v>0</v>
      </c>
      <c r="F1074" s="4" t="s">
        <v>29</v>
      </c>
    </row>
    <row r="1075" spans="1:6" x14ac:dyDescent="0.25">
      <c r="A1075" s="4" t="s">
        <v>79</v>
      </c>
      <c r="B1075" s="4" t="s">
        <v>1</v>
      </c>
      <c r="C1075" s="4" t="s">
        <v>21</v>
      </c>
      <c r="D1075" s="4">
        <v>2034</v>
      </c>
      <c r="E1075" s="4">
        <v>0</v>
      </c>
      <c r="F1075" s="4" t="s">
        <v>29</v>
      </c>
    </row>
    <row r="1076" spans="1:6" x14ac:dyDescent="0.25">
      <c r="A1076" s="4" t="s">
        <v>79</v>
      </c>
      <c r="B1076" s="4" t="s">
        <v>1</v>
      </c>
      <c r="C1076" s="4" t="s">
        <v>21</v>
      </c>
      <c r="D1076" s="4">
        <v>2035</v>
      </c>
      <c r="E1076" s="4">
        <v>0</v>
      </c>
      <c r="F1076" s="4" t="s">
        <v>29</v>
      </c>
    </row>
    <row r="1077" spans="1:6" x14ac:dyDescent="0.25">
      <c r="A1077" s="4" t="s">
        <v>79</v>
      </c>
      <c r="B1077" s="4" t="s">
        <v>1</v>
      </c>
      <c r="C1077" s="4" t="s">
        <v>21</v>
      </c>
      <c r="D1077" s="4">
        <v>2036</v>
      </c>
      <c r="E1077" s="4">
        <v>0</v>
      </c>
      <c r="F1077" s="4" t="s">
        <v>29</v>
      </c>
    </row>
    <row r="1078" spans="1:6" x14ac:dyDescent="0.25">
      <c r="A1078" s="4" t="s">
        <v>79</v>
      </c>
      <c r="B1078" s="4" t="s">
        <v>1</v>
      </c>
      <c r="C1078" s="4" t="s">
        <v>21</v>
      </c>
      <c r="D1078" s="4">
        <v>2037</v>
      </c>
      <c r="E1078" s="4">
        <v>0</v>
      </c>
      <c r="F1078" s="4" t="s">
        <v>29</v>
      </c>
    </row>
    <row r="1079" spans="1:6" x14ac:dyDescent="0.25">
      <c r="A1079" s="4" t="s">
        <v>79</v>
      </c>
      <c r="B1079" s="4" t="s">
        <v>1</v>
      </c>
      <c r="C1079" s="4" t="s">
        <v>21</v>
      </c>
      <c r="D1079" s="4">
        <v>2038</v>
      </c>
      <c r="E1079" s="4">
        <v>0</v>
      </c>
      <c r="F1079" s="4" t="s">
        <v>29</v>
      </c>
    </row>
    <row r="1080" spans="1:6" x14ac:dyDescent="0.25">
      <c r="A1080" s="4" t="s">
        <v>79</v>
      </c>
      <c r="B1080" s="4" t="s">
        <v>1</v>
      </c>
      <c r="C1080" s="4" t="s">
        <v>21</v>
      </c>
      <c r="D1080" s="4">
        <v>2039</v>
      </c>
      <c r="E1080" s="4">
        <v>0</v>
      </c>
      <c r="F1080" s="4" t="s">
        <v>29</v>
      </c>
    </row>
    <row r="1081" spans="1:6" x14ac:dyDescent="0.25">
      <c r="A1081" s="4" t="s">
        <v>79</v>
      </c>
      <c r="B1081" s="4" t="s">
        <v>1</v>
      </c>
      <c r="C1081" s="4" t="s">
        <v>21</v>
      </c>
      <c r="D1081" s="4">
        <v>2040</v>
      </c>
      <c r="E1081" s="4">
        <v>0</v>
      </c>
      <c r="F1081" s="4" t="s">
        <v>29</v>
      </c>
    </row>
    <row r="1082" spans="1:6" x14ac:dyDescent="0.25">
      <c r="A1082" s="4" t="s">
        <v>79</v>
      </c>
      <c r="B1082" s="4" t="s">
        <v>3</v>
      </c>
      <c r="C1082" s="4" t="s">
        <v>21</v>
      </c>
      <c r="D1082" s="4">
        <v>2005</v>
      </c>
      <c r="E1082" s="4">
        <v>2050</v>
      </c>
      <c r="F1082" s="4" t="s">
        <v>29</v>
      </c>
    </row>
    <row r="1083" spans="1:6" x14ac:dyDescent="0.25">
      <c r="A1083" s="4" t="s">
        <v>79</v>
      </c>
      <c r="B1083" s="4" t="s">
        <v>3</v>
      </c>
      <c r="C1083" s="4" t="s">
        <v>21</v>
      </c>
      <c r="D1083" s="4">
        <v>2006</v>
      </c>
      <c r="E1083" s="4">
        <v>1910</v>
      </c>
      <c r="F1083" s="4" t="s">
        <v>29</v>
      </c>
    </row>
    <row r="1084" spans="1:6" x14ac:dyDescent="0.25">
      <c r="A1084" s="4" t="s">
        <v>79</v>
      </c>
      <c r="B1084" s="4" t="s">
        <v>3</v>
      </c>
      <c r="C1084" s="4" t="s">
        <v>21</v>
      </c>
      <c r="D1084" s="4">
        <v>2007</v>
      </c>
      <c r="E1084" s="4">
        <v>1890</v>
      </c>
      <c r="F1084" s="4" t="s">
        <v>29</v>
      </c>
    </row>
    <row r="1085" spans="1:6" x14ac:dyDescent="0.25">
      <c r="A1085" s="4" t="s">
        <v>79</v>
      </c>
      <c r="B1085" s="4" t="s">
        <v>3</v>
      </c>
      <c r="C1085" s="4" t="s">
        <v>21</v>
      </c>
      <c r="D1085" s="4">
        <v>2008</v>
      </c>
      <c r="E1085" s="4">
        <v>1750</v>
      </c>
      <c r="F1085" s="4" t="s">
        <v>29</v>
      </c>
    </row>
    <row r="1086" spans="1:6" x14ac:dyDescent="0.25">
      <c r="A1086" s="4" t="s">
        <v>79</v>
      </c>
      <c r="B1086" s="4" t="s">
        <v>3</v>
      </c>
      <c r="C1086" s="4" t="s">
        <v>21</v>
      </c>
      <c r="D1086" s="4">
        <v>2009</v>
      </c>
      <c r="E1086" s="4">
        <v>1130</v>
      </c>
      <c r="F1086" s="4" t="s">
        <v>29</v>
      </c>
    </row>
    <row r="1087" spans="1:6" x14ac:dyDescent="0.25">
      <c r="A1087" s="4" t="s">
        <v>79</v>
      </c>
      <c r="B1087" s="4" t="s">
        <v>3</v>
      </c>
      <c r="C1087" s="4" t="s">
        <v>21</v>
      </c>
      <c r="D1087" s="4">
        <v>2010</v>
      </c>
      <c r="E1087" s="4">
        <v>1070</v>
      </c>
      <c r="F1087" s="4" t="s">
        <v>29</v>
      </c>
    </row>
    <row r="1088" spans="1:6" x14ac:dyDescent="0.25">
      <c r="A1088" s="4" t="s">
        <v>79</v>
      </c>
      <c r="B1088" s="4" t="s">
        <v>3</v>
      </c>
      <c r="C1088" s="4" t="s">
        <v>21</v>
      </c>
      <c r="D1088" s="4">
        <v>2011</v>
      </c>
      <c r="E1088" s="4">
        <v>860</v>
      </c>
      <c r="F1088" s="4" t="s">
        <v>29</v>
      </c>
    </row>
    <row r="1089" spans="1:6" x14ac:dyDescent="0.25">
      <c r="A1089" s="4" t="s">
        <v>79</v>
      </c>
      <c r="B1089" s="4" t="s">
        <v>3</v>
      </c>
      <c r="C1089" s="4" t="s">
        <v>21</v>
      </c>
      <c r="D1089" s="4">
        <v>2012</v>
      </c>
      <c r="E1089" s="4">
        <v>580</v>
      </c>
      <c r="F1089" s="4" t="s">
        <v>29</v>
      </c>
    </row>
    <row r="1090" spans="1:6" x14ac:dyDescent="0.25">
      <c r="A1090" s="4" t="s">
        <v>79</v>
      </c>
      <c r="B1090" s="4" t="s">
        <v>3</v>
      </c>
      <c r="C1090" s="4" t="s">
        <v>21</v>
      </c>
      <c r="D1090" s="4">
        <v>2013</v>
      </c>
      <c r="E1090" s="4">
        <v>330</v>
      </c>
      <c r="F1090" s="4" t="s">
        <v>29</v>
      </c>
    </row>
    <row r="1091" spans="1:6" x14ac:dyDescent="0.25">
      <c r="A1091" s="4" t="s">
        <v>79</v>
      </c>
      <c r="B1091" s="4" t="s">
        <v>3</v>
      </c>
      <c r="C1091" s="4" t="s">
        <v>21</v>
      </c>
      <c r="D1091" s="4">
        <v>2014</v>
      </c>
      <c r="E1091" s="4">
        <v>460</v>
      </c>
      <c r="F1091" s="4" t="s">
        <v>29</v>
      </c>
    </row>
    <row r="1092" spans="1:6" x14ac:dyDescent="0.25">
      <c r="A1092" s="4" t="s">
        <v>79</v>
      </c>
      <c r="B1092" s="4" t="s">
        <v>3</v>
      </c>
      <c r="C1092" s="4" t="s">
        <v>21</v>
      </c>
      <c r="D1092" s="4">
        <v>2015</v>
      </c>
      <c r="E1092" s="4">
        <v>439.2230136986301</v>
      </c>
      <c r="F1092" s="4" t="s">
        <v>29</v>
      </c>
    </row>
    <row r="1093" spans="1:6" x14ac:dyDescent="0.25">
      <c r="A1093" s="4" t="s">
        <v>79</v>
      </c>
      <c r="B1093" s="4" t="s">
        <v>3</v>
      </c>
      <c r="C1093" s="4" t="s">
        <v>21</v>
      </c>
      <c r="D1093" s="4">
        <v>2016</v>
      </c>
      <c r="E1093" s="4">
        <v>416.31040165903886</v>
      </c>
      <c r="F1093" s="4" t="s">
        <v>29</v>
      </c>
    </row>
    <row r="1094" spans="1:6" x14ac:dyDescent="0.25">
      <c r="A1094" s="4" t="s">
        <v>79</v>
      </c>
      <c r="B1094" s="4" t="s">
        <v>3</v>
      </c>
      <c r="C1094" s="4" t="s">
        <v>21</v>
      </c>
      <c r="D1094" s="4">
        <v>2017</v>
      </c>
      <c r="E1094" s="4">
        <v>312</v>
      </c>
      <c r="F1094" s="4" t="s">
        <v>29</v>
      </c>
    </row>
    <row r="1095" spans="1:6" x14ac:dyDescent="0.25">
      <c r="A1095" s="4" t="s">
        <v>79</v>
      </c>
      <c r="B1095" s="4" t="s">
        <v>3</v>
      </c>
      <c r="C1095" s="4" t="s">
        <v>21</v>
      </c>
      <c r="D1095" s="4">
        <v>2018</v>
      </c>
      <c r="E1095" s="4">
        <v>302</v>
      </c>
      <c r="F1095" s="4" t="s">
        <v>29</v>
      </c>
    </row>
    <row r="1096" spans="1:6" x14ac:dyDescent="0.25">
      <c r="A1096" s="4" t="s">
        <v>79</v>
      </c>
      <c r="B1096" s="4" t="s">
        <v>3</v>
      </c>
      <c r="C1096" s="4" t="s">
        <v>21</v>
      </c>
      <c r="D1096" s="4">
        <v>2019</v>
      </c>
      <c r="E1096" s="4">
        <v>287</v>
      </c>
      <c r="F1096" s="4" t="s">
        <v>29</v>
      </c>
    </row>
    <row r="1097" spans="1:6" x14ac:dyDescent="0.25">
      <c r="A1097" s="4" t="s">
        <v>79</v>
      </c>
      <c r="B1097" s="4" t="s">
        <v>3</v>
      </c>
      <c r="C1097" s="4" t="s">
        <v>21</v>
      </c>
      <c r="D1097" s="4">
        <v>2020</v>
      </c>
      <c r="E1097" s="4">
        <v>223</v>
      </c>
      <c r="F1097" s="4" t="s">
        <v>29</v>
      </c>
    </row>
    <row r="1098" spans="1:6" x14ac:dyDescent="0.25">
      <c r="A1098" s="4" t="s">
        <v>79</v>
      </c>
      <c r="B1098" s="4" t="s">
        <v>3</v>
      </c>
      <c r="C1098" s="4" t="s">
        <v>21</v>
      </c>
      <c r="D1098" s="4">
        <v>2021</v>
      </c>
      <c r="E1098" s="4">
        <v>201</v>
      </c>
      <c r="F1098" s="4" t="s">
        <v>29</v>
      </c>
    </row>
    <row r="1099" spans="1:6" x14ac:dyDescent="0.25">
      <c r="A1099" s="4" t="s">
        <v>79</v>
      </c>
      <c r="B1099" s="4" t="s">
        <v>3</v>
      </c>
      <c r="C1099" s="4" t="s">
        <v>21</v>
      </c>
      <c r="D1099" s="4">
        <v>2022</v>
      </c>
      <c r="E1099" s="4">
        <v>0</v>
      </c>
      <c r="F1099" s="4" t="s">
        <v>29</v>
      </c>
    </row>
    <row r="1100" spans="1:6" x14ac:dyDescent="0.25">
      <c r="A1100" s="4" t="s">
        <v>79</v>
      </c>
      <c r="B1100" s="4" t="s">
        <v>3</v>
      </c>
      <c r="C1100" s="4" t="s">
        <v>21</v>
      </c>
      <c r="D1100" s="4">
        <v>2023</v>
      </c>
      <c r="E1100" s="4">
        <v>0</v>
      </c>
      <c r="F1100" s="4" t="s">
        <v>29</v>
      </c>
    </row>
    <row r="1101" spans="1:6" x14ac:dyDescent="0.25">
      <c r="A1101" s="4" t="s">
        <v>79</v>
      </c>
      <c r="B1101" s="4" t="s">
        <v>3</v>
      </c>
      <c r="C1101" s="4" t="s">
        <v>21</v>
      </c>
      <c r="D1101" s="4">
        <v>2024</v>
      </c>
      <c r="E1101" s="4">
        <v>0</v>
      </c>
      <c r="F1101" s="4" t="s">
        <v>29</v>
      </c>
    </row>
    <row r="1102" spans="1:6" x14ac:dyDescent="0.25">
      <c r="A1102" s="4" t="s">
        <v>79</v>
      </c>
      <c r="B1102" s="4" t="s">
        <v>3</v>
      </c>
      <c r="C1102" s="4" t="s">
        <v>21</v>
      </c>
      <c r="D1102" s="4">
        <v>2025</v>
      </c>
      <c r="E1102" s="4">
        <v>0</v>
      </c>
      <c r="F1102" s="4" t="s">
        <v>29</v>
      </c>
    </row>
    <row r="1103" spans="1:6" x14ac:dyDescent="0.25">
      <c r="A1103" s="4" t="s">
        <v>79</v>
      </c>
      <c r="B1103" s="4" t="s">
        <v>3</v>
      </c>
      <c r="C1103" s="4" t="s">
        <v>21</v>
      </c>
      <c r="D1103" s="4">
        <v>2026</v>
      </c>
      <c r="E1103" s="4">
        <v>0</v>
      </c>
      <c r="F1103" s="4" t="s">
        <v>29</v>
      </c>
    </row>
    <row r="1104" spans="1:6" x14ac:dyDescent="0.25">
      <c r="A1104" s="4" t="s">
        <v>79</v>
      </c>
      <c r="B1104" s="4" t="s">
        <v>3</v>
      </c>
      <c r="C1104" s="4" t="s">
        <v>21</v>
      </c>
      <c r="D1104" s="4">
        <v>2027</v>
      </c>
      <c r="E1104" s="4">
        <v>0</v>
      </c>
      <c r="F1104" s="4" t="s">
        <v>29</v>
      </c>
    </row>
    <row r="1105" spans="1:6" x14ac:dyDescent="0.25">
      <c r="A1105" s="4" t="s">
        <v>79</v>
      </c>
      <c r="B1105" s="4" t="s">
        <v>3</v>
      </c>
      <c r="C1105" s="4" t="s">
        <v>21</v>
      </c>
      <c r="D1105" s="4">
        <v>2028</v>
      </c>
      <c r="E1105" s="4">
        <v>0</v>
      </c>
      <c r="F1105" s="4" t="s">
        <v>29</v>
      </c>
    </row>
    <row r="1106" spans="1:6" x14ac:dyDescent="0.25">
      <c r="A1106" s="4" t="s">
        <v>79</v>
      </c>
      <c r="B1106" s="4" t="s">
        <v>3</v>
      </c>
      <c r="C1106" s="4" t="s">
        <v>21</v>
      </c>
      <c r="D1106" s="4">
        <v>2029</v>
      </c>
      <c r="E1106" s="4">
        <v>0</v>
      </c>
      <c r="F1106" s="4" t="s">
        <v>29</v>
      </c>
    </row>
    <row r="1107" spans="1:6" x14ac:dyDescent="0.25">
      <c r="A1107" s="4" t="s">
        <v>79</v>
      </c>
      <c r="B1107" s="4" t="s">
        <v>3</v>
      </c>
      <c r="C1107" s="4" t="s">
        <v>21</v>
      </c>
      <c r="D1107" s="4">
        <v>2030</v>
      </c>
      <c r="E1107" s="4">
        <v>0</v>
      </c>
      <c r="F1107" s="4" t="s">
        <v>29</v>
      </c>
    </row>
    <row r="1108" spans="1:6" x14ac:dyDescent="0.25">
      <c r="A1108" s="4" t="s">
        <v>79</v>
      </c>
      <c r="B1108" s="4" t="s">
        <v>3</v>
      </c>
      <c r="C1108" s="4" t="s">
        <v>21</v>
      </c>
      <c r="D1108" s="4">
        <v>2031</v>
      </c>
      <c r="E1108" s="4">
        <v>0</v>
      </c>
      <c r="F1108" s="4" t="s">
        <v>29</v>
      </c>
    </row>
    <row r="1109" spans="1:6" x14ac:dyDescent="0.25">
      <c r="A1109" s="4" t="s">
        <v>79</v>
      </c>
      <c r="B1109" s="4" t="s">
        <v>3</v>
      </c>
      <c r="C1109" s="4" t="s">
        <v>21</v>
      </c>
      <c r="D1109" s="4">
        <v>2032</v>
      </c>
      <c r="E1109" s="4">
        <v>0</v>
      </c>
      <c r="F1109" s="4" t="s">
        <v>29</v>
      </c>
    </row>
    <row r="1110" spans="1:6" x14ac:dyDescent="0.25">
      <c r="A1110" s="4" t="s">
        <v>79</v>
      </c>
      <c r="B1110" s="4" t="s">
        <v>3</v>
      </c>
      <c r="C1110" s="4" t="s">
        <v>21</v>
      </c>
      <c r="D1110" s="4">
        <v>2033</v>
      </c>
      <c r="E1110" s="4">
        <v>0</v>
      </c>
      <c r="F1110" s="4" t="s">
        <v>29</v>
      </c>
    </row>
    <row r="1111" spans="1:6" x14ac:dyDescent="0.25">
      <c r="A1111" s="4" t="s">
        <v>79</v>
      </c>
      <c r="B1111" s="4" t="s">
        <v>3</v>
      </c>
      <c r="C1111" s="4" t="s">
        <v>21</v>
      </c>
      <c r="D1111" s="4">
        <v>2034</v>
      </c>
      <c r="E1111" s="4">
        <v>0</v>
      </c>
      <c r="F1111" s="4" t="s">
        <v>29</v>
      </c>
    </row>
    <row r="1112" spans="1:6" x14ac:dyDescent="0.25">
      <c r="A1112" s="4" t="s">
        <v>79</v>
      </c>
      <c r="B1112" s="4" t="s">
        <v>3</v>
      </c>
      <c r="C1112" s="4" t="s">
        <v>21</v>
      </c>
      <c r="D1112" s="4">
        <v>2035</v>
      </c>
      <c r="E1112" s="4">
        <v>0</v>
      </c>
      <c r="F1112" s="4" t="s">
        <v>29</v>
      </c>
    </row>
    <row r="1113" spans="1:6" x14ac:dyDescent="0.25">
      <c r="A1113" s="4" t="s">
        <v>79</v>
      </c>
      <c r="B1113" s="4" t="s">
        <v>3</v>
      </c>
      <c r="C1113" s="4" t="s">
        <v>21</v>
      </c>
      <c r="D1113" s="4">
        <v>2036</v>
      </c>
      <c r="E1113" s="4">
        <v>0</v>
      </c>
      <c r="F1113" s="4" t="s">
        <v>29</v>
      </c>
    </row>
    <row r="1114" spans="1:6" x14ac:dyDescent="0.25">
      <c r="A1114" s="4" t="s">
        <v>79</v>
      </c>
      <c r="B1114" s="4" t="s">
        <v>3</v>
      </c>
      <c r="C1114" s="4" t="s">
        <v>21</v>
      </c>
      <c r="D1114" s="4">
        <v>2037</v>
      </c>
      <c r="E1114" s="4">
        <v>0</v>
      </c>
      <c r="F1114" s="4" t="s">
        <v>29</v>
      </c>
    </row>
    <row r="1115" spans="1:6" x14ac:dyDescent="0.25">
      <c r="A1115" s="4" t="s">
        <v>79</v>
      </c>
      <c r="B1115" s="4" t="s">
        <v>3</v>
      </c>
      <c r="C1115" s="4" t="s">
        <v>21</v>
      </c>
      <c r="D1115" s="4">
        <v>2038</v>
      </c>
      <c r="E1115" s="4">
        <v>0</v>
      </c>
      <c r="F1115" s="4" t="s">
        <v>29</v>
      </c>
    </row>
    <row r="1116" spans="1:6" x14ac:dyDescent="0.25">
      <c r="A1116" s="4" t="s">
        <v>79</v>
      </c>
      <c r="B1116" s="4" t="s">
        <v>3</v>
      </c>
      <c r="C1116" s="4" t="s">
        <v>21</v>
      </c>
      <c r="D1116" s="4">
        <v>2039</v>
      </c>
      <c r="E1116" s="4">
        <v>0</v>
      </c>
      <c r="F1116" s="4" t="s">
        <v>29</v>
      </c>
    </row>
    <row r="1117" spans="1:6" x14ac:dyDescent="0.25">
      <c r="A1117" s="4" t="s">
        <v>79</v>
      </c>
      <c r="B1117" s="4" t="s">
        <v>3</v>
      </c>
      <c r="C1117" s="4" t="s">
        <v>21</v>
      </c>
      <c r="D1117" s="4">
        <v>2040</v>
      </c>
      <c r="E1117" s="4">
        <v>0</v>
      </c>
      <c r="F1117" s="4" t="s">
        <v>29</v>
      </c>
    </row>
    <row r="1118" spans="1:6" x14ac:dyDescent="0.25">
      <c r="A1118" s="4" t="s">
        <v>79</v>
      </c>
      <c r="B1118" s="4" t="s">
        <v>23</v>
      </c>
      <c r="C1118" s="4" t="s">
        <v>21</v>
      </c>
      <c r="D1118" s="4">
        <v>2005</v>
      </c>
      <c r="E1118" s="4">
        <v>2050</v>
      </c>
      <c r="F1118" s="4" t="s">
        <v>29</v>
      </c>
    </row>
    <row r="1119" spans="1:6" x14ac:dyDescent="0.25">
      <c r="A1119" s="4" t="s">
        <v>79</v>
      </c>
      <c r="B1119" s="4" t="s">
        <v>23</v>
      </c>
      <c r="C1119" s="4" t="s">
        <v>21</v>
      </c>
      <c r="D1119" s="4">
        <v>2006</v>
      </c>
      <c r="E1119" s="4">
        <v>1910</v>
      </c>
      <c r="F1119" s="4" t="s">
        <v>29</v>
      </c>
    </row>
    <row r="1120" spans="1:6" x14ac:dyDescent="0.25">
      <c r="A1120" s="4" t="s">
        <v>79</v>
      </c>
      <c r="B1120" s="4" t="s">
        <v>23</v>
      </c>
      <c r="C1120" s="4" t="s">
        <v>21</v>
      </c>
      <c r="D1120" s="4">
        <v>2007</v>
      </c>
      <c r="E1120" s="4">
        <v>1890</v>
      </c>
      <c r="F1120" s="4" t="s">
        <v>29</v>
      </c>
    </row>
    <row r="1121" spans="1:6" x14ac:dyDescent="0.25">
      <c r="A1121" s="4" t="s">
        <v>79</v>
      </c>
      <c r="B1121" s="4" t="s">
        <v>23</v>
      </c>
      <c r="C1121" s="4" t="s">
        <v>21</v>
      </c>
      <c r="D1121" s="4">
        <v>2008</v>
      </c>
      <c r="E1121" s="4">
        <v>1750</v>
      </c>
      <c r="F1121" s="4" t="s">
        <v>29</v>
      </c>
    </row>
    <row r="1122" spans="1:6" x14ac:dyDescent="0.25">
      <c r="A1122" s="4" t="s">
        <v>79</v>
      </c>
      <c r="B1122" s="4" t="s">
        <v>23</v>
      </c>
      <c r="C1122" s="4" t="s">
        <v>21</v>
      </c>
      <c r="D1122" s="4">
        <v>2009</v>
      </c>
      <c r="E1122" s="4">
        <v>1130</v>
      </c>
      <c r="F1122" s="4" t="s">
        <v>29</v>
      </c>
    </row>
    <row r="1123" spans="1:6" x14ac:dyDescent="0.25">
      <c r="A1123" s="4" t="s">
        <v>79</v>
      </c>
      <c r="B1123" s="4" t="s">
        <v>23</v>
      </c>
      <c r="C1123" s="4" t="s">
        <v>21</v>
      </c>
      <c r="D1123" s="4">
        <v>2010</v>
      </c>
      <c r="E1123" s="4">
        <v>1070</v>
      </c>
      <c r="F1123" s="4" t="s">
        <v>29</v>
      </c>
    </row>
    <row r="1124" spans="1:6" x14ac:dyDescent="0.25">
      <c r="A1124" s="4" t="s">
        <v>79</v>
      </c>
      <c r="B1124" s="4" t="s">
        <v>23</v>
      </c>
      <c r="C1124" s="4" t="s">
        <v>21</v>
      </c>
      <c r="D1124" s="4">
        <v>2011</v>
      </c>
      <c r="E1124" s="4">
        <v>860</v>
      </c>
      <c r="F1124" s="4" t="s">
        <v>29</v>
      </c>
    </row>
    <row r="1125" spans="1:6" x14ac:dyDescent="0.25">
      <c r="A1125" s="4" t="s">
        <v>79</v>
      </c>
      <c r="B1125" s="4" t="s">
        <v>23</v>
      </c>
      <c r="C1125" s="4" t="s">
        <v>21</v>
      </c>
      <c r="D1125" s="4">
        <v>2012</v>
      </c>
      <c r="E1125" s="4">
        <v>580</v>
      </c>
      <c r="F1125" s="4" t="s">
        <v>29</v>
      </c>
    </row>
    <row r="1126" spans="1:6" x14ac:dyDescent="0.25">
      <c r="A1126" s="4" t="s">
        <v>79</v>
      </c>
      <c r="B1126" s="4" t="s">
        <v>23</v>
      </c>
      <c r="C1126" s="4" t="s">
        <v>21</v>
      </c>
      <c r="D1126" s="4">
        <v>2013</v>
      </c>
      <c r="E1126" s="4">
        <v>330</v>
      </c>
      <c r="F1126" s="4" t="s">
        <v>29</v>
      </c>
    </row>
    <row r="1127" spans="1:6" x14ac:dyDescent="0.25">
      <c r="A1127" s="4" t="s">
        <v>79</v>
      </c>
      <c r="B1127" s="4" t="s">
        <v>23</v>
      </c>
      <c r="C1127" s="4" t="s">
        <v>21</v>
      </c>
      <c r="D1127" s="4">
        <v>2014</v>
      </c>
      <c r="E1127" s="4">
        <v>460</v>
      </c>
      <c r="F1127" s="4" t="s">
        <v>29</v>
      </c>
    </row>
    <row r="1128" spans="1:6" x14ac:dyDescent="0.25">
      <c r="A1128" s="4" t="s">
        <v>79</v>
      </c>
      <c r="B1128" s="4" t="s">
        <v>23</v>
      </c>
      <c r="C1128" s="4" t="s">
        <v>21</v>
      </c>
      <c r="D1128" s="4">
        <v>2015</v>
      </c>
      <c r="E1128" s="4">
        <v>439.2230136986301</v>
      </c>
      <c r="F1128" s="4" t="s">
        <v>29</v>
      </c>
    </row>
    <row r="1129" spans="1:6" x14ac:dyDescent="0.25">
      <c r="A1129" s="4" t="s">
        <v>79</v>
      </c>
      <c r="B1129" s="4" t="s">
        <v>23</v>
      </c>
      <c r="C1129" s="4" t="s">
        <v>21</v>
      </c>
      <c r="D1129" s="4">
        <v>2016</v>
      </c>
      <c r="E1129" s="4">
        <v>416.31040165903886</v>
      </c>
      <c r="F1129" s="4" t="s">
        <v>29</v>
      </c>
    </row>
    <row r="1130" spans="1:6" x14ac:dyDescent="0.25">
      <c r="A1130" s="4" t="s">
        <v>79</v>
      </c>
      <c r="B1130" s="4" t="s">
        <v>23</v>
      </c>
      <c r="C1130" s="4" t="s">
        <v>21</v>
      </c>
      <c r="D1130" s="4">
        <v>2017</v>
      </c>
      <c r="E1130" s="4">
        <v>312</v>
      </c>
      <c r="F1130" s="4" t="s">
        <v>29</v>
      </c>
    </row>
    <row r="1131" spans="1:6" x14ac:dyDescent="0.25">
      <c r="A1131" s="4" t="s">
        <v>79</v>
      </c>
      <c r="B1131" s="4" t="s">
        <v>23</v>
      </c>
      <c r="C1131" s="4" t="s">
        <v>21</v>
      </c>
      <c r="D1131" s="4">
        <v>2018</v>
      </c>
      <c r="E1131" s="4">
        <v>302</v>
      </c>
      <c r="F1131" s="4" t="s">
        <v>29</v>
      </c>
    </row>
    <row r="1132" spans="1:6" x14ac:dyDescent="0.25">
      <c r="A1132" s="4" t="s">
        <v>79</v>
      </c>
      <c r="B1132" s="4" t="s">
        <v>23</v>
      </c>
      <c r="C1132" s="4" t="s">
        <v>21</v>
      </c>
      <c r="D1132" s="4">
        <v>2019</v>
      </c>
      <c r="E1132" s="4">
        <v>287</v>
      </c>
      <c r="F1132" s="4" t="s">
        <v>29</v>
      </c>
    </row>
    <row r="1133" spans="1:6" x14ac:dyDescent="0.25">
      <c r="A1133" s="4" t="s">
        <v>79</v>
      </c>
      <c r="B1133" s="4" t="s">
        <v>23</v>
      </c>
      <c r="C1133" s="4" t="s">
        <v>21</v>
      </c>
      <c r="D1133" s="4">
        <v>2020</v>
      </c>
      <c r="E1133" s="4">
        <v>223</v>
      </c>
      <c r="F1133" s="4" t="s">
        <v>29</v>
      </c>
    </row>
    <row r="1134" spans="1:6" x14ac:dyDescent="0.25">
      <c r="A1134" s="4" t="s">
        <v>79</v>
      </c>
      <c r="B1134" s="4" t="s">
        <v>23</v>
      </c>
      <c r="C1134" s="4" t="s">
        <v>21</v>
      </c>
      <c r="D1134" s="4">
        <v>2021</v>
      </c>
      <c r="E1134" s="4">
        <v>201</v>
      </c>
      <c r="F1134" s="4" t="s">
        <v>29</v>
      </c>
    </row>
    <row r="1135" spans="1:6" x14ac:dyDescent="0.25">
      <c r="A1135" s="4" t="s">
        <v>79</v>
      </c>
      <c r="B1135" s="4" t="s">
        <v>23</v>
      </c>
      <c r="C1135" s="4" t="s">
        <v>21</v>
      </c>
      <c r="D1135" s="4">
        <v>2022</v>
      </c>
      <c r="E1135" s="4">
        <v>0</v>
      </c>
      <c r="F1135" s="4" t="s">
        <v>29</v>
      </c>
    </row>
    <row r="1136" spans="1:6" x14ac:dyDescent="0.25">
      <c r="A1136" s="4" t="s">
        <v>79</v>
      </c>
      <c r="B1136" s="4" t="s">
        <v>23</v>
      </c>
      <c r="C1136" s="4" t="s">
        <v>21</v>
      </c>
      <c r="D1136" s="4">
        <v>2023</v>
      </c>
      <c r="E1136" s="4">
        <v>0</v>
      </c>
      <c r="F1136" s="4" t="s">
        <v>29</v>
      </c>
    </row>
    <row r="1137" spans="1:6" x14ac:dyDescent="0.25">
      <c r="A1137" s="4" t="s">
        <v>79</v>
      </c>
      <c r="B1137" s="4" t="s">
        <v>23</v>
      </c>
      <c r="C1137" s="4" t="s">
        <v>21</v>
      </c>
      <c r="D1137" s="4">
        <v>2024</v>
      </c>
      <c r="E1137" s="4">
        <v>0</v>
      </c>
      <c r="F1137" s="4" t="s">
        <v>29</v>
      </c>
    </row>
    <row r="1138" spans="1:6" x14ac:dyDescent="0.25">
      <c r="A1138" s="4" t="s">
        <v>79</v>
      </c>
      <c r="B1138" s="4" t="s">
        <v>23</v>
      </c>
      <c r="C1138" s="4" t="s">
        <v>21</v>
      </c>
      <c r="D1138" s="4">
        <v>2025</v>
      </c>
      <c r="E1138" s="4">
        <v>0</v>
      </c>
      <c r="F1138" s="4" t="s">
        <v>29</v>
      </c>
    </row>
    <row r="1139" spans="1:6" x14ac:dyDescent="0.25">
      <c r="A1139" s="4" t="s">
        <v>79</v>
      </c>
      <c r="B1139" s="4" t="s">
        <v>23</v>
      </c>
      <c r="C1139" s="4" t="s">
        <v>21</v>
      </c>
      <c r="D1139" s="4">
        <v>2026</v>
      </c>
      <c r="E1139" s="4">
        <v>0</v>
      </c>
      <c r="F1139" s="4" t="s">
        <v>29</v>
      </c>
    </row>
    <row r="1140" spans="1:6" x14ac:dyDescent="0.25">
      <c r="A1140" s="4" t="s">
        <v>79</v>
      </c>
      <c r="B1140" s="4" t="s">
        <v>23</v>
      </c>
      <c r="C1140" s="4" t="s">
        <v>21</v>
      </c>
      <c r="D1140" s="4">
        <v>2027</v>
      </c>
      <c r="E1140" s="4">
        <v>0</v>
      </c>
      <c r="F1140" s="4" t="s">
        <v>29</v>
      </c>
    </row>
    <row r="1141" spans="1:6" x14ac:dyDescent="0.25">
      <c r="A1141" s="4" t="s">
        <v>79</v>
      </c>
      <c r="B1141" s="4" t="s">
        <v>23</v>
      </c>
      <c r="C1141" s="4" t="s">
        <v>21</v>
      </c>
      <c r="D1141" s="4">
        <v>2028</v>
      </c>
      <c r="E1141" s="4">
        <v>0</v>
      </c>
      <c r="F1141" s="4" t="s">
        <v>29</v>
      </c>
    </row>
    <row r="1142" spans="1:6" x14ac:dyDescent="0.25">
      <c r="A1142" s="4" t="s">
        <v>79</v>
      </c>
      <c r="B1142" s="4" t="s">
        <v>23</v>
      </c>
      <c r="C1142" s="4" t="s">
        <v>21</v>
      </c>
      <c r="D1142" s="4">
        <v>2029</v>
      </c>
      <c r="E1142" s="4">
        <v>0</v>
      </c>
      <c r="F1142" s="4" t="s">
        <v>29</v>
      </c>
    </row>
    <row r="1143" spans="1:6" x14ac:dyDescent="0.25">
      <c r="A1143" s="4" t="s">
        <v>79</v>
      </c>
      <c r="B1143" s="4" t="s">
        <v>23</v>
      </c>
      <c r="C1143" s="4" t="s">
        <v>21</v>
      </c>
      <c r="D1143" s="4">
        <v>2030</v>
      </c>
      <c r="E1143" s="4">
        <v>0</v>
      </c>
      <c r="F1143" s="4" t="s">
        <v>29</v>
      </c>
    </row>
    <row r="1144" spans="1:6" x14ac:dyDescent="0.25">
      <c r="A1144" s="4" t="s">
        <v>79</v>
      </c>
      <c r="B1144" s="4" t="s">
        <v>23</v>
      </c>
      <c r="C1144" s="4" t="s">
        <v>21</v>
      </c>
      <c r="D1144" s="4">
        <v>2031</v>
      </c>
      <c r="E1144" s="4">
        <v>0</v>
      </c>
      <c r="F1144" s="4" t="s">
        <v>29</v>
      </c>
    </row>
    <row r="1145" spans="1:6" x14ac:dyDescent="0.25">
      <c r="A1145" s="4" t="s">
        <v>79</v>
      </c>
      <c r="B1145" s="4" t="s">
        <v>23</v>
      </c>
      <c r="C1145" s="4" t="s">
        <v>21</v>
      </c>
      <c r="D1145" s="4">
        <v>2032</v>
      </c>
      <c r="E1145" s="4">
        <v>0</v>
      </c>
      <c r="F1145" s="4" t="s">
        <v>29</v>
      </c>
    </row>
    <row r="1146" spans="1:6" x14ac:dyDescent="0.25">
      <c r="A1146" s="4" t="s">
        <v>79</v>
      </c>
      <c r="B1146" s="4" t="s">
        <v>23</v>
      </c>
      <c r="C1146" s="4" t="s">
        <v>21</v>
      </c>
      <c r="D1146" s="4">
        <v>2033</v>
      </c>
      <c r="E1146" s="4">
        <v>0</v>
      </c>
      <c r="F1146" s="4" t="s">
        <v>29</v>
      </c>
    </row>
    <row r="1147" spans="1:6" x14ac:dyDescent="0.25">
      <c r="A1147" s="4" t="s">
        <v>79</v>
      </c>
      <c r="B1147" s="4" t="s">
        <v>23</v>
      </c>
      <c r="C1147" s="4" t="s">
        <v>21</v>
      </c>
      <c r="D1147" s="4">
        <v>2034</v>
      </c>
      <c r="E1147" s="4">
        <v>0</v>
      </c>
      <c r="F1147" s="4" t="s">
        <v>29</v>
      </c>
    </row>
    <row r="1148" spans="1:6" x14ac:dyDescent="0.25">
      <c r="A1148" s="4" t="s">
        <v>79</v>
      </c>
      <c r="B1148" s="4" t="s">
        <v>23</v>
      </c>
      <c r="C1148" s="4" t="s">
        <v>21</v>
      </c>
      <c r="D1148" s="4">
        <v>2035</v>
      </c>
      <c r="E1148" s="4">
        <v>0</v>
      </c>
      <c r="F1148" s="4" t="s">
        <v>29</v>
      </c>
    </row>
    <row r="1149" spans="1:6" x14ac:dyDescent="0.25">
      <c r="A1149" s="4" t="s">
        <v>79</v>
      </c>
      <c r="B1149" s="4" t="s">
        <v>23</v>
      </c>
      <c r="C1149" s="4" t="s">
        <v>21</v>
      </c>
      <c r="D1149" s="4">
        <v>2036</v>
      </c>
      <c r="E1149" s="4">
        <v>0</v>
      </c>
      <c r="F1149" s="4" t="s">
        <v>29</v>
      </c>
    </row>
    <row r="1150" spans="1:6" x14ac:dyDescent="0.25">
      <c r="A1150" s="4" t="s">
        <v>79</v>
      </c>
      <c r="B1150" s="4" t="s">
        <v>23</v>
      </c>
      <c r="C1150" s="4" t="s">
        <v>21</v>
      </c>
      <c r="D1150" s="4">
        <v>2037</v>
      </c>
      <c r="E1150" s="4">
        <v>0</v>
      </c>
      <c r="F1150" s="4" t="s">
        <v>29</v>
      </c>
    </row>
    <row r="1151" spans="1:6" x14ac:dyDescent="0.25">
      <c r="A1151" s="4" t="s">
        <v>79</v>
      </c>
      <c r="B1151" s="4" t="s">
        <v>23</v>
      </c>
      <c r="C1151" s="4" t="s">
        <v>21</v>
      </c>
      <c r="D1151" s="4">
        <v>2038</v>
      </c>
      <c r="E1151" s="4">
        <v>0</v>
      </c>
      <c r="F1151" s="4" t="s">
        <v>29</v>
      </c>
    </row>
    <row r="1152" spans="1:6" x14ac:dyDescent="0.25">
      <c r="A1152" s="4" t="s">
        <v>79</v>
      </c>
      <c r="B1152" s="4" t="s">
        <v>23</v>
      </c>
      <c r="C1152" s="4" t="s">
        <v>21</v>
      </c>
      <c r="D1152" s="4">
        <v>2039</v>
      </c>
      <c r="E1152" s="4">
        <v>0</v>
      </c>
      <c r="F1152" s="4" t="s">
        <v>29</v>
      </c>
    </row>
    <row r="1153" spans="1:6" x14ac:dyDescent="0.25">
      <c r="A1153" s="4" t="s">
        <v>79</v>
      </c>
      <c r="B1153" s="4" t="s">
        <v>23</v>
      </c>
      <c r="C1153" s="4" t="s">
        <v>21</v>
      </c>
      <c r="D1153" s="4">
        <v>2040</v>
      </c>
      <c r="E1153" s="4">
        <v>0</v>
      </c>
      <c r="F1153" s="4" t="s">
        <v>29</v>
      </c>
    </row>
    <row r="1154" spans="1:6" x14ac:dyDescent="0.25">
      <c r="A1154" s="4" t="s">
        <v>80</v>
      </c>
      <c r="B1154" s="4" t="s">
        <v>1</v>
      </c>
      <c r="C1154" s="4" t="s">
        <v>21</v>
      </c>
      <c r="D1154" s="4">
        <v>2005</v>
      </c>
      <c r="E1154" s="4">
        <v>48470</v>
      </c>
      <c r="F1154" s="4" t="s">
        <v>29</v>
      </c>
    </row>
    <row r="1155" spans="1:6" x14ac:dyDescent="0.25">
      <c r="A1155" s="4" t="s">
        <v>80</v>
      </c>
      <c r="B1155" s="4" t="s">
        <v>1</v>
      </c>
      <c r="C1155" s="4" t="s">
        <v>21</v>
      </c>
      <c r="D1155" s="4">
        <v>2006</v>
      </c>
      <c r="E1155" s="4">
        <v>48280</v>
      </c>
      <c r="F1155" s="4" t="s">
        <v>29</v>
      </c>
    </row>
    <row r="1156" spans="1:6" x14ac:dyDescent="0.25">
      <c r="A1156" s="4" t="s">
        <v>80</v>
      </c>
      <c r="B1156" s="4" t="s">
        <v>1</v>
      </c>
      <c r="C1156" s="4" t="s">
        <v>21</v>
      </c>
      <c r="D1156" s="4">
        <v>2007</v>
      </c>
      <c r="E1156" s="4">
        <v>58580</v>
      </c>
      <c r="F1156" s="4" t="s">
        <v>29</v>
      </c>
    </row>
    <row r="1157" spans="1:6" x14ac:dyDescent="0.25">
      <c r="A1157" s="4" t="s">
        <v>80</v>
      </c>
      <c r="B1157" s="4" t="s">
        <v>1</v>
      </c>
      <c r="C1157" s="4" t="s">
        <v>21</v>
      </c>
      <c r="D1157" s="4">
        <v>2008</v>
      </c>
      <c r="E1157" s="4">
        <v>54550</v>
      </c>
      <c r="F1157" s="4" t="s">
        <v>29</v>
      </c>
    </row>
    <row r="1158" spans="1:6" x14ac:dyDescent="0.25">
      <c r="A1158" s="4" t="s">
        <v>80</v>
      </c>
      <c r="B1158" s="4" t="s">
        <v>1</v>
      </c>
      <c r="C1158" s="4" t="s">
        <v>21</v>
      </c>
      <c r="D1158" s="4">
        <v>2009</v>
      </c>
      <c r="E1158" s="4">
        <v>42550</v>
      </c>
      <c r="F1158" s="4" t="s">
        <v>29</v>
      </c>
    </row>
    <row r="1159" spans="1:6" x14ac:dyDescent="0.25">
      <c r="A1159" s="4" t="s">
        <v>80</v>
      </c>
      <c r="B1159" s="4" t="s">
        <v>1</v>
      </c>
      <c r="C1159" s="4" t="s">
        <v>21</v>
      </c>
      <c r="D1159" s="4">
        <v>2010</v>
      </c>
      <c r="E1159" s="4">
        <v>43850</v>
      </c>
      <c r="F1159" s="4" t="s">
        <v>29</v>
      </c>
    </row>
    <row r="1160" spans="1:6" x14ac:dyDescent="0.25">
      <c r="A1160" s="4" t="s">
        <v>80</v>
      </c>
      <c r="B1160" s="4" t="s">
        <v>1</v>
      </c>
      <c r="C1160" s="4" t="s">
        <v>21</v>
      </c>
      <c r="D1160" s="4">
        <v>2011</v>
      </c>
      <c r="E1160" s="4">
        <v>42140</v>
      </c>
      <c r="F1160" s="4" t="s">
        <v>29</v>
      </c>
    </row>
    <row r="1161" spans="1:6" x14ac:dyDescent="0.25">
      <c r="A1161" s="4" t="s">
        <v>80</v>
      </c>
      <c r="B1161" s="4" t="s">
        <v>1</v>
      </c>
      <c r="C1161" s="4" t="s">
        <v>21</v>
      </c>
      <c r="D1161" s="4">
        <v>2012</v>
      </c>
      <c r="E1161" s="4">
        <v>31430</v>
      </c>
      <c r="F1161" s="4" t="s">
        <v>29</v>
      </c>
    </row>
    <row r="1162" spans="1:6" x14ac:dyDescent="0.25">
      <c r="A1162" s="4" t="s">
        <v>80</v>
      </c>
      <c r="B1162" s="4" t="s">
        <v>1</v>
      </c>
      <c r="C1162" s="4" t="s">
        <v>21</v>
      </c>
      <c r="D1162" s="4">
        <v>2013</v>
      </c>
      <c r="E1162" s="4">
        <v>36870</v>
      </c>
      <c r="F1162" s="4" t="s">
        <v>29</v>
      </c>
    </row>
    <row r="1163" spans="1:6" x14ac:dyDescent="0.25">
      <c r="A1163" s="4" t="s">
        <v>80</v>
      </c>
      <c r="B1163" s="4" t="s">
        <v>1</v>
      </c>
      <c r="C1163" s="4" t="s">
        <v>21</v>
      </c>
      <c r="D1163" s="4">
        <v>2014</v>
      </c>
      <c r="E1163" s="4">
        <v>34340</v>
      </c>
      <c r="F1163" s="4" t="s">
        <v>29</v>
      </c>
    </row>
    <row r="1164" spans="1:6" x14ac:dyDescent="0.25">
      <c r="A1164" s="4" t="s">
        <v>80</v>
      </c>
      <c r="B1164" s="4" t="s">
        <v>1</v>
      </c>
      <c r="C1164" s="4" t="s">
        <v>21</v>
      </c>
      <c r="D1164" s="4">
        <v>2015</v>
      </c>
      <c r="E1164" s="4">
        <v>27348</v>
      </c>
      <c r="F1164" s="4" t="s">
        <v>29</v>
      </c>
    </row>
    <row r="1165" spans="1:6" x14ac:dyDescent="0.25">
      <c r="A1165" s="4" t="s">
        <v>80</v>
      </c>
      <c r="B1165" s="4" t="s">
        <v>1</v>
      </c>
      <c r="C1165" s="4" t="s">
        <v>21</v>
      </c>
      <c r="D1165" s="4">
        <v>2016</v>
      </c>
      <c r="E1165" s="4">
        <v>33334</v>
      </c>
      <c r="F1165" s="4" t="s">
        <v>29</v>
      </c>
    </row>
    <row r="1166" spans="1:6" x14ac:dyDescent="0.25">
      <c r="A1166" s="4" t="s">
        <v>80</v>
      </c>
      <c r="B1166" s="4" t="s">
        <v>1</v>
      </c>
      <c r="C1166" s="4" t="s">
        <v>21</v>
      </c>
      <c r="D1166" s="4">
        <v>2017</v>
      </c>
      <c r="E1166" s="4">
        <v>34760</v>
      </c>
      <c r="F1166" s="4" t="s">
        <v>29</v>
      </c>
    </row>
    <row r="1167" spans="1:6" x14ac:dyDescent="0.25">
      <c r="A1167" s="4" t="s">
        <v>80</v>
      </c>
      <c r="B1167" s="4" t="s">
        <v>1</v>
      </c>
      <c r="C1167" s="4" t="s">
        <v>21</v>
      </c>
      <c r="D1167" s="4">
        <v>2018</v>
      </c>
      <c r="E1167" s="4">
        <v>29943.074179243024</v>
      </c>
      <c r="F1167" s="4" t="s">
        <v>29</v>
      </c>
    </row>
    <row r="1168" spans="1:6" x14ac:dyDescent="0.25">
      <c r="A1168" s="4" t="s">
        <v>80</v>
      </c>
      <c r="B1168" s="4" t="s">
        <v>1</v>
      </c>
      <c r="C1168" s="4" t="s">
        <v>21</v>
      </c>
      <c r="D1168" s="4">
        <v>2019</v>
      </c>
      <c r="E1168" s="4">
        <v>29968.449411092381</v>
      </c>
      <c r="F1168" s="4" t="s">
        <v>29</v>
      </c>
    </row>
    <row r="1169" spans="1:6" x14ac:dyDescent="0.25">
      <c r="A1169" s="4" t="s">
        <v>80</v>
      </c>
      <c r="B1169" s="4" t="s">
        <v>1</v>
      </c>
      <c r="C1169" s="4" t="s">
        <v>21</v>
      </c>
      <c r="D1169" s="4">
        <v>2020</v>
      </c>
      <c r="E1169" s="4">
        <v>23373.788212816609</v>
      </c>
      <c r="F1169" s="4" t="s">
        <v>29</v>
      </c>
    </row>
    <row r="1170" spans="1:6" x14ac:dyDescent="0.25">
      <c r="A1170" s="4" t="s">
        <v>80</v>
      </c>
      <c r="B1170" s="4" t="s">
        <v>1</v>
      </c>
      <c r="C1170" s="4" t="s">
        <v>21</v>
      </c>
      <c r="D1170" s="4">
        <v>2021</v>
      </c>
      <c r="E1170" s="4">
        <v>23819.012558388451</v>
      </c>
      <c r="F1170" s="4" t="s">
        <v>29</v>
      </c>
    </row>
    <row r="1171" spans="1:6" x14ac:dyDescent="0.25">
      <c r="A1171" s="4" t="s">
        <v>80</v>
      </c>
      <c r="B1171" s="4" t="s">
        <v>1</v>
      </c>
      <c r="C1171" s="4" t="s">
        <v>21</v>
      </c>
      <c r="D1171" s="4">
        <v>2022</v>
      </c>
      <c r="E1171" s="4">
        <v>23313.191624099385</v>
      </c>
      <c r="F1171" s="4" t="s">
        <v>29</v>
      </c>
    </row>
    <row r="1172" spans="1:6" x14ac:dyDescent="0.25">
      <c r="A1172" s="4" t="s">
        <v>80</v>
      </c>
      <c r="B1172" s="4" t="s">
        <v>1</v>
      </c>
      <c r="C1172" s="4" t="s">
        <v>21</v>
      </c>
      <c r="D1172" s="4">
        <v>2023</v>
      </c>
      <c r="E1172" s="4">
        <v>26668.918521480115</v>
      </c>
      <c r="F1172" s="4" t="s">
        <v>29</v>
      </c>
    </row>
    <row r="1173" spans="1:6" x14ac:dyDescent="0.25">
      <c r="A1173" s="4" t="s">
        <v>80</v>
      </c>
      <c r="B1173" s="4" t="s">
        <v>1</v>
      </c>
      <c r="C1173" s="4" t="s">
        <v>21</v>
      </c>
      <c r="D1173" s="4">
        <v>2024</v>
      </c>
      <c r="E1173" s="4">
        <v>26008.9765202526</v>
      </c>
      <c r="F1173" s="4" t="s">
        <v>29</v>
      </c>
    </row>
    <row r="1174" spans="1:6" x14ac:dyDescent="0.25">
      <c r="A1174" s="4" t="s">
        <v>80</v>
      </c>
      <c r="B1174" s="4" t="s">
        <v>1</v>
      </c>
      <c r="C1174" s="4" t="s">
        <v>21</v>
      </c>
      <c r="D1174" s="4">
        <v>2025</v>
      </c>
      <c r="E1174" s="4">
        <v>25222.764641027643</v>
      </c>
      <c r="F1174" s="4" t="s">
        <v>29</v>
      </c>
    </row>
    <row r="1175" spans="1:6" x14ac:dyDescent="0.25">
      <c r="A1175" s="4" t="s">
        <v>80</v>
      </c>
      <c r="B1175" s="4" t="s">
        <v>1</v>
      </c>
      <c r="C1175" s="4" t="s">
        <v>21</v>
      </c>
      <c r="D1175" s="4">
        <v>2026</v>
      </c>
      <c r="E1175" s="4">
        <v>23101.052005617599</v>
      </c>
      <c r="F1175" s="4" t="s">
        <v>29</v>
      </c>
    </row>
    <row r="1176" spans="1:6" x14ac:dyDescent="0.25">
      <c r="A1176" s="4" t="s">
        <v>80</v>
      </c>
      <c r="B1176" s="4" t="s">
        <v>1</v>
      </c>
      <c r="C1176" s="4" t="s">
        <v>21</v>
      </c>
      <c r="D1176" s="4">
        <v>2027</v>
      </c>
      <c r="E1176" s="4">
        <v>21315.528468139553</v>
      </c>
      <c r="F1176" s="4" t="s">
        <v>29</v>
      </c>
    </row>
    <row r="1177" spans="1:6" x14ac:dyDescent="0.25">
      <c r="A1177" s="4" t="s">
        <v>80</v>
      </c>
      <c r="B1177" s="4" t="s">
        <v>1</v>
      </c>
      <c r="C1177" s="4" t="s">
        <v>21</v>
      </c>
      <c r="D1177" s="4">
        <v>2028</v>
      </c>
      <c r="E1177" s="4">
        <v>21681.60127746845</v>
      </c>
      <c r="F1177" s="4" t="s">
        <v>29</v>
      </c>
    </row>
    <row r="1178" spans="1:6" x14ac:dyDescent="0.25">
      <c r="A1178" s="4" t="s">
        <v>80</v>
      </c>
      <c r="B1178" s="4" t="s">
        <v>1</v>
      </c>
      <c r="C1178" s="4" t="s">
        <v>21</v>
      </c>
      <c r="D1178" s="4">
        <v>2029</v>
      </c>
      <c r="E1178" s="4">
        <v>23300.590956273947</v>
      </c>
      <c r="F1178" s="4" t="s">
        <v>29</v>
      </c>
    </row>
    <row r="1179" spans="1:6" x14ac:dyDescent="0.25">
      <c r="A1179" s="4" t="s">
        <v>80</v>
      </c>
      <c r="B1179" s="4" t="s">
        <v>1</v>
      </c>
      <c r="C1179" s="4" t="s">
        <v>21</v>
      </c>
      <c r="D1179" s="4">
        <v>2030</v>
      </c>
      <c r="E1179" s="4">
        <v>24076.950049990723</v>
      </c>
      <c r="F1179" s="4" t="s">
        <v>29</v>
      </c>
    </row>
    <row r="1180" spans="1:6" x14ac:dyDescent="0.25">
      <c r="A1180" s="4" t="s">
        <v>80</v>
      </c>
      <c r="B1180" s="4" t="s">
        <v>1</v>
      </c>
      <c r="C1180" s="4" t="s">
        <v>21</v>
      </c>
      <c r="D1180" s="4">
        <v>2031</v>
      </c>
      <c r="E1180" s="4">
        <v>23137.625187581332</v>
      </c>
      <c r="F1180" s="4" t="s">
        <v>29</v>
      </c>
    </row>
    <row r="1181" spans="1:6" x14ac:dyDescent="0.25">
      <c r="A1181" s="4" t="s">
        <v>80</v>
      </c>
      <c r="B1181" s="4" t="s">
        <v>1</v>
      </c>
      <c r="C1181" s="4" t="s">
        <v>21</v>
      </c>
      <c r="D1181" s="4">
        <v>2032</v>
      </c>
      <c r="E1181" s="4">
        <v>21049.226018957255</v>
      </c>
      <c r="F1181" s="4" t="s">
        <v>29</v>
      </c>
    </row>
    <row r="1182" spans="1:6" x14ac:dyDescent="0.25">
      <c r="A1182" s="4" t="s">
        <v>80</v>
      </c>
      <c r="B1182" s="4" t="s">
        <v>1</v>
      </c>
      <c r="C1182" s="4" t="s">
        <v>21</v>
      </c>
      <c r="D1182" s="4">
        <v>2033</v>
      </c>
      <c r="E1182" s="4">
        <v>20814.4868804742</v>
      </c>
      <c r="F1182" s="4" t="s">
        <v>29</v>
      </c>
    </row>
    <row r="1183" spans="1:6" x14ac:dyDescent="0.25">
      <c r="A1183" s="4" t="s">
        <v>80</v>
      </c>
      <c r="B1183" s="4" t="s">
        <v>1</v>
      </c>
      <c r="C1183" s="4" t="s">
        <v>21</v>
      </c>
      <c r="D1183" s="4">
        <v>2034</v>
      </c>
      <c r="E1183" s="4">
        <v>21338.511891331935</v>
      </c>
      <c r="F1183" s="4" t="s">
        <v>29</v>
      </c>
    </row>
    <row r="1184" spans="1:6" x14ac:dyDescent="0.25">
      <c r="A1184" s="4" t="s">
        <v>80</v>
      </c>
      <c r="B1184" s="4" t="s">
        <v>1</v>
      </c>
      <c r="C1184" s="4" t="s">
        <v>21</v>
      </c>
      <c r="D1184" s="4">
        <v>2035</v>
      </c>
      <c r="E1184" s="4">
        <v>21932.292189439086</v>
      </c>
      <c r="F1184" s="4" t="s">
        <v>29</v>
      </c>
    </row>
    <row r="1185" spans="1:6" x14ac:dyDescent="0.25">
      <c r="A1185" s="4" t="s">
        <v>80</v>
      </c>
      <c r="B1185" s="4" t="s">
        <v>1</v>
      </c>
      <c r="C1185" s="4" t="s">
        <v>21</v>
      </c>
      <c r="D1185" s="4">
        <v>2036</v>
      </c>
      <c r="E1185" s="4">
        <v>21297.828854384661</v>
      </c>
      <c r="F1185" s="4" t="s">
        <v>29</v>
      </c>
    </row>
    <row r="1186" spans="1:6" x14ac:dyDescent="0.25">
      <c r="A1186" s="4" t="s">
        <v>80</v>
      </c>
      <c r="B1186" s="4" t="s">
        <v>1</v>
      </c>
      <c r="C1186" s="4" t="s">
        <v>21</v>
      </c>
      <c r="D1186" s="4">
        <v>2037</v>
      </c>
      <c r="E1186" s="4">
        <v>19497.05124591013</v>
      </c>
      <c r="F1186" s="4" t="s">
        <v>29</v>
      </c>
    </row>
    <row r="1187" spans="1:6" x14ac:dyDescent="0.25">
      <c r="A1187" s="4" t="s">
        <v>80</v>
      </c>
      <c r="B1187" s="4" t="s">
        <v>1</v>
      </c>
      <c r="C1187" s="4" t="s">
        <v>21</v>
      </c>
      <c r="D1187" s="4">
        <v>2038</v>
      </c>
      <c r="E1187" s="4">
        <v>17366.596586755739</v>
      </c>
      <c r="F1187" s="4" t="s">
        <v>29</v>
      </c>
    </row>
    <row r="1188" spans="1:6" x14ac:dyDescent="0.25">
      <c r="A1188" s="4" t="s">
        <v>80</v>
      </c>
      <c r="B1188" s="4" t="s">
        <v>1</v>
      </c>
      <c r="C1188" s="4" t="s">
        <v>21</v>
      </c>
      <c r="D1188" s="4">
        <v>2039</v>
      </c>
      <c r="E1188" s="4">
        <v>15311.287004554253</v>
      </c>
      <c r="F1188" s="4" t="s">
        <v>29</v>
      </c>
    </row>
    <row r="1189" spans="1:6" x14ac:dyDescent="0.25">
      <c r="A1189" s="4" t="s">
        <v>80</v>
      </c>
      <c r="B1189" s="4" t="s">
        <v>1</v>
      </c>
      <c r="C1189" s="4" t="s">
        <v>21</v>
      </c>
      <c r="D1189" s="4">
        <v>2040</v>
      </c>
      <c r="E1189" s="4">
        <v>13151.710854170984</v>
      </c>
      <c r="F1189" s="4" t="s">
        <v>29</v>
      </c>
    </row>
    <row r="1190" spans="1:6" x14ac:dyDescent="0.25">
      <c r="A1190" s="4" t="s">
        <v>80</v>
      </c>
      <c r="B1190" s="4" t="s">
        <v>2</v>
      </c>
      <c r="C1190" s="4" t="s">
        <v>21</v>
      </c>
      <c r="D1190" s="4">
        <v>2005</v>
      </c>
      <c r="E1190" s="4">
        <v>0</v>
      </c>
      <c r="F1190" s="4" t="s">
        <v>29</v>
      </c>
    </row>
    <row r="1191" spans="1:6" x14ac:dyDescent="0.25">
      <c r="A1191" s="4" t="s">
        <v>80</v>
      </c>
      <c r="B1191" s="4" t="s">
        <v>2</v>
      </c>
      <c r="C1191" s="4" t="s">
        <v>21</v>
      </c>
      <c r="D1191" s="4">
        <v>2006</v>
      </c>
      <c r="E1191" s="4">
        <v>0</v>
      </c>
      <c r="F1191" s="4" t="s">
        <v>29</v>
      </c>
    </row>
    <row r="1192" spans="1:6" x14ac:dyDescent="0.25">
      <c r="A1192" s="4" t="s">
        <v>80</v>
      </c>
      <c r="B1192" s="4" t="s">
        <v>2</v>
      </c>
      <c r="C1192" s="4" t="s">
        <v>21</v>
      </c>
      <c r="D1192" s="4">
        <v>2007</v>
      </c>
      <c r="E1192" s="4">
        <v>0</v>
      </c>
      <c r="F1192" s="4" t="s">
        <v>29</v>
      </c>
    </row>
    <row r="1193" spans="1:6" x14ac:dyDescent="0.25">
      <c r="A1193" s="4" t="s">
        <v>80</v>
      </c>
      <c r="B1193" s="4" t="s">
        <v>2</v>
      </c>
      <c r="C1193" s="4" t="s">
        <v>21</v>
      </c>
      <c r="D1193" s="4">
        <v>2008</v>
      </c>
      <c r="E1193" s="4">
        <v>0</v>
      </c>
      <c r="F1193" s="4" t="s">
        <v>29</v>
      </c>
    </row>
    <row r="1194" spans="1:6" x14ac:dyDescent="0.25">
      <c r="A1194" s="4" t="s">
        <v>80</v>
      </c>
      <c r="B1194" s="4" t="s">
        <v>2</v>
      </c>
      <c r="C1194" s="4" t="s">
        <v>21</v>
      </c>
      <c r="D1194" s="4">
        <v>2009</v>
      </c>
      <c r="E1194" s="4">
        <v>0</v>
      </c>
      <c r="F1194" s="4" t="s">
        <v>29</v>
      </c>
    </row>
    <row r="1195" spans="1:6" x14ac:dyDescent="0.25">
      <c r="A1195" s="4" t="s">
        <v>80</v>
      </c>
      <c r="B1195" s="4" t="s">
        <v>2</v>
      </c>
      <c r="C1195" s="4" t="s">
        <v>21</v>
      </c>
      <c r="D1195" s="4">
        <v>2010</v>
      </c>
      <c r="E1195" s="4">
        <v>0</v>
      </c>
      <c r="F1195" s="4" t="s">
        <v>29</v>
      </c>
    </row>
    <row r="1196" spans="1:6" x14ac:dyDescent="0.25">
      <c r="A1196" s="4" t="s">
        <v>80</v>
      </c>
      <c r="B1196" s="4" t="s">
        <v>2</v>
      </c>
      <c r="C1196" s="4" t="s">
        <v>21</v>
      </c>
      <c r="D1196" s="4">
        <v>2011</v>
      </c>
      <c r="E1196" s="4">
        <v>0</v>
      </c>
      <c r="F1196" s="4" t="s">
        <v>29</v>
      </c>
    </row>
    <row r="1197" spans="1:6" x14ac:dyDescent="0.25">
      <c r="A1197" s="4" t="s">
        <v>80</v>
      </c>
      <c r="B1197" s="4" t="s">
        <v>2</v>
      </c>
      <c r="C1197" s="4" t="s">
        <v>21</v>
      </c>
      <c r="D1197" s="4">
        <v>2012</v>
      </c>
      <c r="E1197" s="4">
        <v>0</v>
      </c>
      <c r="F1197" s="4" t="s">
        <v>29</v>
      </c>
    </row>
    <row r="1198" spans="1:6" x14ac:dyDescent="0.25">
      <c r="A1198" s="4" t="s">
        <v>80</v>
      </c>
      <c r="B1198" s="4" t="s">
        <v>2</v>
      </c>
      <c r="C1198" s="4" t="s">
        <v>21</v>
      </c>
      <c r="D1198" s="4">
        <v>2013</v>
      </c>
      <c r="E1198" s="4">
        <v>0</v>
      </c>
      <c r="F1198" s="4" t="s">
        <v>29</v>
      </c>
    </row>
    <row r="1199" spans="1:6" x14ac:dyDescent="0.25">
      <c r="A1199" s="4" t="s">
        <v>80</v>
      </c>
      <c r="B1199" s="4" t="s">
        <v>2</v>
      </c>
      <c r="C1199" s="4" t="s">
        <v>21</v>
      </c>
      <c r="D1199" s="4">
        <v>2014</v>
      </c>
      <c r="E1199" s="4">
        <v>0</v>
      </c>
      <c r="F1199" s="4" t="s">
        <v>29</v>
      </c>
    </row>
    <row r="1200" spans="1:6" x14ac:dyDescent="0.25">
      <c r="A1200" s="4" t="s">
        <v>80</v>
      </c>
      <c r="B1200" s="4" t="s">
        <v>2</v>
      </c>
      <c r="C1200" s="4" t="s">
        <v>21</v>
      </c>
      <c r="D1200" s="4">
        <v>2015</v>
      </c>
      <c r="E1200" s="4">
        <v>0</v>
      </c>
      <c r="F1200" s="4" t="s">
        <v>29</v>
      </c>
    </row>
    <row r="1201" spans="1:6" x14ac:dyDescent="0.25">
      <c r="A1201" s="4" t="s">
        <v>80</v>
      </c>
      <c r="B1201" s="4" t="s">
        <v>2</v>
      </c>
      <c r="C1201" s="4" t="s">
        <v>21</v>
      </c>
      <c r="D1201" s="4">
        <v>2016</v>
      </c>
      <c r="E1201" s="4">
        <v>0</v>
      </c>
      <c r="F1201" s="4" t="s">
        <v>29</v>
      </c>
    </row>
    <row r="1202" spans="1:6" x14ac:dyDescent="0.25">
      <c r="A1202" s="4" t="s">
        <v>80</v>
      </c>
      <c r="B1202" s="4" t="s">
        <v>2</v>
      </c>
      <c r="C1202" s="4" t="s">
        <v>21</v>
      </c>
      <c r="D1202" s="4">
        <v>2017</v>
      </c>
      <c r="E1202" s="4">
        <v>336</v>
      </c>
      <c r="F1202" s="4" t="s">
        <v>29</v>
      </c>
    </row>
    <row r="1203" spans="1:6" x14ac:dyDescent="0.25">
      <c r="A1203" s="4" t="s">
        <v>80</v>
      </c>
      <c r="B1203" s="4" t="s">
        <v>2</v>
      </c>
      <c r="C1203" s="4" t="s">
        <v>21</v>
      </c>
      <c r="D1203" s="4">
        <v>2018</v>
      </c>
      <c r="E1203" s="4">
        <v>7773.7079864464204</v>
      </c>
      <c r="F1203" s="4" t="s">
        <v>29</v>
      </c>
    </row>
    <row r="1204" spans="1:6" x14ac:dyDescent="0.25">
      <c r="A1204" s="4" t="s">
        <v>80</v>
      </c>
      <c r="B1204" s="4" t="s">
        <v>2</v>
      </c>
      <c r="C1204" s="4" t="s">
        <v>21</v>
      </c>
      <c r="D1204" s="4">
        <v>2019</v>
      </c>
      <c r="E1204" s="4">
        <v>12503.100257559858</v>
      </c>
      <c r="F1204" s="4" t="s">
        <v>29</v>
      </c>
    </row>
    <row r="1205" spans="1:6" x14ac:dyDescent="0.25">
      <c r="A1205" s="4" t="s">
        <v>80</v>
      </c>
      <c r="B1205" s="4" t="s">
        <v>2</v>
      </c>
      <c r="C1205" s="4" t="s">
        <v>21</v>
      </c>
      <c r="D1205" s="4">
        <v>2020</v>
      </c>
      <c r="E1205" s="4">
        <v>19087.093389296962</v>
      </c>
      <c r="F1205" s="4" t="s">
        <v>29</v>
      </c>
    </row>
    <row r="1206" spans="1:6" x14ac:dyDescent="0.25">
      <c r="A1206" s="4" t="s">
        <v>80</v>
      </c>
      <c r="B1206" s="4" t="s">
        <v>2</v>
      </c>
      <c r="C1206" s="4" t="s">
        <v>21</v>
      </c>
      <c r="D1206" s="4">
        <v>2021</v>
      </c>
      <c r="E1206" s="4">
        <v>22161.594963273878</v>
      </c>
      <c r="F1206" s="4" t="s">
        <v>29</v>
      </c>
    </row>
    <row r="1207" spans="1:6" x14ac:dyDescent="0.25">
      <c r="A1207" s="4" t="s">
        <v>80</v>
      </c>
      <c r="B1207" s="4" t="s">
        <v>2</v>
      </c>
      <c r="C1207" s="4" t="s">
        <v>21</v>
      </c>
      <c r="D1207" s="4">
        <v>2022</v>
      </c>
      <c r="E1207" s="4">
        <v>23578.492161912942</v>
      </c>
      <c r="F1207" s="4" t="s">
        <v>29</v>
      </c>
    </row>
    <row r="1208" spans="1:6" x14ac:dyDescent="0.25">
      <c r="A1208" s="4" t="s">
        <v>80</v>
      </c>
      <c r="B1208" s="4" t="s">
        <v>2</v>
      </c>
      <c r="C1208" s="4" t="s">
        <v>21</v>
      </c>
      <c r="D1208" s="4">
        <v>2023</v>
      </c>
      <c r="E1208" s="4">
        <v>22577.506438996472</v>
      </c>
      <c r="F1208" s="4" t="s">
        <v>29</v>
      </c>
    </row>
    <row r="1209" spans="1:6" x14ac:dyDescent="0.25">
      <c r="A1209" s="4" t="s">
        <v>80</v>
      </c>
      <c r="B1209" s="4" t="s">
        <v>2</v>
      </c>
      <c r="C1209" s="4" t="s">
        <v>21</v>
      </c>
      <c r="D1209" s="4">
        <v>2024</v>
      </c>
      <c r="E1209" s="4">
        <v>22482.113898693122</v>
      </c>
      <c r="F1209" s="4" t="s">
        <v>29</v>
      </c>
    </row>
    <row r="1210" spans="1:6" x14ac:dyDescent="0.25">
      <c r="A1210" s="4" t="s">
        <v>80</v>
      </c>
      <c r="B1210" s="4" t="s">
        <v>2</v>
      </c>
      <c r="C1210" s="4" t="s">
        <v>21</v>
      </c>
      <c r="D1210" s="4">
        <v>2025</v>
      </c>
      <c r="E1210" s="4">
        <v>21266.494960094125</v>
      </c>
      <c r="F1210" s="4" t="s">
        <v>29</v>
      </c>
    </row>
    <row r="1211" spans="1:6" x14ac:dyDescent="0.25">
      <c r="A1211" s="4" t="s">
        <v>80</v>
      </c>
      <c r="B1211" s="4" t="s">
        <v>2</v>
      </c>
      <c r="C1211" s="4" t="s">
        <v>21</v>
      </c>
      <c r="D1211" s="4">
        <v>2026</v>
      </c>
      <c r="E1211" s="4">
        <v>19185.347705809403</v>
      </c>
      <c r="F1211" s="4" t="s">
        <v>29</v>
      </c>
    </row>
    <row r="1212" spans="1:6" x14ac:dyDescent="0.25">
      <c r="A1212" s="4" t="s">
        <v>80</v>
      </c>
      <c r="B1212" s="4" t="s">
        <v>2</v>
      </c>
      <c r="C1212" s="4" t="s">
        <v>21</v>
      </c>
      <c r="D1212" s="4">
        <v>2027</v>
      </c>
      <c r="E1212" s="4">
        <v>17408.184679958027</v>
      </c>
      <c r="F1212" s="4" t="s">
        <v>29</v>
      </c>
    </row>
    <row r="1213" spans="1:6" x14ac:dyDescent="0.25">
      <c r="A1213" s="4" t="s">
        <v>80</v>
      </c>
      <c r="B1213" s="4" t="s">
        <v>2</v>
      </c>
      <c r="C1213" s="4" t="s">
        <v>21</v>
      </c>
      <c r="D1213" s="4">
        <v>2028</v>
      </c>
      <c r="E1213" s="4">
        <v>14795.38300104932</v>
      </c>
      <c r="F1213" s="4" t="s">
        <v>29</v>
      </c>
    </row>
    <row r="1214" spans="1:6" x14ac:dyDescent="0.25">
      <c r="A1214" s="4" t="s">
        <v>80</v>
      </c>
      <c r="B1214" s="4" t="s">
        <v>2</v>
      </c>
      <c r="C1214" s="4" t="s">
        <v>21</v>
      </c>
      <c r="D1214" s="4">
        <v>2029</v>
      </c>
      <c r="E1214" s="4">
        <v>12418.677859391399</v>
      </c>
      <c r="F1214" s="4" t="s">
        <v>29</v>
      </c>
    </row>
    <row r="1215" spans="1:6" x14ac:dyDescent="0.25">
      <c r="A1215" s="4" t="s">
        <v>80</v>
      </c>
      <c r="B1215" s="4" t="s">
        <v>2</v>
      </c>
      <c r="C1215" s="4" t="s">
        <v>21</v>
      </c>
      <c r="D1215" s="4">
        <v>2030</v>
      </c>
      <c r="E1215" s="4">
        <v>10561.385099685205</v>
      </c>
      <c r="F1215" s="4" t="s">
        <v>29</v>
      </c>
    </row>
    <row r="1216" spans="1:6" x14ac:dyDescent="0.25">
      <c r="A1216" s="4" t="s">
        <v>80</v>
      </c>
      <c r="B1216" s="4" t="s">
        <v>2</v>
      </c>
      <c r="C1216" s="4" t="s">
        <v>21</v>
      </c>
      <c r="D1216" s="4">
        <v>2031</v>
      </c>
      <c r="E1216" s="4">
        <v>9239.2444910807972</v>
      </c>
      <c r="F1216" s="4" t="s">
        <v>29</v>
      </c>
    </row>
    <row r="1217" spans="1:6" x14ac:dyDescent="0.25">
      <c r="A1217" s="4" t="s">
        <v>80</v>
      </c>
      <c r="B1217" s="4" t="s">
        <v>2</v>
      </c>
      <c r="C1217" s="4" t="s">
        <v>21</v>
      </c>
      <c r="D1217" s="4">
        <v>2032</v>
      </c>
      <c r="E1217" s="4">
        <v>8326.3378803777541</v>
      </c>
      <c r="F1217" s="4" t="s">
        <v>29</v>
      </c>
    </row>
    <row r="1218" spans="1:6" x14ac:dyDescent="0.25">
      <c r="A1218" s="4" t="s">
        <v>80</v>
      </c>
      <c r="B1218" s="4" t="s">
        <v>2</v>
      </c>
      <c r="C1218" s="4" t="s">
        <v>21</v>
      </c>
      <c r="D1218" s="4">
        <v>2033</v>
      </c>
      <c r="E1218" s="4">
        <v>7098.6358866736628</v>
      </c>
      <c r="F1218" s="4" t="s">
        <v>29</v>
      </c>
    </row>
    <row r="1219" spans="1:6" x14ac:dyDescent="0.25">
      <c r="A1219" s="4" t="s">
        <v>80</v>
      </c>
      <c r="B1219" s="4" t="s">
        <v>2</v>
      </c>
      <c r="C1219" s="4" t="s">
        <v>21</v>
      </c>
      <c r="D1219" s="4">
        <v>2034</v>
      </c>
      <c r="E1219" s="4">
        <v>6059.8111227701993</v>
      </c>
      <c r="F1219" s="4" t="s">
        <v>29</v>
      </c>
    </row>
    <row r="1220" spans="1:6" x14ac:dyDescent="0.25">
      <c r="A1220" s="4" t="s">
        <v>80</v>
      </c>
      <c r="B1220" s="4" t="s">
        <v>2</v>
      </c>
      <c r="C1220" s="4" t="s">
        <v>21</v>
      </c>
      <c r="D1220" s="4">
        <v>2035</v>
      </c>
      <c r="E1220" s="4">
        <v>5461.6998950682064</v>
      </c>
      <c r="F1220" s="4" t="s">
        <v>29</v>
      </c>
    </row>
    <row r="1221" spans="1:6" x14ac:dyDescent="0.25">
      <c r="A1221" s="4" t="s">
        <v>80</v>
      </c>
      <c r="B1221" s="4" t="s">
        <v>2</v>
      </c>
      <c r="C1221" s="4" t="s">
        <v>21</v>
      </c>
      <c r="D1221" s="4">
        <v>2036</v>
      </c>
      <c r="E1221" s="4">
        <v>5020.9863588667367</v>
      </c>
      <c r="F1221" s="4" t="s">
        <v>29</v>
      </c>
    </row>
    <row r="1222" spans="1:6" x14ac:dyDescent="0.25">
      <c r="A1222" s="4" t="s">
        <v>80</v>
      </c>
      <c r="B1222" s="4" t="s">
        <v>2</v>
      </c>
      <c r="C1222" s="4" t="s">
        <v>21</v>
      </c>
      <c r="D1222" s="4">
        <v>2037</v>
      </c>
      <c r="E1222" s="4">
        <v>5027.2391438715522</v>
      </c>
      <c r="F1222" s="4" t="s">
        <v>29</v>
      </c>
    </row>
    <row r="1223" spans="1:6" x14ac:dyDescent="0.25">
      <c r="A1223" s="4" t="s">
        <v>80</v>
      </c>
      <c r="B1223" s="4" t="s">
        <v>2</v>
      </c>
      <c r="C1223" s="4" t="s">
        <v>21</v>
      </c>
      <c r="D1223" s="4">
        <v>2038</v>
      </c>
      <c r="E1223" s="4">
        <v>4696.7039917204502</v>
      </c>
      <c r="F1223" s="4" t="s">
        <v>29</v>
      </c>
    </row>
    <row r="1224" spans="1:6" x14ac:dyDescent="0.25">
      <c r="A1224" s="4" t="s">
        <v>80</v>
      </c>
      <c r="B1224" s="4" t="s">
        <v>2</v>
      </c>
      <c r="C1224" s="4" t="s">
        <v>21</v>
      </c>
      <c r="D1224" s="4">
        <v>2039</v>
      </c>
      <c r="E1224" s="4">
        <v>4240.8975261970136</v>
      </c>
      <c r="F1224" s="4" t="s">
        <v>29</v>
      </c>
    </row>
    <row r="1225" spans="1:6" x14ac:dyDescent="0.25">
      <c r="A1225" s="4" t="s">
        <v>80</v>
      </c>
      <c r="B1225" s="4" t="s">
        <v>2</v>
      </c>
      <c r="C1225" s="4" t="s">
        <v>21</v>
      </c>
      <c r="D1225" s="4">
        <v>2040</v>
      </c>
      <c r="E1225" s="4">
        <v>3839.3855469354762</v>
      </c>
      <c r="F1225" s="4" t="s">
        <v>29</v>
      </c>
    </row>
    <row r="1226" spans="1:6" x14ac:dyDescent="0.25">
      <c r="A1226" s="4" t="s">
        <v>80</v>
      </c>
      <c r="B1226" s="4" t="s">
        <v>23</v>
      </c>
      <c r="C1226" s="4" t="s">
        <v>21</v>
      </c>
      <c r="D1226" s="4">
        <v>2005</v>
      </c>
      <c r="E1226" s="4">
        <v>48470</v>
      </c>
      <c r="F1226" s="4" t="s">
        <v>29</v>
      </c>
    </row>
    <row r="1227" spans="1:6" x14ac:dyDescent="0.25">
      <c r="A1227" s="4" t="s">
        <v>80</v>
      </c>
      <c r="B1227" s="4" t="s">
        <v>23</v>
      </c>
      <c r="C1227" s="4" t="s">
        <v>21</v>
      </c>
      <c r="D1227" s="4">
        <v>2006</v>
      </c>
      <c r="E1227" s="4">
        <v>48280</v>
      </c>
      <c r="F1227" s="4" t="s">
        <v>29</v>
      </c>
    </row>
    <row r="1228" spans="1:6" x14ac:dyDescent="0.25">
      <c r="A1228" s="4" t="s">
        <v>80</v>
      </c>
      <c r="B1228" s="4" t="s">
        <v>23</v>
      </c>
      <c r="C1228" s="4" t="s">
        <v>21</v>
      </c>
      <c r="D1228" s="4">
        <v>2007</v>
      </c>
      <c r="E1228" s="4">
        <v>58580</v>
      </c>
      <c r="F1228" s="4" t="s">
        <v>29</v>
      </c>
    </row>
    <row r="1229" spans="1:6" x14ac:dyDescent="0.25">
      <c r="A1229" s="4" t="s">
        <v>80</v>
      </c>
      <c r="B1229" s="4" t="s">
        <v>23</v>
      </c>
      <c r="C1229" s="4" t="s">
        <v>21</v>
      </c>
      <c r="D1229" s="4">
        <v>2008</v>
      </c>
      <c r="E1229" s="4">
        <v>54550</v>
      </c>
      <c r="F1229" s="4" t="s">
        <v>29</v>
      </c>
    </row>
    <row r="1230" spans="1:6" x14ac:dyDescent="0.25">
      <c r="A1230" s="4" t="s">
        <v>80</v>
      </c>
      <c r="B1230" s="4" t="s">
        <v>23</v>
      </c>
      <c r="C1230" s="4" t="s">
        <v>21</v>
      </c>
      <c r="D1230" s="4">
        <v>2009</v>
      </c>
      <c r="E1230" s="4">
        <v>42550</v>
      </c>
      <c r="F1230" s="4" t="s">
        <v>29</v>
      </c>
    </row>
    <row r="1231" spans="1:6" x14ac:dyDescent="0.25">
      <c r="A1231" s="4" t="s">
        <v>80</v>
      </c>
      <c r="B1231" s="4" t="s">
        <v>23</v>
      </c>
      <c r="C1231" s="4" t="s">
        <v>21</v>
      </c>
      <c r="D1231" s="4">
        <v>2010</v>
      </c>
      <c r="E1231" s="4">
        <v>43850</v>
      </c>
      <c r="F1231" s="4" t="s">
        <v>29</v>
      </c>
    </row>
    <row r="1232" spans="1:6" x14ac:dyDescent="0.25">
      <c r="A1232" s="4" t="s">
        <v>80</v>
      </c>
      <c r="B1232" s="4" t="s">
        <v>23</v>
      </c>
      <c r="C1232" s="4" t="s">
        <v>21</v>
      </c>
      <c r="D1232" s="4">
        <v>2011</v>
      </c>
      <c r="E1232" s="4">
        <v>42140</v>
      </c>
      <c r="F1232" s="4" t="s">
        <v>29</v>
      </c>
    </row>
    <row r="1233" spans="1:6" x14ac:dyDescent="0.25">
      <c r="A1233" s="4" t="s">
        <v>80</v>
      </c>
      <c r="B1233" s="4" t="s">
        <v>23</v>
      </c>
      <c r="C1233" s="4" t="s">
        <v>21</v>
      </c>
      <c r="D1233" s="4">
        <v>2012</v>
      </c>
      <c r="E1233" s="4">
        <v>31430</v>
      </c>
      <c r="F1233" s="4" t="s">
        <v>29</v>
      </c>
    </row>
    <row r="1234" spans="1:6" x14ac:dyDescent="0.25">
      <c r="A1234" s="4" t="s">
        <v>80</v>
      </c>
      <c r="B1234" s="4" t="s">
        <v>23</v>
      </c>
      <c r="C1234" s="4" t="s">
        <v>21</v>
      </c>
      <c r="D1234" s="4">
        <v>2013</v>
      </c>
      <c r="E1234" s="4">
        <v>36870</v>
      </c>
      <c r="F1234" s="4" t="s">
        <v>29</v>
      </c>
    </row>
    <row r="1235" spans="1:6" x14ac:dyDescent="0.25">
      <c r="A1235" s="4" t="s">
        <v>80</v>
      </c>
      <c r="B1235" s="4" t="s">
        <v>23</v>
      </c>
      <c r="C1235" s="4" t="s">
        <v>21</v>
      </c>
      <c r="D1235" s="4">
        <v>2014</v>
      </c>
      <c r="E1235" s="4">
        <v>34340</v>
      </c>
      <c r="F1235" s="4" t="s">
        <v>29</v>
      </c>
    </row>
    <row r="1236" spans="1:6" x14ac:dyDescent="0.25">
      <c r="A1236" s="4" t="s">
        <v>80</v>
      </c>
      <c r="B1236" s="4" t="s">
        <v>23</v>
      </c>
      <c r="C1236" s="4" t="s">
        <v>21</v>
      </c>
      <c r="D1236" s="4">
        <v>2015</v>
      </c>
      <c r="E1236" s="4">
        <v>27348</v>
      </c>
      <c r="F1236" s="4" t="s">
        <v>29</v>
      </c>
    </row>
    <row r="1237" spans="1:6" x14ac:dyDescent="0.25">
      <c r="A1237" s="4" t="s">
        <v>80</v>
      </c>
      <c r="B1237" s="4" t="s">
        <v>23</v>
      </c>
      <c r="C1237" s="4" t="s">
        <v>21</v>
      </c>
      <c r="D1237" s="4">
        <v>2016</v>
      </c>
      <c r="E1237" s="4">
        <v>33334</v>
      </c>
      <c r="F1237" s="4" t="s">
        <v>29</v>
      </c>
    </row>
    <row r="1238" spans="1:6" x14ac:dyDescent="0.25">
      <c r="A1238" s="4" t="s">
        <v>80</v>
      </c>
      <c r="B1238" s="4" t="s">
        <v>23</v>
      </c>
      <c r="C1238" s="4" t="s">
        <v>21</v>
      </c>
      <c r="D1238" s="4">
        <v>2017</v>
      </c>
      <c r="E1238" s="4">
        <v>35096</v>
      </c>
      <c r="F1238" s="4" t="s">
        <v>29</v>
      </c>
    </row>
    <row r="1239" spans="1:6" x14ac:dyDescent="0.25">
      <c r="A1239" s="4" t="s">
        <v>80</v>
      </c>
      <c r="B1239" s="4" t="s">
        <v>23</v>
      </c>
      <c r="C1239" s="4" t="s">
        <v>21</v>
      </c>
      <c r="D1239" s="4">
        <v>2018</v>
      </c>
      <c r="E1239" s="4">
        <v>37716.782165689445</v>
      </c>
      <c r="F1239" s="4" t="s">
        <v>29</v>
      </c>
    </row>
    <row r="1240" spans="1:6" x14ac:dyDescent="0.25">
      <c r="A1240" s="4" t="s">
        <v>80</v>
      </c>
      <c r="B1240" s="4" t="s">
        <v>23</v>
      </c>
      <c r="C1240" s="4" t="s">
        <v>21</v>
      </c>
      <c r="D1240" s="4">
        <v>2019</v>
      </c>
      <c r="E1240" s="4">
        <v>42471.549668652238</v>
      </c>
      <c r="F1240" s="4" t="s">
        <v>29</v>
      </c>
    </row>
    <row r="1241" spans="1:6" x14ac:dyDescent="0.25">
      <c r="A1241" s="4" t="s">
        <v>80</v>
      </c>
      <c r="B1241" s="4" t="s">
        <v>23</v>
      </c>
      <c r="C1241" s="4" t="s">
        <v>21</v>
      </c>
      <c r="D1241" s="4">
        <v>2020</v>
      </c>
      <c r="E1241" s="4">
        <v>42460.881602113572</v>
      </c>
      <c r="F1241" s="4" t="s">
        <v>29</v>
      </c>
    </row>
    <row r="1242" spans="1:6" x14ac:dyDescent="0.25">
      <c r="A1242" s="4" t="s">
        <v>80</v>
      </c>
      <c r="B1242" s="4" t="s">
        <v>23</v>
      </c>
      <c r="C1242" s="4" t="s">
        <v>21</v>
      </c>
      <c r="D1242" s="4">
        <v>2021</v>
      </c>
      <c r="E1242" s="4">
        <v>45980.607521662329</v>
      </c>
      <c r="F1242" s="4" t="s">
        <v>29</v>
      </c>
    </row>
    <row r="1243" spans="1:6" x14ac:dyDescent="0.25">
      <c r="A1243" s="4" t="s">
        <v>80</v>
      </c>
      <c r="B1243" s="4" t="s">
        <v>23</v>
      </c>
      <c r="C1243" s="4" t="s">
        <v>21</v>
      </c>
      <c r="D1243" s="4">
        <v>2022</v>
      </c>
      <c r="E1243" s="4">
        <v>46891.683786012327</v>
      </c>
      <c r="F1243" s="4" t="s">
        <v>29</v>
      </c>
    </row>
    <row r="1244" spans="1:6" x14ac:dyDescent="0.25">
      <c r="A1244" s="4" t="s">
        <v>80</v>
      </c>
      <c r="B1244" s="4" t="s">
        <v>23</v>
      </c>
      <c r="C1244" s="4" t="s">
        <v>21</v>
      </c>
      <c r="D1244" s="4">
        <v>2023</v>
      </c>
      <c r="E1244" s="4">
        <v>49246.424960476586</v>
      </c>
      <c r="F1244" s="4" t="s">
        <v>29</v>
      </c>
    </row>
    <row r="1245" spans="1:6" x14ac:dyDescent="0.25">
      <c r="A1245" s="4" t="s">
        <v>80</v>
      </c>
      <c r="B1245" s="4" t="s">
        <v>23</v>
      </c>
      <c r="C1245" s="4" t="s">
        <v>21</v>
      </c>
      <c r="D1245" s="4">
        <v>2024</v>
      </c>
      <c r="E1245" s="4">
        <v>48491.090418945721</v>
      </c>
      <c r="F1245" s="4" t="s">
        <v>29</v>
      </c>
    </row>
    <row r="1246" spans="1:6" x14ac:dyDescent="0.25">
      <c r="A1246" s="4" t="s">
        <v>80</v>
      </c>
      <c r="B1246" s="4" t="s">
        <v>23</v>
      </c>
      <c r="C1246" s="4" t="s">
        <v>21</v>
      </c>
      <c r="D1246" s="4">
        <v>2025</v>
      </c>
      <c r="E1246" s="4">
        <v>46489.259601121768</v>
      </c>
      <c r="F1246" s="4" t="s">
        <v>29</v>
      </c>
    </row>
    <row r="1247" spans="1:6" x14ac:dyDescent="0.25">
      <c r="A1247" s="4" t="s">
        <v>80</v>
      </c>
      <c r="B1247" s="4" t="s">
        <v>23</v>
      </c>
      <c r="C1247" s="4" t="s">
        <v>21</v>
      </c>
      <c r="D1247" s="4">
        <v>2026</v>
      </c>
      <c r="E1247" s="4">
        <v>42286.399711427002</v>
      </c>
      <c r="F1247" s="4" t="s">
        <v>29</v>
      </c>
    </row>
    <row r="1248" spans="1:6" x14ac:dyDescent="0.25">
      <c r="A1248" s="4" t="s">
        <v>80</v>
      </c>
      <c r="B1248" s="4" t="s">
        <v>23</v>
      </c>
      <c r="C1248" s="4" t="s">
        <v>21</v>
      </c>
      <c r="D1248" s="4">
        <v>2027</v>
      </c>
      <c r="E1248" s="4">
        <v>38723.71314809758</v>
      </c>
      <c r="F1248" s="4" t="s">
        <v>29</v>
      </c>
    </row>
    <row r="1249" spans="1:6" x14ac:dyDescent="0.25">
      <c r="A1249" s="4" t="s">
        <v>80</v>
      </c>
      <c r="B1249" s="4" t="s">
        <v>23</v>
      </c>
      <c r="C1249" s="4" t="s">
        <v>21</v>
      </c>
      <c r="D1249" s="4">
        <v>2028</v>
      </c>
      <c r="E1249" s="4">
        <v>36476.984278517768</v>
      </c>
      <c r="F1249" s="4" t="s">
        <v>29</v>
      </c>
    </row>
    <row r="1250" spans="1:6" x14ac:dyDescent="0.25">
      <c r="A1250" s="4" t="s">
        <v>80</v>
      </c>
      <c r="B1250" s="4" t="s">
        <v>23</v>
      </c>
      <c r="C1250" s="4" t="s">
        <v>21</v>
      </c>
      <c r="D1250" s="4">
        <v>2029</v>
      </c>
      <c r="E1250" s="4">
        <v>35719.268815665346</v>
      </c>
      <c r="F1250" s="4" t="s">
        <v>29</v>
      </c>
    </row>
    <row r="1251" spans="1:6" x14ac:dyDescent="0.25">
      <c r="A1251" s="4" t="s">
        <v>80</v>
      </c>
      <c r="B1251" s="4" t="s">
        <v>23</v>
      </c>
      <c r="C1251" s="4" t="s">
        <v>21</v>
      </c>
      <c r="D1251" s="4">
        <v>2030</v>
      </c>
      <c r="E1251" s="4">
        <v>34638.335149675928</v>
      </c>
      <c r="F1251" s="4" t="s">
        <v>29</v>
      </c>
    </row>
    <row r="1252" spans="1:6" x14ac:dyDescent="0.25">
      <c r="A1252" s="4" t="s">
        <v>80</v>
      </c>
      <c r="B1252" s="4" t="s">
        <v>23</v>
      </c>
      <c r="C1252" s="4" t="s">
        <v>21</v>
      </c>
      <c r="D1252" s="4">
        <v>2031</v>
      </c>
      <c r="E1252" s="4">
        <v>32376.869678662129</v>
      </c>
      <c r="F1252" s="4" t="s">
        <v>29</v>
      </c>
    </row>
    <row r="1253" spans="1:6" x14ac:dyDescent="0.25">
      <c r="A1253" s="4" t="s">
        <v>80</v>
      </c>
      <c r="B1253" s="4" t="s">
        <v>23</v>
      </c>
      <c r="C1253" s="4" t="s">
        <v>21</v>
      </c>
      <c r="D1253" s="4">
        <v>2032</v>
      </c>
      <c r="E1253" s="4">
        <v>29375.563899335008</v>
      </c>
      <c r="F1253" s="4" t="s">
        <v>29</v>
      </c>
    </row>
    <row r="1254" spans="1:6" x14ac:dyDescent="0.25">
      <c r="A1254" s="4" t="s">
        <v>80</v>
      </c>
      <c r="B1254" s="4" t="s">
        <v>23</v>
      </c>
      <c r="C1254" s="4" t="s">
        <v>21</v>
      </c>
      <c r="D1254" s="4">
        <v>2033</v>
      </c>
      <c r="E1254" s="4">
        <v>27913.122767147863</v>
      </c>
      <c r="F1254" s="4" t="s">
        <v>29</v>
      </c>
    </row>
    <row r="1255" spans="1:6" x14ac:dyDescent="0.25">
      <c r="A1255" s="4" t="s">
        <v>80</v>
      </c>
      <c r="B1255" s="4" t="s">
        <v>23</v>
      </c>
      <c r="C1255" s="4" t="s">
        <v>21</v>
      </c>
      <c r="D1255" s="4">
        <v>2034</v>
      </c>
      <c r="E1255" s="4">
        <v>27398.323014102134</v>
      </c>
      <c r="F1255" s="4" t="s">
        <v>29</v>
      </c>
    </row>
    <row r="1256" spans="1:6" x14ac:dyDescent="0.25">
      <c r="A1256" s="4" t="s">
        <v>80</v>
      </c>
      <c r="B1256" s="4" t="s">
        <v>23</v>
      </c>
      <c r="C1256" s="4" t="s">
        <v>21</v>
      </c>
      <c r="D1256" s="4">
        <v>2035</v>
      </c>
      <c r="E1256" s="4">
        <v>27393.992084507292</v>
      </c>
      <c r="F1256" s="4" t="s">
        <v>29</v>
      </c>
    </row>
    <row r="1257" spans="1:6" x14ac:dyDescent="0.25">
      <c r="A1257" s="4" t="s">
        <v>80</v>
      </c>
      <c r="B1257" s="4" t="s">
        <v>23</v>
      </c>
      <c r="C1257" s="4" t="s">
        <v>21</v>
      </c>
      <c r="D1257" s="4">
        <v>2036</v>
      </c>
      <c r="E1257" s="4">
        <v>26318.815213251397</v>
      </c>
      <c r="F1257" s="4" t="s">
        <v>29</v>
      </c>
    </row>
    <row r="1258" spans="1:6" x14ac:dyDescent="0.25">
      <c r="A1258" s="4" t="s">
        <v>80</v>
      </c>
      <c r="B1258" s="4" t="s">
        <v>23</v>
      </c>
      <c r="C1258" s="4" t="s">
        <v>21</v>
      </c>
      <c r="D1258" s="4">
        <v>2037</v>
      </c>
      <c r="E1258" s="4">
        <v>24524.290389781683</v>
      </c>
      <c r="F1258" s="4" t="s">
        <v>29</v>
      </c>
    </row>
    <row r="1259" spans="1:6" x14ac:dyDescent="0.25">
      <c r="A1259" s="4" t="s">
        <v>80</v>
      </c>
      <c r="B1259" s="4" t="s">
        <v>23</v>
      </c>
      <c r="C1259" s="4" t="s">
        <v>21</v>
      </c>
      <c r="D1259" s="4">
        <v>2038</v>
      </c>
      <c r="E1259" s="4">
        <v>22063.300578476188</v>
      </c>
      <c r="F1259" s="4" t="s">
        <v>29</v>
      </c>
    </row>
    <row r="1260" spans="1:6" x14ac:dyDescent="0.25">
      <c r="A1260" s="4" t="s">
        <v>80</v>
      </c>
      <c r="B1260" s="4" t="s">
        <v>23</v>
      </c>
      <c r="C1260" s="4" t="s">
        <v>21</v>
      </c>
      <c r="D1260" s="4">
        <v>2039</v>
      </c>
      <c r="E1260" s="4">
        <v>19552.184530751267</v>
      </c>
      <c r="F1260" s="4" t="s">
        <v>29</v>
      </c>
    </row>
    <row r="1261" spans="1:6" x14ac:dyDescent="0.25">
      <c r="A1261" s="4" t="s">
        <v>80</v>
      </c>
      <c r="B1261" s="4" t="s">
        <v>23</v>
      </c>
      <c r="C1261" s="4" t="s">
        <v>21</v>
      </c>
      <c r="D1261" s="4">
        <v>2040</v>
      </c>
      <c r="E1261" s="4">
        <v>16991.096401106461</v>
      </c>
      <c r="F1261" s="4" t="s">
        <v>29</v>
      </c>
    </row>
    <row r="1262" spans="1:6" x14ac:dyDescent="0.25">
      <c r="A1262" s="4" t="s">
        <v>81</v>
      </c>
      <c r="B1262" s="4" t="s">
        <v>1</v>
      </c>
      <c r="C1262" s="4" t="s">
        <v>21</v>
      </c>
      <c r="D1262" s="4">
        <v>2005</v>
      </c>
      <c r="E1262" s="4">
        <v>2990</v>
      </c>
      <c r="F1262" s="4" t="s">
        <v>29</v>
      </c>
    </row>
    <row r="1263" spans="1:6" x14ac:dyDescent="0.25">
      <c r="A1263" s="4" t="s">
        <v>81</v>
      </c>
      <c r="B1263" s="4" t="s">
        <v>1</v>
      </c>
      <c r="C1263" s="4" t="s">
        <v>21</v>
      </c>
      <c r="D1263" s="4">
        <v>2006</v>
      </c>
      <c r="E1263" s="4">
        <v>2970</v>
      </c>
      <c r="F1263" s="4" t="s">
        <v>29</v>
      </c>
    </row>
    <row r="1264" spans="1:6" x14ac:dyDescent="0.25">
      <c r="A1264" s="4" t="s">
        <v>81</v>
      </c>
      <c r="B1264" s="4" t="s">
        <v>1</v>
      </c>
      <c r="C1264" s="4" t="s">
        <v>21</v>
      </c>
      <c r="D1264" s="4">
        <v>2007</v>
      </c>
      <c r="E1264" s="4">
        <v>2790</v>
      </c>
      <c r="F1264" s="4" t="s">
        <v>29</v>
      </c>
    </row>
    <row r="1265" spans="1:6" x14ac:dyDescent="0.25">
      <c r="A1265" s="4" t="s">
        <v>81</v>
      </c>
      <c r="B1265" s="4" t="s">
        <v>1</v>
      </c>
      <c r="C1265" s="4" t="s">
        <v>21</v>
      </c>
      <c r="D1265" s="4">
        <v>2008</v>
      </c>
      <c r="E1265" s="4">
        <v>2580</v>
      </c>
      <c r="F1265" s="4" t="s">
        <v>29</v>
      </c>
    </row>
    <row r="1266" spans="1:6" x14ac:dyDescent="0.25">
      <c r="A1266" s="4" t="s">
        <v>81</v>
      </c>
      <c r="B1266" s="4" t="s">
        <v>1</v>
      </c>
      <c r="C1266" s="4" t="s">
        <v>21</v>
      </c>
      <c r="D1266" s="4">
        <v>2009</v>
      </c>
      <c r="E1266" s="4">
        <v>2470</v>
      </c>
      <c r="F1266" s="4" t="s">
        <v>29</v>
      </c>
    </row>
    <row r="1267" spans="1:6" x14ac:dyDescent="0.25">
      <c r="A1267" s="4" t="s">
        <v>81</v>
      </c>
      <c r="B1267" s="4" t="s">
        <v>1</v>
      </c>
      <c r="C1267" s="4" t="s">
        <v>21</v>
      </c>
      <c r="D1267" s="4">
        <v>2010</v>
      </c>
      <c r="E1267" s="4">
        <v>2390</v>
      </c>
      <c r="F1267" s="4" t="s">
        <v>29</v>
      </c>
    </row>
    <row r="1268" spans="1:6" x14ac:dyDescent="0.25">
      <c r="A1268" s="4" t="s">
        <v>81</v>
      </c>
      <c r="B1268" s="4" t="s">
        <v>1</v>
      </c>
      <c r="C1268" s="4" t="s">
        <v>21</v>
      </c>
      <c r="D1268" s="4">
        <v>2011</v>
      </c>
      <c r="E1268" s="4">
        <v>1670</v>
      </c>
      <c r="F1268" s="4" t="s">
        <v>29</v>
      </c>
    </row>
    <row r="1269" spans="1:6" x14ac:dyDescent="0.25">
      <c r="A1269" s="4" t="s">
        <v>81</v>
      </c>
      <c r="B1269" s="4" t="s">
        <v>1</v>
      </c>
      <c r="C1269" s="4" t="s">
        <v>21</v>
      </c>
      <c r="D1269" s="4">
        <v>2012</v>
      </c>
      <c r="E1269" s="4">
        <v>2070</v>
      </c>
      <c r="F1269" s="4" t="s">
        <v>29</v>
      </c>
    </row>
    <row r="1270" spans="1:6" x14ac:dyDescent="0.25">
      <c r="A1270" s="4" t="s">
        <v>81</v>
      </c>
      <c r="B1270" s="4" t="s">
        <v>1</v>
      </c>
      <c r="C1270" s="4" t="s">
        <v>21</v>
      </c>
      <c r="D1270" s="4">
        <v>2013</v>
      </c>
      <c r="E1270" s="4">
        <v>1960</v>
      </c>
      <c r="F1270" s="4" t="s">
        <v>29</v>
      </c>
    </row>
    <row r="1271" spans="1:6" x14ac:dyDescent="0.25">
      <c r="A1271" s="4" t="s">
        <v>81</v>
      </c>
      <c r="B1271" s="4" t="s">
        <v>1</v>
      </c>
      <c r="C1271" s="4" t="s">
        <v>21</v>
      </c>
      <c r="D1271" s="4">
        <v>2014</v>
      </c>
      <c r="E1271" s="4">
        <v>1690</v>
      </c>
      <c r="F1271" s="4" t="s">
        <v>29</v>
      </c>
    </row>
    <row r="1272" spans="1:6" x14ac:dyDescent="0.25">
      <c r="A1272" s="4" t="s">
        <v>81</v>
      </c>
      <c r="B1272" s="4" t="s">
        <v>1</v>
      </c>
      <c r="C1272" s="4" t="s">
        <v>21</v>
      </c>
      <c r="D1272" s="4">
        <v>2015</v>
      </c>
      <c r="E1272" s="4">
        <v>1576</v>
      </c>
      <c r="F1272" s="4" t="s">
        <v>29</v>
      </c>
    </row>
    <row r="1273" spans="1:6" x14ac:dyDescent="0.25">
      <c r="A1273" s="4" t="s">
        <v>81</v>
      </c>
      <c r="B1273" s="4" t="s">
        <v>1</v>
      </c>
      <c r="C1273" s="4" t="s">
        <v>21</v>
      </c>
      <c r="D1273" s="4">
        <v>2016</v>
      </c>
      <c r="E1273" s="4">
        <v>1428</v>
      </c>
      <c r="F1273" s="4" t="s">
        <v>29</v>
      </c>
    </row>
    <row r="1274" spans="1:6" x14ac:dyDescent="0.25">
      <c r="A1274" s="4" t="s">
        <v>81</v>
      </c>
      <c r="B1274" s="4" t="s">
        <v>1</v>
      </c>
      <c r="C1274" s="4" t="s">
        <v>21</v>
      </c>
      <c r="D1274" s="4">
        <v>2017</v>
      </c>
      <c r="E1274" s="4">
        <v>54</v>
      </c>
      <c r="F1274" s="4" t="s">
        <v>29</v>
      </c>
    </row>
    <row r="1275" spans="1:6" x14ac:dyDescent="0.25">
      <c r="A1275" s="4" t="s">
        <v>81</v>
      </c>
      <c r="B1275" s="4" t="s">
        <v>1</v>
      </c>
      <c r="C1275" s="4" t="s">
        <v>21</v>
      </c>
      <c r="D1275" s="4">
        <v>2018</v>
      </c>
      <c r="E1275" s="4">
        <v>100</v>
      </c>
      <c r="F1275" s="4" t="s">
        <v>29</v>
      </c>
    </row>
    <row r="1276" spans="1:6" x14ac:dyDescent="0.25">
      <c r="A1276" s="4" t="s">
        <v>81</v>
      </c>
      <c r="B1276" s="4" t="s">
        <v>1</v>
      </c>
      <c r="C1276" s="4" t="s">
        <v>21</v>
      </c>
      <c r="D1276" s="4">
        <v>2019</v>
      </c>
      <c r="E1276" s="4">
        <v>1212.9230769230767</v>
      </c>
      <c r="F1276" s="4" t="s">
        <v>29</v>
      </c>
    </row>
    <row r="1277" spans="1:6" x14ac:dyDescent="0.25">
      <c r="A1277" s="4" t="s">
        <v>81</v>
      </c>
      <c r="B1277" s="4" t="s">
        <v>1</v>
      </c>
      <c r="C1277" s="4" t="s">
        <v>21</v>
      </c>
      <c r="D1277" s="4">
        <v>2020</v>
      </c>
      <c r="E1277" s="4">
        <v>1305.840579710145</v>
      </c>
      <c r="F1277" s="4" t="s">
        <v>29</v>
      </c>
    </row>
    <row r="1278" spans="1:6" x14ac:dyDescent="0.25">
      <c r="A1278" s="4" t="s">
        <v>81</v>
      </c>
      <c r="B1278" s="4" t="s">
        <v>1</v>
      </c>
      <c r="C1278" s="4" t="s">
        <v>21</v>
      </c>
      <c r="D1278" s="4">
        <v>2021</v>
      </c>
      <c r="E1278" s="4">
        <v>1321.7941381236001</v>
      </c>
      <c r="F1278" s="4" t="s">
        <v>29</v>
      </c>
    </row>
    <row r="1279" spans="1:6" x14ac:dyDescent="0.25">
      <c r="A1279" s="4" t="s">
        <v>81</v>
      </c>
      <c r="B1279" s="4" t="s">
        <v>1</v>
      </c>
      <c r="C1279" s="4" t="s">
        <v>21</v>
      </c>
      <c r="D1279" s="4">
        <v>2022</v>
      </c>
      <c r="E1279" s="4">
        <v>1282.140313979892</v>
      </c>
      <c r="F1279" s="4" t="s">
        <v>29</v>
      </c>
    </row>
    <row r="1280" spans="1:6" x14ac:dyDescent="0.25">
      <c r="A1280" s="4" t="s">
        <v>81</v>
      </c>
      <c r="B1280" s="4" t="s">
        <v>1</v>
      </c>
      <c r="C1280" s="4" t="s">
        <v>21</v>
      </c>
      <c r="D1280" s="4">
        <v>2023</v>
      </c>
      <c r="E1280" s="4">
        <v>1243.6761045604951</v>
      </c>
      <c r="F1280" s="4" t="s">
        <v>29</v>
      </c>
    </row>
    <row r="1281" spans="1:6" x14ac:dyDescent="0.25">
      <c r="A1281" s="4" t="s">
        <v>81</v>
      </c>
      <c r="B1281" s="4" t="s">
        <v>1</v>
      </c>
      <c r="C1281" s="4" t="s">
        <v>21</v>
      </c>
      <c r="D1281" s="4">
        <v>2024</v>
      </c>
      <c r="E1281" s="4">
        <v>1206.3658214236802</v>
      </c>
      <c r="F1281" s="4" t="s">
        <v>29</v>
      </c>
    </row>
    <row r="1282" spans="1:6" x14ac:dyDescent="0.25">
      <c r="A1282" s="4" t="s">
        <v>81</v>
      </c>
      <c r="B1282" s="4" t="s">
        <v>1</v>
      </c>
      <c r="C1282" s="4" t="s">
        <v>21</v>
      </c>
      <c r="D1282" s="4">
        <v>2025</v>
      </c>
      <c r="E1282" s="4">
        <v>1170.1748467809698</v>
      </c>
      <c r="F1282" s="4" t="s">
        <v>29</v>
      </c>
    </row>
    <row r="1283" spans="1:6" x14ac:dyDescent="0.25">
      <c r="A1283" s="4" t="s">
        <v>81</v>
      </c>
      <c r="B1283" s="4" t="s">
        <v>1</v>
      </c>
      <c r="C1283" s="4" t="s">
        <v>21</v>
      </c>
      <c r="D1283" s="4">
        <v>2026</v>
      </c>
      <c r="E1283" s="4">
        <v>1123.7064525335761</v>
      </c>
      <c r="F1283" s="4" t="s">
        <v>29</v>
      </c>
    </row>
    <row r="1284" spans="1:6" x14ac:dyDescent="0.25">
      <c r="A1284" s="4" t="s">
        <v>81</v>
      </c>
      <c r="B1284" s="4" t="s">
        <v>1</v>
      </c>
      <c r="C1284" s="4" t="s">
        <v>21</v>
      </c>
      <c r="D1284" s="4">
        <v>2027</v>
      </c>
      <c r="E1284" s="4">
        <v>1078.9757255694858</v>
      </c>
      <c r="F1284" s="4" t="s">
        <v>29</v>
      </c>
    </row>
    <row r="1285" spans="1:6" x14ac:dyDescent="0.25">
      <c r="A1285" s="4" t="s">
        <v>81</v>
      </c>
      <c r="B1285" s="4" t="s">
        <v>1</v>
      </c>
      <c r="C1285" s="4" t="s">
        <v>21</v>
      </c>
      <c r="D1285" s="4">
        <v>2028</v>
      </c>
      <c r="E1285" s="4">
        <v>1025.2675084186831</v>
      </c>
      <c r="F1285" s="4" t="s">
        <v>29</v>
      </c>
    </row>
    <row r="1286" spans="1:6" x14ac:dyDescent="0.25">
      <c r="A1286" s="4" t="s">
        <v>81</v>
      </c>
      <c r="B1286" s="4" t="s">
        <v>1</v>
      </c>
      <c r="C1286" s="4" t="s">
        <v>21</v>
      </c>
      <c r="D1286" s="4">
        <v>2029</v>
      </c>
      <c r="E1286" s="4">
        <v>984.15000938314199</v>
      </c>
      <c r="F1286" s="4" t="s">
        <v>29</v>
      </c>
    </row>
    <row r="1287" spans="1:6" x14ac:dyDescent="0.25">
      <c r="A1287" s="4" t="s">
        <v>81</v>
      </c>
      <c r="B1287" s="4" t="s">
        <v>1</v>
      </c>
      <c r="C1287" s="4" t="s">
        <v>21</v>
      </c>
      <c r="D1287" s="4">
        <v>2030</v>
      </c>
      <c r="E1287" s="4">
        <v>944.57681953215661</v>
      </c>
      <c r="F1287" s="4" t="s">
        <v>29</v>
      </c>
    </row>
    <row r="1288" spans="1:6" x14ac:dyDescent="0.25">
      <c r="A1288" s="4" t="s">
        <v>81</v>
      </c>
      <c r="B1288" s="4" t="s">
        <v>1</v>
      </c>
      <c r="C1288" s="4" t="s">
        <v>21</v>
      </c>
      <c r="D1288" s="4">
        <v>2031</v>
      </c>
      <c r="E1288" s="4">
        <v>906.49228606378574</v>
      </c>
      <c r="F1288" s="4" t="s">
        <v>29</v>
      </c>
    </row>
    <row r="1289" spans="1:6" x14ac:dyDescent="0.25">
      <c r="A1289" s="4" t="s">
        <v>81</v>
      </c>
      <c r="B1289" s="4" t="s">
        <v>1</v>
      </c>
      <c r="C1289" s="4" t="s">
        <v>21</v>
      </c>
      <c r="D1289" s="4">
        <v>2032</v>
      </c>
      <c r="E1289" s="4">
        <v>869.84270546593802</v>
      </c>
      <c r="F1289" s="4" t="s">
        <v>29</v>
      </c>
    </row>
    <row r="1290" spans="1:6" x14ac:dyDescent="0.25">
      <c r="A1290" s="4" t="s">
        <v>81</v>
      </c>
      <c r="B1290" s="4" t="s">
        <v>1</v>
      </c>
      <c r="C1290" s="4" t="s">
        <v>21</v>
      </c>
      <c r="D1290" s="4">
        <v>2033</v>
      </c>
      <c r="E1290" s="4">
        <v>843.74742430195988</v>
      </c>
      <c r="F1290" s="4" t="s">
        <v>29</v>
      </c>
    </row>
    <row r="1291" spans="1:6" x14ac:dyDescent="0.25">
      <c r="A1291" s="4" t="s">
        <v>81</v>
      </c>
      <c r="B1291" s="4" t="s">
        <v>1</v>
      </c>
      <c r="C1291" s="4" t="s">
        <v>21</v>
      </c>
      <c r="D1291" s="4">
        <v>2034</v>
      </c>
      <c r="E1291" s="4">
        <v>809.53896894710874</v>
      </c>
      <c r="F1291" s="4" t="s">
        <v>29</v>
      </c>
    </row>
    <row r="1292" spans="1:6" x14ac:dyDescent="0.25">
      <c r="A1292" s="4" t="s">
        <v>81</v>
      </c>
      <c r="B1292" s="4" t="s">
        <v>1</v>
      </c>
      <c r="C1292" s="4" t="s">
        <v>21</v>
      </c>
      <c r="D1292" s="4">
        <v>2035</v>
      </c>
      <c r="E1292" s="4">
        <v>776.62364823167684</v>
      </c>
      <c r="F1292" s="4" t="s">
        <v>29</v>
      </c>
    </row>
    <row r="1293" spans="1:6" x14ac:dyDescent="0.25">
      <c r="A1293" s="4" t="s">
        <v>81</v>
      </c>
      <c r="B1293" s="4" t="s">
        <v>1</v>
      </c>
      <c r="C1293" s="4" t="s">
        <v>21</v>
      </c>
      <c r="D1293" s="4">
        <v>2036</v>
      </c>
      <c r="E1293" s="4">
        <v>753.32493878472644</v>
      </c>
      <c r="F1293" s="4" t="s">
        <v>29</v>
      </c>
    </row>
    <row r="1294" spans="1:6" x14ac:dyDescent="0.25">
      <c r="A1294" s="4" t="s">
        <v>81</v>
      </c>
      <c r="B1294" s="4" t="s">
        <v>1</v>
      </c>
      <c r="C1294" s="4" t="s">
        <v>21</v>
      </c>
      <c r="D1294" s="4">
        <v>2037</v>
      </c>
      <c r="E1294" s="4">
        <v>722.60602183650474</v>
      </c>
      <c r="F1294" s="4" t="s">
        <v>29</v>
      </c>
    </row>
    <row r="1295" spans="1:6" x14ac:dyDescent="0.25">
      <c r="A1295" s="4" t="s">
        <v>81</v>
      </c>
      <c r="B1295" s="4" t="s">
        <v>1</v>
      </c>
      <c r="C1295" s="4" t="s">
        <v>21</v>
      </c>
      <c r="D1295" s="4">
        <v>2038</v>
      </c>
      <c r="E1295" s="4">
        <v>693.05224746027022</v>
      </c>
      <c r="F1295" s="4" t="s">
        <v>29</v>
      </c>
    </row>
    <row r="1296" spans="1:6" x14ac:dyDescent="0.25">
      <c r="A1296" s="4" t="s">
        <v>81</v>
      </c>
      <c r="B1296" s="4" t="s">
        <v>1</v>
      </c>
      <c r="C1296" s="4" t="s">
        <v>21</v>
      </c>
      <c r="D1296" s="4">
        <v>2039</v>
      </c>
      <c r="E1296" s="4">
        <v>672.26068003646208</v>
      </c>
      <c r="F1296" s="4" t="s">
        <v>29</v>
      </c>
    </row>
    <row r="1297" spans="1:6" x14ac:dyDescent="0.25">
      <c r="A1297" s="4" t="s">
        <v>81</v>
      </c>
      <c r="B1297" s="4" t="s">
        <v>1</v>
      </c>
      <c r="C1297" s="4" t="s">
        <v>21</v>
      </c>
      <c r="D1297" s="4">
        <v>2040</v>
      </c>
      <c r="E1297" s="4">
        <v>644.57124475314788</v>
      </c>
      <c r="F1297" s="4" t="s">
        <v>29</v>
      </c>
    </row>
    <row r="1298" spans="1:6" x14ac:dyDescent="0.25">
      <c r="A1298" s="4" t="s">
        <v>81</v>
      </c>
      <c r="B1298" s="4" t="s">
        <v>23</v>
      </c>
      <c r="C1298" s="4" t="s">
        <v>21</v>
      </c>
      <c r="D1298" s="4">
        <v>2005</v>
      </c>
      <c r="E1298" s="4">
        <v>2990</v>
      </c>
      <c r="F1298" s="4" t="s">
        <v>29</v>
      </c>
    </row>
    <row r="1299" spans="1:6" x14ac:dyDescent="0.25">
      <c r="A1299" s="4" t="s">
        <v>81</v>
      </c>
      <c r="B1299" s="4" t="s">
        <v>23</v>
      </c>
      <c r="C1299" s="4" t="s">
        <v>21</v>
      </c>
      <c r="D1299" s="4">
        <v>2006</v>
      </c>
      <c r="E1299" s="4">
        <v>2970</v>
      </c>
      <c r="F1299" s="4" t="s">
        <v>29</v>
      </c>
    </row>
    <row r="1300" spans="1:6" x14ac:dyDescent="0.25">
      <c r="A1300" s="4" t="s">
        <v>81</v>
      </c>
      <c r="B1300" s="4" t="s">
        <v>23</v>
      </c>
      <c r="C1300" s="4" t="s">
        <v>21</v>
      </c>
      <c r="D1300" s="4">
        <v>2007</v>
      </c>
      <c r="E1300" s="4">
        <v>2790</v>
      </c>
      <c r="F1300" s="4" t="s">
        <v>29</v>
      </c>
    </row>
    <row r="1301" spans="1:6" x14ac:dyDescent="0.25">
      <c r="A1301" s="4" t="s">
        <v>81</v>
      </c>
      <c r="B1301" s="4" t="s">
        <v>23</v>
      </c>
      <c r="C1301" s="4" t="s">
        <v>21</v>
      </c>
      <c r="D1301" s="4">
        <v>2008</v>
      </c>
      <c r="E1301" s="4">
        <v>2580</v>
      </c>
      <c r="F1301" s="4" t="s">
        <v>29</v>
      </c>
    </row>
    <row r="1302" spans="1:6" x14ac:dyDescent="0.25">
      <c r="A1302" s="4" t="s">
        <v>81</v>
      </c>
      <c r="B1302" s="4" t="s">
        <v>23</v>
      </c>
      <c r="C1302" s="4" t="s">
        <v>21</v>
      </c>
      <c r="D1302" s="4">
        <v>2009</v>
      </c>
      <c r="E1302" s="4">
        <v>2470</v>
      </c>
      <c r="F1302" s="4" t="s">
        <v>29</v>
      </c>
    </row>
    <row r="1303" spans="1:6" x14ac:dyDescent="0.25">
      <c r="A1303" s="4" t="s">
        <v>81</v>
      </c>
      <c r="B1303" s="4" t="s">
        <v>23</v>
      </c>
      <c r="C1303" s="4" t="s">
        <v>21</v>
      </c>
      <c r="D1303" s="4">
        <v>2010</v>
      </c>
      <c r="E1303" s="4">
        <v>2390</v>
      </c>
      <c r="F1303" s="4" t="s">
        <v>29</v>
      </c>
    </row>
    <row r="1304" spans="1:6" x14ac:dyDescent="0.25">
      <c r="A1304" s="4" t="s">
        <v>81</v>
      </c>
      <c r="B1304" s="4" t="s">
        <v>23</v>
      </c>
      <c r="C1304" s="4" t="s">
        <v>21</v>
      </c>
      <c r="D1304" s="4">
        <v>2011</v>
      </c>
      <c r="E1304" s="4">
        <v>1670</v>
      </c>
      <c r="F1304" s="4" t="s">
        <v>29</v>
      </c>
    </row>
    <row r="1305" spans="1:6" x14ac:dyDescent="0.25">
      <c r="A1305" s="4" t="s">
        <v>81</v>
      </c>
      <c r="B1305" s="4" t="s">
        <v>23</v>
      </c>
      <c r="C1305" s="4" t="s">
        <v>21</v>
      </c>
      <c r="D1305" s="4">
        <v>2012</v>
      </c>
      <c r="E1305" s="4">
        <v>2070</v>
      </c>
      <c r="F1305" s="4" t="s">
        <v>29</v>
      </c>
    </row>
    <row r="1306" spans="1:6" x14ac:dyDescent="0.25">
      <c r="A1306" s="4" t="s">
        <v>81</v>
      </c>
      <c r="B1306" s="4" t="s">
        <v>23</v>
      </c>
      <c r="C1306" s="4" t="s">
        <v>21</v>
      </c>
      <c r="D1306" s="4">
        <v>2013</v>
      </c>
      <c r="E1306" s="4">
        <v>1960</v>
      </c>
      <c r="F1306" s="4" t="s">
        <v>29</v>
      </c>
    </row>
    <row r="1307" spans="1:6" x14ac:dyDescent="0.25">
      <c r="A1307" s="4" t="s">
        <v>81</v>
      </c>
      <c r="B1307" s="4" t="s">
        <v>23</v>
      </c>
      <c r="C1307" s="4" t="s">
        <v>21</v>
      </c>
      <c r="D1307" s="4">
        <v>2014</v>
      </c>
      <c r="E1307" s="4">
        <v>1690</v>
      </c>
      <c r="F1307" s="4" t="s">
        <v>29</v>
      </c>
    </row>
    <row r="1308" spans="1:6" x14ac:dyDescent="0.25">
      <c r="A1308" s="4" t="s">
        <v>81</v>
      </c>
      <c r="B1308" s="4" t="s">
        <v>23</v>
      </c>
      <c r="C1308" s="4" t="s">
        <v>21</v>
      </c>
      <c r="D1308" s="4">
        <v>2015</v>
      </c>
      <c r="E1308" s="4">
        <v>1576</v>
      </c>
      <c r="F1308" s="4" t="s">
        <v>29</v>
      </c>
    </row>
    <row r="1309" spans="1:6" x14ac:dyDescent="0.25">
      <c r="A1309" s="4" t="s">
        <v>81</v>
      </c>
      <c r="B1309" s="4" t="s">
        <v>23</v>
      </c>
      <c r="C1309" s="4" t="s">
        <v>21</v>
      </c>
      <c r="D1309" s="4">
        <v>2016</v>
      </c>
      <c r="E1309" s="4">
        <v>1428</v>
      </c>
      <c r="F1309" s="4" t="s">
        <v>29</v>
      </c>
    </row>
    <row r="1310" spans="1:6" x14ac:dyDescent="0.25">
      <c r="A1310" s="4" t="s">
        <v>81</v>
      </c>
      <c r="B1310" s="4" t="s">
        <v>23</v>
      </c>
      <c r="C1310" s="4" t="s">
        <v>21</v>
      </c>
      <c r="D1310" s="4">
        <v>2017</v>
      </c>
      <c r="E1310" s="4">
        <v>54</v>
      </c>
      <c r="F1310" s="4" t="s">
        <v>29</v>
      </c>
    </row>
    <row r="1311" spans="1:6" x14ac:dyDescent="0.25">
      <c r="A1311" s="4" t="s">
        <v>81</v>
      </c>
      <c r="B1311" s="4" t="s">
        <v>23</v>
      </c>
      <c r="C1311" s="4" t="s">
        <v>21</v>
      </c>
      <c r="D1311" s="4">
        <v>2018</v>
      </c>
      <c r="E1311" s="4">
        <v>100</v>
      </c>
      <c r="F1311" s="4" t="s">
        <v>29</v>
      </c>
    </row>
    <row r="1312" spans="1:6" x14ac:dyDescent="0.25">
      <c r="A1312" s="4" t="s">
        <v>81</v>
      </c>
      <c r="B1312" s="4" t="s">
        <v>23</v>
      </c>
      <c r="C1312" s="4" t="s">
        <v>21</v>
      </c>
      <c r="D1312" s="4">
        <v>2019</v>
      </c>
      <c r="E1312" s="4">
        <v>1212.9230769230767</v>
      </c>
      <c r="F1312" s="4" t="s">
        <v>29</v>
      </c>
    </row>
    <row r="1313" spans="1:6" x14ac:dyDescent="0.25">
      <c r="A1313" s="4" t="s">
        <v>81</v>
      </c>
      <c r="B1313" s="4" t="s">
        <v>23</v>
      </c>
      <c r="C1313" s="4" t="s">
        <v>21</v>
      </c>
      <c r="D1313" s="4">
        <v>2020</v>
      </c>
      <c r="E1313" s="4">
        <v>1305.840579710145</v>
      </c>
      <c r="F1313" s="4" t="s">
        <v>29</v>
      </c>
    </row>
    <row r="1314" spans="1:6" x14ac:dyDescent="0.25">
      <c r="A1314" s="4" t="s">
        <v>81</v>
      </c>
      <c r="B1314" s="4" t="s">
        <v>23</v>
      </c>
      <c r="C1314" s="4" t="s">
        <v>21</v>
      </c>
      <c r="D1314" s="4">
        <v>2021</v>
      </c>
      <c r="E1314" s="4">
        <v>1321.7941381236001</v>
      </c>
      <c r="F1314" s="4" t="s">
        <v>29</v>
      </c>
    </row>
    <row r="1315" spans="1:6" x14ac:dyDescent="0.25">
      <c r="A1315" s="4" t="s">
        <v>81</v>
      </c>
      <c r="B1315" s="4" t="s">
        <v>23</v>
      </c>
      <c r="C1315" s="4" t="s">
        <v>21</v>
      </c>
      <c r="D1315" s="4">
        <v>2022</v>
      </c>
      <c r="E1315" s="4">
        <v>1282.140313979892</v>
      </c>
      <c r="F1315" s="4" t="s">
        <v>29</v>
      </c>
    </row>
    <row r="1316" spans="1:6" x14ac:dyDescent="0.25">
      <c r="A1316" s="4" t="s">
        <v>81</v>
      </c>
      <c r="B1316" s="4" t="s">
        <v>23</v>
      </c>
      <c r="C1316" s="4" t="s">
        <v>21</v>
      </c>
      <c r="D1316" s="4">
        <v>2023</v>
      </c>
      <c r="E1316" s="4">
        <v>1243.6761045604951</v>
      </c>
      <c r="F1316" s="4" t="s">
        <v>29</v>
      </c>
    </row>
    <row r="1317" spans="1:6" x14ac:dyDescent="0.25">
      <c r="A1317" s="4" t="s">
        <v>81</v>
      </c>
      <c r="B1317" s="4" t="s">
        <v>23</v>
      </c>
      <c r="C1317" s="4" t="s">
        <v>21</v>
      </c>
      <c r="D1317" s="4">
        <v>2024</v>
      </c>
      <c r="E1317" s="4">
        <v>1206.3658214236802</v>
      </c>
      <c r="F1317" s="4" t="s">
        <v>29</v>
      </c>
    </row>
    <row r="1318" spans="1:6" x14ac:dyDescent="0.25">
      <c r="A1318" s="4" t="s">
        <v>81</v>
      </c>
      <c r="B1318" s="4" t="s">
        <v>23</v>
      </c>
      <c r="C1318" s="4" t="s">
        <v>21</v>
      </c>
      <c r="D1318" s="4">
        <v>2025</v>
      </c>
      <c r="E1318" s="4">
        <v>1170.1748467809698</v>
      </c>
      <c r="F1318" s="4" t="s">
        <v>29</v>
      </c>
    </row>
    <row r="1319" spans="1:6" x14ac:dyDescent="0.25">
      <c r="A1319" s="4" t="s">
        <v>81</v>
      </c>
      <c r="B1319" s="4" t="s">
        <v>23</v>
      </c>
      <c r="C1319" s="4" t="s">
        <v>21</v>
      </c>
      <c r="D1319" s="4">
        <v>2026</v>
      </c>
      <c r="E1319" s="4">
        <v>1123.7064525335761</v>
      </c>
      <c r="F1319" s="4" t="s">
        <v>29</v>
      </c>
    </row>
    <row r="1320" spans="1:6" x14ac:dyDescent="0.25">
      <c r="A1320" s="4" t="s">
        <v>81</v>
      </c>
      <c r="B1320" s="4" t="s">
        <v>23</v>
      </c>
      <c r="C1320" s="4" t="s">
        <v>21</v>
      </c>
      <c r="D1320" s="4">
        <v>2027</v>
      </c>
      <c r="E1320" s="4">
        <v>1078.9757255694858</v>
      </c>
      <c r="F1320" s="4" t="s">
        <v>29</v>
      </c>
    </row>
    <row r="1321" spans="1:6" x14ac:dyDescent="0.25">
      <c r="A1321" s="4" t="s">
        <v>81</v>
      </c>
      <c r="B1321" s="4" t="s">
        <v>23</v>
      </c>
      <c r="C1321" s="4" t="s">
        <v>21</v>
      </c>
      <c r="D1321" s="4">
        <v>2028</v>
      </c>
      <c r="E1321" s="4">
        <v>1025.2675084186831</v>
      </c>
      <c r="F1321" s="4" t="s">
        <v>29</v>
      </c>
    </row>
    <row r="1322" spans="1:6" x14ac:dyDescent="0.25">
      <c r="A1322" s="4" t="s">
        <v>81</v>
      </c>
      <c r="B1322" s="4" t="s">
        <v>23</v>
      </c>
      <c r="C1322" s="4" t="s">
        <v>21</v>
      </c>
      <c r="D1322" s="4">
        <v>2029</v>
      </c>
      <c r="E1322" s="4">
        <v>984.15000938314199</v>
      </c>
      <c r="F1322" s="4" t="s">
        <v>29</v>
      </c>
    </row>
    <row r="1323" spans="1:6" x14ac:dyDescent="0.25">
      <c r="A1323" s="4" t="s">
        <v>81</v>
      </c>
      <c r="B1323" s="4" t="s">
        <v>23</v>
      </c>
      <c r="C1323" s="4" t="s">
        <v>21</v>
      </c>
      <c r="D1323" s="4">
        <v>2030</v>
      </c>
      <c r="E1323" s="4">
        <v>944.57681953215661</v>
      </c>
      <c r="F1323" s="4" t="s">
        <v>29</v>
      </c>
    </row>
    <row r="1324" spans="1:6" x14ac:dyDescent="0.25">
      <c r="A1324" s="4" t="s">
        <v>81</v>
      </c>
      <c r="B1324" s="4" t="s">
        <v>23</v>
      </c>
      <c r="C1324" s="4" t="s">
        <v>21</v>
      </c>
      <c r="D1324" s="4">
        <v>2031</v>
      </c>
      <c r="E1324" s="4">
        <v>906.49228606378574</v>
      </c>
      <c r="F1324" s="4" t="s">
        <v>29</v>
      </c>
    </row>
    <row r="1325" spans="1:6" x14ac:dyDescent="0.25">
      <c r="A1325" s="4" t="s">
        <v>81</v>
      </c>
      <c r="B1325" s="4" t="s">
        <v>23</v>
      </c>
      <c r="C1325" s="4" t="s">
        <v>21</v>
      </c>
      <c r="D1325" s="4">
        <v>2032</v>
      </c>
      <c r="E1325" s="4">
        <v>869.84270546593802</v>
      </c>
      <c r="F1325" s="4" t="s">
        <v>29</v>
      </c>
    </row>
    <row r="1326" spans="1:6" x14ac:dyDescent="0.25">
      <c r="A1326" s="4" t="s">
        <v>81</v>
      </c>
      <c r="B1326" s="4" t="s">
        <v>23</v>
      </c>
      <c r="C1326" s="4" t="s">
        <v>21</v>
      </c>
      <c r="D1326" s="4">
        <v>2033</v>
      </c>
      <c r="E1326" s="4">
        <v>843.74742430195988</v>
      </c>
      <c r="F1326" s="4" t="s">
        <v>29</v>
      </c>
    </row>
    <row r="1327" spans="1:6" x14ac:dyDescent="0.25">
      <c r="A1327" s="4" t="s">
        <v>81</v>
      </c>
      <c r="B1327" s="4" t="s">
        <v>23</v>
      </c>
      <c r="C1327" s="4" t="s">
        <v>21</v>
      </c>
      <c r="D1327" s="4">
        <v>2034</v>
      </c>
      <c r="E1327" s="4">
        <v>809.53896894710874</v>
      </c>
      <c r="F1327" s="4" t="s">
        <v>29</v>
      </c>
    </row>
    <row r="1328" spans="1:6" x14ac:dyDescent="0.25">
      <c r="A1328" s="4" t="s">
        <v>81</v>
      </c>
      <c r="B1328" s="4" t="s">
        <v>23</v>
      </c>
      <c r="C1328" s="4" t="s">
        <v>21</v>
      </c>
      <c r="D1328" s="4">
        <v>2035</v>
      </c>
      <c r="E1328" s="4">
        <v>776.62364823167684</v>
      </c>
      <c r="F1328" s="4" t="s">
        <v>29</v>
      </c>
    </row>
    <row r="1329" spans="1:6" x14ac:dyDescent="0.25">
      <c r="A1329" s="4" t="s">
        <v>81</v>
      </c>
      <c r="B1329" s="4" t="s">
        <v>23</v>
      </c>
      <c r="C1329" s="4" t="s">
        <v>21</v>
      </c>
      <c r="D1329" s="4">
        <v>2036</v>
      </c>
      <c r="E1329" s="4">
        <v>753.32493878472644</v>
      </c>
      <c r="F1329" s="4" t="s">
        <v>29</v>
      </c>
    </row>
    <row r="1330" spans="1:6" x14ac:dyDescent="0.25">
      <c r="A1330" s="4" t="s">
        <v>81</v>
      </c>
      <c r="B1330" s="4" t="s">
        <v>23</v>
      </c>
      <c r="C1330" s="4" t="s">
        <v>21</v>
      </c>
      <c r="D1330" s="4">
        <v>2037</v>
      </c>
      <c r="E1330" s="4">
        <v>722.60602183650474</v>
      </c>
      <c r="F1330" s="4" t="s">
        <v>29</v>
      </c>
    </row>
    <row r="1331" spans="1:6" x14ac:dyDescent="0.25">
      <c r="A1331" s="4" t="s">
        <v>81</v>
      </c>
      <c r="B1331" s="4" t="s">
        <v>23</v>
      </c>
      <c r="C1331" s="4" t="s">
        <v>21</v>
      </c>
      <c r="D1331" s="4">
        <v>2038</v>
      </c>
      <c r="E1331" s="4">
        <v>693.05224746027022</v>
      </c>
      <c r="F1331" s="4" t="s">
        <v>29</v>
      </c>
    </row>
    <row r="1332" spans="1:6" x14ac:dyDescent="0.25">
      <c r="A1332" s="4" t="s">
        <v>81</v>
      </c>
      <c r="B1332" s="4" t="s">
        <v>23</v>
      </c>
      <c r="C1332" s="4" t="s">
        <v>21</v>
      </c>
      <c r="D1332" s="4">
        <v>2039</v>
      </c>
      <c r="E1332" s="4">
        <v>672.26068003646208</v>
      </c>
      <c r="F1332" s="4" t="s">
        <v>29</v>
      </c>
    </row>
    <row r="1333" spans="1:6" x14ac:dyDescent="0.25">
      <c r="A1333" s="4" t="s">
        <v>81</v>
      </c>
      <c r="B1333" s="4" t="s">
        <v>23</v>
      </c>
      <c r="C1333" s="4" t="s">
        <v>21</v>
      </c>
      <c r="D1333" s="4">
        <v>2040</v>
      </c>
      <c r="E1333" s="4">
        <v>644.57124475314788</v>
      </c>
      <c r="F1333" s="4" t="s">
        <v>29</v>
      </c>
    </row>
    <row r="1334" spans="1:6" x14ac:dyDescent="0.25">
      <c r="A1334" s="4" t="s">
        <v>82</v>
      </c>
      <c r="B1334" s="4" t="s">
        <v>1</v>
      </c>
      <c r="C1334" s="4" t="s">
        <v>21</v>
      </c>
      <c r="D1334" s="4">
        <v>2005</v>
      </c>
      <c r="E1334" s="4">
        <v>0</v>
      </c>
      <c r="F1334" s="4" t="s">
        <v>29</v>
      </c>
    </row>
    <row r="1335" spans="1:6" x14ac:dyDescent="0.25">
      <c r="A1335" s="4" t="s">
        <v>82</v>
      </c>
      <c r="B1335" s="4" t="s">
        <v>1</v>
      </c>
      <c r="C1335" s="4" t="s">
        <v>21</v>
      </c>
      <c r="D1335" s="4">
        <v>2006</v>
      </c>
      <c r="E1335" s="4">
        <v>0</v>
      </c>
      <c r="F1335" s="4" t="s">
        <v>29</v>
      </c>
    </row>
    <row r="1336" spans="1:6" x14ac:dyDescent="0.25">
      <c r="A1336" s="4" t="s">
        <v>82</v>
      </c>
      <c r="B1336" s="4" t="s">
        <v>1</v>
      </c>
      <c r="C1336" s="4" t="s">
        <v>21</v>
      </c>
      <c r="D1336" s="4">
        <v>2007</v>
      </c>
      <c r="E1336" s="4">
        <v>0</v>
      </c>
      <c r="F1336" s="4" t="s">
        <v>29</v>
      </c>
    </row>
    <row r="1337" spans="1:6" x14ac:dyDescent="0.25">
      <c r="A1337" s="4" t="s">
        <v>82</v>
      </c>
      <c r="B1337" s="4" t="s">
        <v>1</v>
      </c>
      <c r="C1337" s="4" t="s">
        <v>21</v>
      </c>
      <c r="D1337" s="4">
        <v>2008</v>
      </c>
      <c r="E1337" s="4">
        <v>0</v>
      </c>
      <c r="F1337" s="4" t="s">
        <v>29</v>
      </c>
    </row>
    <row r="1338" spans="1:6" x14ac:dyDescent="0.25">
      <c r="A1338" s="4" t="s">
        <v>82</v>
      </c>
      <c r="B1338" s="4" t="s">
        <v>1</v>
      </c>
      <c r="C1338" s="4" t="s">
        <v>21</v>
      </c>
      <c r="D1338" s="4">
        <v>2009</v>
      </c>
      <c r="E1338" s="4">
        <v>0</v>
      </c>
      <c r="F1338" s="4" t="s">
        <v>29</v>
      </c>
    </row>
    <row r="1339" spans="1:6" x14ac:dyDescent="0.25">
      <c r="A1339" s="4" t="s">
        <v>82</v>
      </c>
      <c r="B1339" s="4" t="s">
        <v>1</v>
      </c>
      <c r="C1339" s="4" t="s">
        <v>21</v>
      </c>
      <c r="D1339" s="4">
        <v>2010</v>
      </c>
      <c r="E1339" s="4">
        <v>0</v>
      </c>
      <c r="F1339" s="4" t="s">
        <v>29</v>
      </c>
    </row>
    <row r="1340" spans="1:6" x14ac:dyDescent="0.25">
      <c r="A1340" s="4" t="s">
        <v>82</v>
      </c>
      <c r="B1340" s="4" t="s">
        <v>1</v>
      </c>
      <c r="C1340" s="4" t="s">
        <v>21</v>
      </c>
      <c r="D1340" s="4">
        <v>2011</v>
      </c>
      <c r="E1340" s="4">
        <v>0</v>
      </c>
      <c r="F1340" s="4" t="s">
        <v>29</v>
      </c>
    </row>
    <row r="1341" spans="1:6" x14ac:dyDescent="0.25">
      <c r="A1341" s="4" t="s">
        <v>82</v>
      </c>
      <c r="B1341" s="4" t="s">
        <v>1</v>
      </c>
      <c r="C1341" s="4" t="s">
        <v>21</v>
      </c>
      <c r="D1341" s="4">
        <v>2012</v>
      </c>
      <c r="E1341" s="4">
        <v>0</v>
      </c>
      <c r="F1341" s="4" t="s">
        <v>29</v>
      </c>
    </row>
    <row r="1342" spans="1:6" x14ac:dyDescent="0.25">
      <c r="A1342" s="4" t="s">
        <v>82</v>
      </c>
      <c r="B1342" s="4" t="s">
        <v>1</v>
      </c>
      <c r="C1342" s="4" t="s">
        <v>21</v>
      </c>
      <c r="D1342" s="4">
        <v>2013</v>
      </c>
      <c r="E1342" s="4">
        <v>0</v>
      </c>
      <c r="F1342" s="4" t="s">
        <v>29</v>
      </c>
    </row>
    <row r="1343" spans="1:6" x14ac:dyDescent="0.25">
      <c r="A1343" s="4" t="s">
        <v>82</v>
      </c>
      <c r="B1343" s="4" t="s">
        <v>1</v>
      </c>
      <c r="C1343" s="4" t="s">
        <v>21</v>
      </c>
      <c r="D1343" s="4">
        <v>2014</v>
      </c>
      <c r="E1343" s="4">
        <v>0</v>
      </c>
      <c r="F1343" s="4" t="s">
        <v>29</v>
      </c>
    </row>
    <row r="1344" spans="1:6" x14ac:dyDescent="0.25">
      <c r="A1344" s="4" t="s">
        <v>82</v>
      </c>
      <c r="B1344" s="4" t="s">
        <v>1</v>
      </c>
      <c r="C1344" s="4" t="s">
        <v>21</v>
      </c>
      <c r="D1344" s="4">
        <v>2015</v>
      </c>
      <c r="E1344" s="4">
        <v>0</v>
      </c>
      <c r="F1344" s="4" t="s">
        <v>29</v>
      </c>
    </row>
    <row r="1345" spans="1:6" x14ac:dyDescent="0.25">
      <c r="A1345" s="4" t="s">
        <v>82</v>
      </c>
      <c r="B1345" s="4" t="s">
        <v>1</v>
      </c>
      <c r="C1345" s="4" t="s">
        <v>21</v>
      </c>
      <c r="D1345" s="4">
        <v>2016</v>
      </c>
      <c r="E1345" s="4">
        <v>0</v>
      </c>
      <c r="F1345" s="4" t="s">
        <v>29</v>
      </c>
    </row>
    <row r="1346" spans="1:6" x14ac:dyDescent="0.25">
      <c r="A1346" s="4" t="s">
        <v>82</v>
      </c>
      <c r="B1346" s="4" t="s">
        <v>1</v>
      </c>
      <c r="C1346" s="4" t="s">
        <v>21</v>
      </c>
      <c r="D1346" s="4">
        <v>2017</v>
      </c>
      <c r="E1346" s="4">
        <v>0</v>
      </c>
      <c r="F1346" s="4" t="s">
        <v>29</v>
      </c>
    </row>
    <row r="1347" spans="1:6" x14ac:dyDescent="0.25">
      <c r="A1347" s="4" t="s">
        <v>82</v>
      </c>
      <c r="B1347" s="4" t="s">
        <v>1</v>
      </c>
      <c r="C1347" s="4" t="s">
        <v>21</v>
      </c>
      <c r="D1347" s="4">
        <v>2018</v>
      </c>
      <c r="E1347" s="4">
        <v>0</v>
      </c>
      <c r="F1347" s="4" t="s">
        <v>29</v>
      </c>
    </row>
    <row r="1348" spans="1:6" x14ac:dyDescent="0.25">
      <c r="A1348" s="4" t="s">
        <v>82</v>
      </c>
      <c r="B1348" s="4" t="s">
        <v>1</v>
      </c>
      <c r="C1348" s="4" t="s">
        <v>21</v>
      </c>
      <c r="D1348" s="4">
        <v>2019</v>
      </c>
      <c r="E1348" s="4">
        <v>0</v>
      </c>
      <c r="F1348" s="4" t="s">
        <v>29</v>
      </c>
    </row>
    <row r="1349" spans="1:6" x14ac:dyDescent="0.25">
      <c r="A1349" s="4" t="s">
        <v>82</v>
      </c>
      <c r="B1349" s="4" t="s">
        <v>1</v>
      </c>
      <c r="C1349" s="4" t="s">
        <v>21</v>
      </c>
      <c r="D1349" s="4">
        <v>2020</v>
      </c>
      <c r="E1349" s="4">
        <v>0</v>
      </c>
      <c r="F1349" s="4" t="s">
        <v>29</v>
      </c>
    </row>
    <row r="1350" spans="1:6" x14ac:dyDescent="0.25">
      <c r="A1350" s="4" t="s">
        <v>82</v>
      </c>
      <c r="B1350" s="4" t="s">
        <v>1</v>
      </c>
      <c r="C1350" s="4" t="s">
        <v>21</v>
      </c>
      <c r="D1350" s="4">
        <v>2021</v>
      </c>
      <c r="E1350" s="4">
        <v>0</v>
      </c>
      <c r="F1350" s="4" t="s">
        <v>29</v>
      </c>
    </row>
    <row r="1351" spans="1:6" x14ac:dyDescent="0.25">
      <c r="A1351" s="4" t="s">
        <v>82</v>
      </c>
      <c r="B1351" s="4" t="s">
        <v>1</v>
      </c>
      <c r="C1351" s="4" t="s">
        <v>21</v>
      </c>
      <c r="D1351" s="4">
        <v>2022</v>
      </c>
      <c r="E1351" s="4">
        <v>0</v>
      </c>
      <c r="F1351" s="4" t="s">
        <v>29</v>
      </c>
    </row>
    <row r="1352" spans="1:6" x14ac:dyDescent="0.25">
      <c r="A1352" s="4" t="s">
        <v>82</v>
      </c>
      <c r="B1352" s="4" t="s">
        <v>1</v>
      </c>
      <c r="C1352" s="4" t="s">
        <v>21</v>
      </c>
      <c r="D1352" s="4">
        <v>2023</v>
      </c>
      <c r="E1352" s="4">
        <v>0</v>
      </c>
      <c r="F1352" s="4" t="s">
        <v>29</v>
      </c>
    </row>
    <row r="1353" spans="1:6" x14ac:dyDescent="0.25">
      <c r="A1353" s="4" t="s">
        <v>82</v>
      </c>
      <c r="B1353" s="4" t="s">
        <v>1</v>
      </c>
      <c r="C1353" s="4" t="s">
        <v>21</v>
      </c>
      <c r="D1353" s="4">
        <v>2024</v>
      </c>
      <c r="E1353" s="4">
        <v>0</v>
      </c>
      <c r="F1353" s="4" t="s">
        <v>29</v>
      </c>
    </row>
    <row r="1354" spans="1:6" x14ac:dyDescent="0.25">
      <c r="A1354" s="4" t="s">
        <v>82</v>
      </c>
      <c r="B1354" s="4" t="s">
        <v>1</v>
      </c>
      <c r="C1354" s="4" t="s">
        <v>21</v>
      </c>
      <c r="D1354" s="4">
        <v>2025</v>
      </c>
      <c r="E1354" s="4">
        <v>0</v>
      </c>
      <c r="F1354" s="4" t="s">
        <v>29</v>
      </c>
    </row>
    <row r="1355" spans="1:6" x14ac:dyDescent="0.25">
      <c r="A1355" s="4" t="s">
        <v>82</v>
      </c>
      <c r="B1355" s="4" t="s">
        <v>1</v>
      </c>
      <c r="C1355" s="4" t="s">
        <v>21</v>
      </c>
      <c r="D1355" s="4">
        <v>2026</v>
      </c>
      <c r="E1355" s="4">
        <v>0</v>
      </c>
      <c r="F1355" s="4" t="s">
        <v>29</v>
      </c>
    </row>
    <row r="1356" spans="1:6" x14ac:dyDescent="0.25">
      <c r="A1356" s="4" t="s">
        <v>82</v>
      </c>
      <c r="B1356" s="4" t="s">
        <v>1</v>
      </c>
      <c r="C1356" s="4" t="s">
        <v>21</v>
      </c>
      <c r="D1356" s="4">
        <v>2027</v>
      </c>
      <c r="E1356" s="4">
        <v>0</v>
      </c>
      <c r="F1356" s="4" t="s">
        <v>29</v>
      </c>
    </row>
    <row r="1357" spans="1:6" x14ac:dyDescent="0.25">
      <c r="A1357" s="4" t="s">
        <v>82</v>
      </c>
      <c r="B1357" s="4" t="s">
        <v>1</v>
      </c>
      <c r="C1357" s="4" t="s">
        <v>21</v>
      </c>
      <c r="D1357" s="4">
        <v>2028</v>
      </c>
      <c r="E1357" s="4">
        <v>0</v>
      </c>
      <c r="F1357" s="4" t="s">
        <v>29</v>
      </c>
    </row>
    <row r="1358" spans="1:6" x14ac:dyDescent="0.25">
      <c r="A1358" s="4" t="s">
        <v>82</v>
      </c>
      <c r="B1358" s="4" t="s">
        <v>1</v>
      </c>
      <c r="C1358" s="4" t="s">
        <v>21</v>
      </c>
      <c r="D1358" s="4">
        <v>2029</v>
      </c>
      <c r="E1358" s="4">
        <v>0</v>
      </c>
      <c r="F1358" s="4" t="s">
        <v>29</v>
      </c>
    </row>
    <row r="1359" spans="1:6" x14ac:dyDescent="0.25">
      <c r="A1359" s="4" t="s">
        <v>82</v>
      </c>
      <c r="B1359" s="4" t="s">
        <v>1</v>
      </c>
      <c r="C1359" s="4" t="s">
        <v>21</v>
      </c>
      <c r="D1359" s="4">
        <v>2030</v>
      </c>
      <c r="E1359" s="4">
        <v>0</v>
      </c>
      <c r="F1359" s="4" t="s">
        <v>29</v>
      </c>
    </row>
    <row r="1360" spans="1:6" x14ac:dyDescent="0.25">
      <c r="A1360" s="4" t="s">
        <v>82</v>
      </c>
      <c r="B1360" s="4" t="s">
        <v>1</v>
      </c>
      <c r="C1360" s="4" t="s">
        <v>21</v>
      </c>
      <c r="D1360" s="4">
        <v>2031</v>
      </c>
      <c r="E1360" s="4">
        <v>0</v>
      </c>
      <c r="F1360" s="4" t="s">
        <v>29</v>
      </c>
    </row>
    <row r="1361" spans="1:6" x14ac:dyDescent="0.25">
      <c r="A1361" s="4" t="s">
        <v>82</v>
      </c>
      <c r="B1361" s="4" t="s">
        <v>1</v>
      </c>
      <c r="C1361" s="4" t="s">
        <v>21</v>
      </c>
      <c r="D1361" s="4">
        <v>2032</v>
      </c>
      <c r="E1361" s="4">
        <v>0</v>
      </c>
      <c r="F1361" s="4" t="s">
        <v>29</v>
      </c>
    </row>
    <row r="1362" spans="1:6" x14ac:dyDescent="0.25">
      <c r="A1362" s="4" t="s">
        <v>82</v>
      </c>
      <c r="B1362" s="4" t="s">
        <v>1</v>
      </c>
      <c r="C1362" s="4" t="s">
        <v>21</v>
      </c>
      <c r="D1362" s="4">
        <v>2033</v>
      </c>
      <c r="E1362" s="4">
        <v>0</v>
      </c>
      <c r="F1362" s="4" t="s">
        <v>29</v>
      </c>
    </row>
    <row r="1363" spans="1:6" x14ac:dyDescent="0.25">
      <c r="A1363" s="4" t="s">
        <v>82</v>
      </c>
      <c r="B1363" s="4" t="s">
        <v>1</v>
      </c>
      <c r="C1363" s="4" t="s">
        <v>21</v>
      </c>
      <c r="D1363" s="4">
        <v>2034</v>
      </c>
      <c r="E1363" s="4">
        <v>0</v>
      </c>
      <c r="F1363" s="4" t="s">
        <v>29</v>
      </c>
    </row>
    <row r="1364" spans="1:6" x14ac:dyDescent="0.25">
      <c r="A1364" s="4" t="s">
        <v>82</v>
      </c>
      <c r="B1364" s="4" t="s">
        <v>1</v>
      </c>
      <c r="C1364" s="4" t="s">
        <v>21</v>
      </c>
      <c r="D1364" s="4">
        <v>2035</v>
      </c>
      <c r="E1364" s="4">
        <v>0</v>
      </c>
      <c r="F1364" s="4" t="s">
        <v>29</v>
      </c>
    </row>
    <row r="1365" spans="1:6" x14ac:dyDescent="0.25">
      <c r="A1365" s="4" t="s">
        <v>82</v>
      </c>
      <c r="B1365" s="4" t="s">
        <v>1</v>
      </c>
      <c r="C1365" s="4" t="s">
        <v>21</v>
      </c>
      <c r="D1365" s="4">
        <v>2036</v>
      </c>
      <c r="E1365" s="4">
        <v>0</v>
      </c>
      <c r="F1365" s="4" t="s">
        <v>29</v>
      </c>
    </row>
    <row r="1366" spans="1:6" x14ac:dyDescent="0.25">
      <c r="A1366" s="4" t="s">
        <v>82</v>
      </c>
      <c r="B1366" s="4" t="s">
        <v>1</v>
      </c>
      <c r="C1366" s="4" t="s">
        <v>21</v>
      </c>
      <c r="D1366" s="4">
        <v>2037</v>
      </c>
      <c r="E1366" s="4">
        <v>0</v>
      </c>
      <c r="F1366" s="4" t="s">
        <v>29</v>
      </c>
    </row>
    <row r="1367" spans="1:6" x14ac:dyDescent="0.25">
      <c r="A1367" s="4" t="s">
        <v>82</v>
      </c>
      <c r="B1367" s="4" t="s">
        <v>1</v>
      </c>
      <c r="C1367" s="4" t="s">
        <v>21</v>
      </c>
      <c r="D1367" s="4">
        <v>2038</v>
      </c>
      <c r="E1367" s="4">
        <v>0</v>
      </c>
      <c r="F1367" s="4" t="s">
        <v>29</v>
      </c>
    </row>
    <row r="1368" spans="1:6" x14ac:dyDescent="0.25">
      <c r="A1368" s="4" t="s">
        <v>82</v>
      </c>
      <c r="B1368" s="4" t="s">
        <v>1</v>
      </c>
      <c r="C1368" s="4" t="s">
        <v>21</v>
      </c>
      <c r="D1368" s="4">
        <v>2039</v>
      </c>
      <c r="E1368" s="4">
        <v>0</v>
      </c>
      <c r="F1368" s="4" t="s">
        <v>29</v>
      </c>
    </row>
    <row r="1369" spans="1:6" x14ac:dyDescent="0.25">
      <c r="A1369" s="4" t="s">
        <v>82</v>
      </c>
      <c r="B1369" s="4" t="s">
        <v>1</v>
      </c>
      <c r="C1369" s="4" t="s">
        <v>21</v>
      </c>
      <c r="D1369" s="4">
        <v>2040</v>
      </c>
      <c r="E1369" s="4">
        <v>0</v>
      </c>
      <c r="F1369" s="4" t="s">
        <v>29</v>
      </c>
    </row>
    <row r="1370" spans="1:6" x14ac:dyDescent="0.25">
      <c r="A1370" s="4" t="s">
        <v>82</v>
      </c>
      <c r="B1370" s="4" t="s">
        <v>2</v>
      </c>
      <c r="C1370" s="4" t="s">
        <v>21</v>
      </c>
      <c r="D1370" s="4">
        <v>2005</v>
      </c>
      <c r="E1370" s="4">
        <v>0</v>
      </c>
      <c r="F1370" s="4" t="s">
        <v>29</v>
      </c>
    </row>
    <row r="1371" spans="1:6" x14ac:dyDescent="0.25">
      <c r="A1371" s="4" t="s">
        <v>82</v>
      </c>
      <c r="B1371" s="4" t="s">
        <v>2</v>
      </c>
      <c r="C1371" s="4" t="s">
        <v>21</v>
      </c>
      <c r="D1371" s="4">
        <v>2006</v>
      </c>
      <c r="E1371" s="4">
        <v>0</v>
      </c>
      <c r="F1371" s="4" t="s">
        <v>29</v>
      </c>
    </row>
    <row r="1372" spans="1:6" x14ac:dyDescent="0.25">
      <c r="A1372" s="4" t="s">
        <v>82</v>
      </c>
      <c r="B1372" s="4" t="s">
        <v>2</v>
      </c>
      <c r="C1372" s="4" t="s">
        <v>21</v>
      </c>
      <c r="D1372" s="4">
        <v>2007</v>
      </c>
      <c r="E1372" s="4">
        <v>0</v>
      </c>
      <c r="F1372" s="4" t="s">
        <v>29</v>
      </c>
    </row>
    <row r="1373" spans="1:6" x14ac:dyDescent="0.25">
      <c r="A1373" s="4" t="s">
        <v>82</v>
      </c>
      <c r="B1373" s="4" t="s">
        <v>2</v>
      </c>
      <c r="C1373" s="4" t="s">
        <v>21</v>
      </c>
      <c r="D1373" s="4">
        <v>2008</v>
      </c>
      <c r="E1373" s="4">
        <v>0</v>
      </c>
      <c r="F1373" s="4" t="s">
        <v>29</v>
      </c>
    </row>
    <row r="1374" spans="1:6" x14ac:dyDescent="0.25">
      <c r="A1374" s="4" t="s">
        <v>82</v>
      </c>
      <c r="B1374" s="4" t="s">
        <v>2</v>
      </c>
      <c r="C1374" s="4" t="s">
        <v>21</v>
      </c>
      <c r="D1374" s="4">
        <v>2009</v>
      </c>
      <c r="E1374" s="4">
        <v>0</v>
      </c>
      <c r="F1374" s="4" t="s">
        <v>29</v>
      </c>
    </row>
    <row r="1375" spans="1:6" x14ac:dyDescent="0.25">
      <c r="A1375" s="4" t="s">
        <v>82</v>
      </c>
      <c r="B1375" s="4" t="s">
        <v>2</v>
      </c>
      <c r="C1375" s="4" t="s">
        <v>21</v>
      </c>
      <c r="D1375" s="4">
        <v>2010</v>
      </c>
      <c r="E1375" s="4">
        <v>0</v>
      </c>
      <c r="F1375" s="4" t="s">
        <v>29</v>
      </c>
    </row>
    <row r="1376" spans="1:6" x14ac:dyDescent="0.25">
      <c r="A1376" s="4" t="s">
        <v>82</v>
      </c>
      <c r="B1376" s="4" t="s">
        <v>2</v>
      </c>
      <c r="C1376" s="4" t="s">
        <v>21</v>
      </c>
      <c r="D1376" s="4">
        <v>2011</v>
      </c>
      <c r="E1376" s="4">
        <v>0</v>
      </c>
      <c r="F1376" s="4" t="s">
        <v>29</v>
      </c>
    </row>
    <row r="1377" spans="1:6" x14ac:dyDescent="0.25">
      <c r="A1377" s="4" t="s">
        <v>82</v>
      </c>
      <c r="B1377" s="4" t="s">
        <v>2</v>
      </c>
      <c r="C1377" s="4" t="s">
        <v>21</v>
      </c>
      <c r="D1377" s="4">
        <v>2012</v>
      </c>
      <c r="E1377" s="4">
        <v>0</v>
      </c>
      <c r="F1377" s="4" t="s">
        <v>29</v>
      </c>
    </row>
    <row r="1378" spans="1:6" x14ac:dyDescent="0.25">
      <c r="A1378" s="4" t="s">
        <v>82</v>
      </c>
      <c r="B1378" s="4" t="s">
        <v>2</v>
      </c>
      <c r="C1378" s="4" t="s">
        <v>21</v>
      </c>
      <c r="D1378" s="4">
        <v>2013</v>
      </c>
      <c r="E1378" s="4">
        <v>0</v>
      </c>
      <c r="F1378" s="4" t="s">
        <v>29</v>
      </c>
    </row>
    <row r="1379" spans="1:6" x14ac:dyDescent="0.25">
      <c r="A1379" s="4" t="s">
        <v>82</v>
      </c>
      <c r="B1379" s="4" t="s">
        <v>2</v>
      </c>
      <c r="C1379" s="4" t="s">
        <v>21</v>
      </c>
      <c r="D1379" s="4">
        <v>2014</v>
      </c>
      <c r="E1379" s="4">
        <v>0</v>
      </c>
      <c r="F1379" s="4" t="s">
        <v>29</v>
      </c>
    </row>
    <row r="1380" spans="1:6" x14ac:dyDescent="0.25">
      <c r="A1380" s="4" t="s">
        <v>82</v>
      </c>
      <c r="B1380" s="4" t="s">
        <v>2</v>
      </c>
      <c r="C1380" s="4" t="s">
        <v>21</v>
      </c>
      <c r="D1380" s="4">
        <v>2015</v>
      </c>
      <c r="E1380" s="4">
        <v>0</v>
      </c>
      <c r="F1380" s="4" t="s">
        <v>29</v>
      </c>
    </row>
    <row r="1381" spans="1:6" x14ac:dyDescent="0.25">
      <c r="A1381" s="4" t="s">
        <v>82</v>
      </c>
      <c r="B1381" s="4" t="s">
        <v>2</v>
      </c>
      <c r="C1381" s="4" t="s">
        <v>21</v>
      </c>
      <c r="D1381" s="4">
        <v>2016</v>
      </c>
      <c r="E1381" s="4">
        <v>0</v>
      </c>
      <c r="F1381" s="4" t="s">
        <v>29</v>
      </c>
    </row>
    <row r="1382" spans="1:6" x14ac:dyDescent="0.25">
      <c r="A1382" s="4" t="s">
        <v>82</v>
      </c>
      <c r="B1382" s="4" t="s">
        <v>2</v>
      </c>
      <c r="C1382" s="4" t="s">
        <v>21</v>
      </c>
      <c r="D1382" s="4">
        <v>2017</v>
      </c>
      <c r="E1382" s="4">
        <v>0</v>
      </c>
      <c r="F1382" s="4" t="s">
        <v>29</v>
      </c>
    </row>
    <row r="1383" spans="1:6" x14ac:dyDescent="0.25">
      <c r="A1383" s="4" t="s">
        <v>82</v>
      </c>
      <c r="B1383" s="4" t="s">
        <v>2</v>
      </c>
      <c r="C1383" s="4" t="s">
        <v>21</v>
      </c>
      <c r="D1383" s="4">
        <v>2018</v>
      </c>
      <c r="E1383" s="4">
        <v>0</v>
      </c>
      <c r="F1383" s="4" t="s">
        <v>29</v>
      </c>
    </row>
    <row r="1384" spans="1:6" x14ac:dyDescent="0.25">
      <c r="A1384" s="4" t="s">
        <v>82</v>
      </c>
      <c r="B1384" s="4" t="s">
        <v>2</v>
      </c>
      <c r="C1384" s="4" t="s">
        <v>21</v>
      </c>
      <c r="D1384" s="4">
        <v>2019</v>
      </c>
      <c r="E1384" s="4">
        <v>0</v>
      </c>
      <c r="F1384" s="4" t="s">
        <v>29</v>
      </c>
    </row>
    <row r="1385" spans="1:6" x14ac:dyDescent="0.25">
      <c r="A1385" s="4" t="s">
        <v>82</v>
      </c>
      <c r="B1385" s="4" t="s">
        <v>2</v>
      </c>
      <c r="C1385" s="4" t="s">
        <v>21</v>
      </c>
      <c r="D1385" s="4">
        <v>2020</v>
      </c>
      <c r="E1385" s="4">
        <v>0</v>
      </c>
      <c r="F1385" s="4" t="s">
        <v>29</v>
      </c>
    </row>
    <row r="1386" spans="1:6" x14ac:dyDescent="0.25">
      <c r="A1386" s="4" t="s">
        <v>82</v>
      </c>
      <c r="B1386" s="4" t="s">
        <v>2</v>
      </c>
      <c r="C1386" s="4" t="s">
        <v>21</v>
      </c>
      <c r="D1386" s="4">
        <v>2021</v>
      </c>
      <c r="E1386" s="4">
        <v>0</v>
      </c>
      <c r="F1386" s="4" t="s">
        <v>29</v>
      </c>
    </row>
    <row r="1387" spans="1:6" x14ac:dyDescent="0.25">
      <c r="A1387" s="4" t="s">
        <v>82</v>
      </c>
      <c r="B1387" s="4" t="s">
        <v>2</v>
      </c>
      <c r="C1387" s="4" t="s">
        <v>21</v>
      </c>
      <c r="D1387" s="4">
        <v>2022</v>
      </c>
      <c r="E1387" s="4">
        <v>0</v>
      </c>
      <c r="F1387" s="4" t="s">
        <v>29</v>
      </c>
    </row>
    <row r="1388" spans="1:6" x14ac:dyDescent="0.25">
      <c r="A1388" s="4" t="s">
        <v>82</v>
      </c>
      <c r="B1388" s="4" t="s">
        <v>2</v>
      </c>
      <c r="C1388" s="4" t="s">
        <v>21</v>
      </c>
      <c r="D1388" s="4">
        <v>2023</v>
      </c>
      <c r="E1388" s="4">
        <v>0</v>
      </c>
      <c r="F1388" s="4" t="s">
        <v>29</v>
      </c>
    </row>
    <row r="1389" spans="1:6" x14ac:dyDescent="0.25">
      <c r="A1389" s="4" t="s">
        <v>82</v>
      </c>
      <c r="B1389" s="4" t="s">
        <v>2</v>
      </c>
      <c r="C1389" s="4" t="s">
        <v>21</v>
      </c>
      <c r="D1389" s="4">
        <v>2024</v>
      </c>
      <c r="E1389" s="4">
        <v>0</v>
      </c>
      <c r="F1389" s="4" t="s">
        <v>29</v>
      </c>
    </row>
    <row r="1390" spans="1:6" x14ac:dyDescent="0.25">
      <c r="A1390" s="4" t="s">
        <v>82</v>
      </c>
      <c r="B1390" s="4" t="s">
        <v>2</v>
      </c>
      <c r="C1390" s="4" t="s">
        <v>21</v>
      </c>
      <c r="D1390" s="4">
        <v>2025</v>
      </c>
      <c r="E1390" s="4">
        <v>0</v>
      </c>
      <c r="F1390" s="4" t="s">
        <v>29</v>
      </c>
    </row>
    <row r="1391" spans="1:6" x14ac:dyDescent="0.25">
      <c r="A1391" s="4" t="s">
        <v>82</v>
      </c>
      <c r="B1391" s="4" t="s">
        <v>2</v>
      </c>
      <c r="C1391" s="4" t="s">
        <v>21</v>
      </c>
      <c r="D1391" s="4">
        <v>2026</v>
      </c>
      <c r="E1391" s="4">
        <v>0</v>
      </c>
      <c r="F1391" s="4" t="s">
        <v>29</v>
      </c>
    </row>
    <row r="1392" spans="1:6" x14ac:dyDescent="0.25">
      <c r="A1392" s="4" t="s">
        <v>82</v>
      </c>
      <c r="B1392" s="4" t="s">
        <v>2</v>
      </c>
      <c r="C1392" s="4" t="s">
        <v>21</v>
      </c>
      <c r="D1392" s="4">
        <v>2027</v>
      </c>
      <c r="E1392" s="4">
        <v>0</v>
      </c>
      <c r="F1392" s="4" t="s">
        <v>29</v>
      </c>
    </row>
    <row r="1393" spans="1:6" x14ac:dyDescent="0.25">
      <c r="A1393" s="4" t="s">
        <v>82</v>
      </c>
      <c r="B1393" s="4" t="s">
        <v>2</v>
      </c>
      <c r="C1393" s="4" t="s">
        <v>21</v>
      </c>
      <c r="D1393" s="4">
        <v>2028</v>
      </c>
      <c r="E1393" s="4">
        <v>0</v>
      </c>
      <c r="F1393" s="4" t="s">
        <v>29</v>
      </c>
    </row>
    <row r="1394" spans="1:6" x14ac:dyDescent="0.25">
      <c r="A1394" s="4" t="s">
        <v>82</v>
      </c>
      <c r="B1394" s="4" t="s">
        <v>2</v>
      </c>
      <c r="C1394" s="4" t="s">
        <v>21</v>
      </c>
      <c r="D1394" s="4">
        <v>2029</v>
      </c>
      <c r="E1394" s="4">
        <v>0</v>
      </c>
      <c r="F1394" s="4" t="s">
        <v>29</v>
      </c>
    </row>
    <row r="1395" spans="1:6" x14ac:dyDescent="0.25">
      <c r="A1395" s="4" t="s">
        <v>82</v>
      </c>
      <c r="B1395" s="4" t="s">
        <v>2</v>
      </c>
      <c r="C1395" s="4" t="s">
        <v>21</v>
      </c>
      <c r="D1395" s="4">
        <v>2030</v>
      </c>
      <c r="E1395" s="4">
        <v>0</v>
      </c>
      <c r="F1395" s="4" t="s">
        <v>29</v>
      </c>
    </row>
    <row r="1396" spans="1:6" x14ac:dyDescent="0.25">
      <c r="A1396" s="4" t="s">
        <v>82</v>
      </c>
      <c r="B1396" s="4" t="s">
        <v>2</v>
      </c>
      <c r="C1396" s="4" t="s">
        <v>21</v>
      </c>
      <c r="D1396" s="4">
        <v>2031</v>
      </c>
      <c r="E1396" s="4">
        <v>0</v>
      </c>
      <c r="F1396" s="4" t="s">
        <v>29</v>
      </c>
    </row>
    <row r="1397" spans="1:6" x14ac:dyDescent="0.25">
      <c r="A1397" s="4" t="s">
        <v>82</v>
      </c>
      <c r="B1397" s="4" t="s">
        <v>2</v>
      </c>
      <c r="C1397" s="4" t="s">
        <v>21</v>
      </c>
      <c r="D1397" s="4">
        <v>2032</v>
      </c>
      <c r="E1397" s="4">
        <v>0</v>
      </c>
      <c r="F1397" s="4" t="s">
        <v>29</v>
      </c>
    </row>
    <row r="1398" spans="1:6" x14ac:dyDescent="0.25">
      <c r="A1398" s="4" t="s">
        <v>82</v>
      </c>
      <c r="B1398" s="4" t="s">
        <v>2</v>
      </c>
      <c r="C1398" s="4" t="s">
        <v>21</v>
      </c>
      <c r="D1398" s="4">
        <v>2033</v>
      </c>
      <c r="E1398" s="4">
        <v>0</v>
      </c>
      <c r="F1398" s="4" t="s">
        <v>29</v>
      </c>
    </row>
    <row r="1399" spans="1:6" x14ac:dyDescent="0.25">
      <c r="A1399" s="4" t="s">
        <v>82</v>
      </c>
      <c r="B1399" s="4" t="s">
        <v>2</v>
      </c>
      <c r="C1399" s="4" t="s">
        <v>21</v>
      </c>
      <c r="D1399" s="4">
        <v>2034</v>
      </c>
      <c r="E1399" s="4">
        <v>0</v>
      </c>
      <c r="F1399" s="4" t="s">
        <v>29</v>
      </c>
    </row>
    <row r="1400" spans="1:6" x14ac:dyDescent="0.25">
      <c r="A1400" s="4" t="s">
        <v>82</v>
      </c>
      <c r="B1400" s="4" t="s">
        <v>2</v>
      </c>
      <c r="C1400" s="4" t="s">
        <v>21</v>
      </c>
      <c r="D1400" s="4">
        <v>2035</v>
      </c>
      <c r="E1400" s="4">
        <v>0</v>
      </c>
      <c r="F1400" s="4" t="s">
        <v>29</v>
      </c>
    </row>
    <row r="1401" spans="1:6" x14ac:dyDescent="0.25">
      <c r="A1401" s="4" t="s">
        <v>82</v>
      </c>
      <c r="B1401" s="4" t="s">
        <v>2</v>
      </c>
      <c r="C1401" s="4" t="s">
        <v>21</v>
      </c>
      <c r="D1401" s="4">
        <v>2036</v>
      </c>
      <c r="E1401" s="4">
        <v>0</v>
      </c>
      <c r="F1401" s="4" t="s">
        <v>29</v>
      </c>
    </row>
    <row r="1402" spans="1:6" x14ac:dyDescent="0.25">
      <c r="A1402" s="4" t="s">
        <v>82</v>
      </c>
      <c r="B1402" s="4" t="s">
        <v>2</v>
      </c>
      <c r="C1402" s="4" t="s">
        <v>21</v>
      </c>
      <c r="D1402" s="4">
        <v>2037</v>
      </c>
      <c r="E1402" s="4">
        <v>0</v>
      </c>
      <c r="F1402" s="4" t="s">
        <v>29</v>
      </c>
    </row>
    <row r="1403" spans="1:6" x14ac:dyDescent="0.25">
      <c r="A1403" s="4" t="s">
        <v>82</v>
      </c>
      <c r="B1403" s="4" t="s">
        <v>2</v>
      </c>
      <c r="C1403" s="4" t="s">
        <v>21</v>
      </c>
      <c r="D1403" s="4">
        <v>2038</v>
      </c>
      <c r="E1403" s="4">
        <v>0</v>
      </c>
      <c r="F1403" s="4" t="s">
        <v>29</v>
      </c>
    </row>
    <row r="1404" spans="1:6" x14ac:dyDescent="0.25">
      <c r="A1404" s="4" t="s">
        <v>82</v>
      </c>
      <c r="B1404" s="4" t="s">
        <v>2</v>
      </c>
      <c r="C1404" s="4" t="s">
        <v>21</v>
      </c>
      <c r="D1404" s="4">
        <v>2039</v>
      </c>
      <c r="E1404" s="4">
        <v>0</v>
      </c>
      <c r="F1404" s="4" t="s">
        <v>29</v>
      </c>
    </row>
    <row r="1405" spans="1:6" x14ac:dyDescent="0.25">
      <c r="A1405" s="4" t="s">
        <v>82</v>
      </c>
      <c r="B1405" s="4" t="s">
        <v>2</v>
      </c>
      <c r="C1405" s="4" t="s">
        <v>21</v>
      </c>
      <c r="D1405" s="4">
        <v>2040</v>
      </c>
      <c r="E1405" s="4">
        <v>0</v>
      </c>
      <c r="F1405" s="4" t="s">
        <v>29</v>
      </c>
    </row>
    <row r="1406" spans="1:6" x14ac:dyDescent="0.25">
      <c r="A1406" s="4" t="s">
        <v>82</v>
      </c>
      <c r="B1406" s="4" t="s">
        <v>3</v>
      </c>
      <c r="C1406" s="4" t="s">
        <v>21</v>
      </c>
      <c r="D1406" s="4">
        <v>2005</v>
      </c>
      <c r="E1406" s="4">
        <v>0</v>
      </c>
      <c r="F1406" s="4" t="s">
        <v>29</v>
      </c>
    </row>
    <row r="1407" spans="1:6" x14ac:dyDescent="0.25">
      <c r="A1407" s="4" t="s">
        <v>82</v>
      </c>
      <c r="B1407" s="4" t="s">
        <v>3</v>
      </c>
      <c r="C1407" s="4" t="s">
        <v>21</v>
      </c>
      <c r="D1407" s="4">
        <v>2006</v>
      </c>
      <c r="E1407" s="4">
        <v>0</v>
      </c>
      <c r="F1407" s="4" t="s">
        <v>29</v>
      </c>
    </row>
    <row r="1408" spans="1:6" x14ac:dyDescent="0.25">
      <c r="A1408" s="4" t="s">
        <v>82</v>
      </c>
      <c r="B1408" s="4" t="s">
        <v>3</v>
      </c>
      <c r="C1408" s="4" t="s">
        <v>21</v>
      </c>
      <c r="D1408" s="4">
        <v>2007</v>
      </c>
      <c r="E1408" s="4">
        <v>0</v>
      </c>
      <c r="F1408" s="4" t="s">
        <v>29</v>
      </c>
    </row>
    <row r="1409" spans="1:6" x14ac:dyDescent="0.25">
      <c r="A1409" s="4" t="s">
        <v>82</v>
      </c>
      <c r="B1409" s="4" t="s">
        <v>3</v>
      </c>
      <c r="C1409" s="4" t="s">
        <v>21</v>
      </c>
      <c r="D1409" s="4">
        <v>2008</v>
      </c>
      <c r="E1409" s="4">
        <v>0</v>
      </c>
      <c r="F1409" s="4" t="s">
        <v>29</v>
      </c>
    </row>
    <row r="1410" spans="1:6" x14ac:dyDescent="0.25">
      <c r="A1410" s="4" t="s">
        <v>82</v>
      </c>
      <c r="B1410" s="4" t="s">
        <v>3</v>
      </c>
      <c r="C1410" s="4" t="s">
        <v>21</v>
      </c>
      <c r="D1410" s="4">
        <v>2009</v>
      </c>
      <c r="E1410" s="4">
        <v>0</v>
      </c>
      <c r="F1410" s="4" t="s">
        <v>29</v>
      </c>
    </row>
    <row r="1411" spans="1:6" x14ac:dyDescent="0.25">
      <c r="A1411" s="4" t="s">
        <v>82</v>
      </c>
      <c r="B1411" s="4" t="s">
        <v>3</v>
      </c>
      <c r="C1411" s="4" t="s">
        <v>21</v>
      </c>
      <c r="D1411" s="4">
        <v>2010</v>
      </c>
      <c r="E1411" s="4">
        <v>0</v>
      </c>
      <c r="F1411" s="4" t="s">
        <v>29</v>
      </c>
    </row>
    <row r="1412" spans="1:6" x14ac:dyDescent="0.25">
      <c r="A1412" s="4" t="s">
        <v>82</v>
      </c>
      <c r="B1412" s="4" t="s">
        <v>3</v>
      </c>
      <c r="C1412" s="4" t="s">
        <v>21</v>
      </c>
      <c r="D1412" s="4">
        <v>2011</v>
      </c>
      <c r="E1412" s="4">
        <v>0</v>
      </c>
      <c r="F1412" s="4" t="s">
        <v>29</v>
      </c>
    </row>
    <row r="1413" spans="1:6" x14ac:dyDescent="0.25">
      <c r="A1413" s="4" t="s">
        <v>82</v>
      </c>
      <c r="B1413" s="4" t="s">
        <v>3</v>
      </c>
      <c r="C1413" s="4" t="s">
        <v>21</v>
      </c>
      <c r="D1413" s="4">
        <v>2012</v>
      </c>
      <c r="E1413" s="4">
        <v>0</v>
      </c>
      <c r="F1413" s="4" t="s">
        <v>29</v>
      </c>
    </row>
    <row r="1414" spans="1:6" x14ac:dyDescent="0.25">
      <c r="A1414" s="4" t="s">
        <v>82</v>
      </c>
      <c r="B1414" s="4" t="s">
        <v>3</v>
      </c>
      <c r="C1414" s="4" t="s">
        <v>21</v>
      </c>
      <c r="D1414" s="4">
        <v>2013</v>
      </c>
      <c r="E1414" s="4">
        <v>0</v>
      </c>
      <c r="F1414" s="4" t="s">
        <v>29</v>
      </c>
    </row>
    <row r="1415" spans="1:6" x14ac:dyDescent="0.25">
      <c r="A1415" s="4" t="s">
        <v>82</v>
      </c>
      <c r="B1415" s="4" t="s">
        <v>3</v>
      </c>
      <c r="C1415" s="4" t="s">
        <v>21</v>
      </c>
      <c r="D1415" s="4">
        <v>2014</v>
      </c>
      <c r="E1415" s="4">
        <v>0</v>
      </c>
      <c r="F1415" s="4" t="s">
        <v>29</v>
      </c>
    </row>
    <row r="1416" spans="1:6" x14ac:dyDescent="0.25">
      <c r="A1416" s="4" t="s">
        <v>82</v>
      </c>
      <c r="B1416" s="4" t="s">
        <v>3</v>
      </c>
      <c r="C1416" s="4" t="s">
        <v>21</v>
      </c>
      <c r="D1416" s="4">
        <v>2015</v>
      </c>
      <c r="E1416" s="4">
        <v>0</v>
      </c>
      <c r="F1416" s="4" t="s">
        <v>29</v>
      </c>
    </row>
    <row r="1417" spans="1:6" x14ac:dyDescent="0.25">
      <c r="A1417" s="4" t="s">
        <v>82</v>
      </c>
      <c r="B1417" s="4" t="s">
        <v>3</v>
      </c>
      <c r="C1417" s="4" t="s">
        <v>21</v>
      </c>
      <c r="D1417" s="4">
        <v>2016</v>
      </c>
      <c r="E1417" s="4">
        <v>0</v>
      </c>
      <c r="F1417" s="4" t="s">
        <v>29</v>
      </c>
    </row>
    <row r="1418" spans="1:6" x14ac:dyDescent="0.25">
      <c r="A1418" s="4" t="s">
        <v>82</v>
      </c>
      <c r="B1418" s="4" t="s">
        <v>3</v>
      </c>
      <c r="C1418" s="4" t="s">
        <v>21</v>
      </c>
      <c r="D1418" s="4">
        <v>2017</v>
      </c>
      <c r="E1418" s="4">
        <v>0</v>
      </c>
      <c r="F1418" s="4" t="s">
        <v>29</v>
      </c>
    </row>
    <row r="1419" spans="1:6" x14ac:dyDescent="0.25">
      <c r="A1419" s="4" t="s">
        <v>82</v>
      </c>
      <c r="B1419" s="4" t="s">
        <v>3</v>
      </c>
      <c r="C1419" s="4" t="s">
        <v>21</v>
      </c>
      <c r="D1419" s="4">
        <v>2018</v>
      </c>
      <c r="E1419" s="4">
        <v>0</v>
      </c>
      <c r="F1419" s="4" t="s">
        <v>29</v>
      </c>
    </row>
    <row r="1420" spans="1:6" x14ac:dyDescent="0.25">
      <c r="A1420" s="4" t="s">
        <v>82</v>
      </c>
      <c r="B1420" s="4" t="s">
        <v>3</v>
      </c>
      <c r="C1420" s="4" t="s">
        <v>21</v>
      </c>
      <c r="D1420" s="4">
        <v>2019</v>
      </c>
      <c r="E1420" s="4">
        <v>0</v>
      </c>
      <c r="F1420" s="4" t="s">
        <v>29</v>
      </c>
    </row>
    <row r="1421" spans="1:6" x14ac:dyDescent="0.25">
      <c r="A1421" s="4" t="s">
        <v>82</v>
      </c>
      <c r="B1421" s="4" t="s">
        <v>3</v>
      </c>
      <c r="C1421" s="4" t="s">
        <v>21</v>
      </c>
      <c r="D1421" s="4">
        <v>2020</v>
      </c>
      <c r="E1421" s="4">
        <v>0</v>
      </c>
      <c r="F1421" s="4" t="s">
        <v>29</v>
      </c>
    </row>
    <row r="1422" spans="1:6" x14ac:dyDescent="0.25">
      <c r="A1422" s="4" t="s">
        <v>82</v>
      </c>
      <c r="B1422" s="4" t="s">
        <v>3</v>
      </c>
      <c r="C1422" s="4" t="s">
        <v>21</v>
      </c>
      <c r="D1422" s="4">
        <v>2021</v>
      </c>
      <c r="E1422" s="4">
        <v>0</v>
      </c>
      <c r="F1422" s="4" t="s">
        <v>29</v>
      </c>
    </row>
    <row r="1423" spans="1:6" x14ac:dyDescent="0.25">
      <c r="A1423" s="4" t="s">
        <v>82</v>
      </c>
      <c r="B1423" s="4" t="s">
        <v>3</v>
      </c>
      <c r="C1423" s="4" t="s">
        <v>21</v>
      </c>
      <c r="D1423" s="4">
        <v>2022</v>
      </c>
      <c r="E1423" s="4">
        <v>0</v>
      </c>
      <c r="F1423" s="4" t="s">
        <v>29</v>
      </c>
    </row>
    <row r="1424" spans="1:6" x14ac:dyDescent="0.25">
      <c r="A1424" s="4" t="s">
        <v>82</v>
      </c>
      <c r="B1424" s="4" t="s">
        <v>3</v>
      </c>
      <c r="C1424" s="4" t="s">
        <v>21</v>
      </c>
      <c r="D1424" s="4">
        <v>2023</v>
      </c>
      <c r="E1424" s="4">
        <v>0</v>
      </c>
      <c r="F1424" s="4" t="s">
        <v>29</v>
      </c>
    </row>
    <row r="1425" spans="1:6" x14ac:dyDescent="0.25">
      <c r="A1425" s="4" t="s">
        <v>82</v>
      </c>
      <c r="B1425" s="4" t="s">
        <v>3</v>
      </c>
      <c r="C1425" s="4" t="s">
        <v>21</v>
      </c>
      <c r="D1425" s="4">
        <v>2024</v>
      </c>
      <c r="E1425" s="4">
        <v>0</v>
      </c>
      <c r="F1425" s="4" t="s">
        <v>29</v>
      </c>
    </row>
    <row r="1426" spans="1:6" x14ac:dyDescent="0.25">
      <c r="A1426" s="4" t="s">
        <v>82</v>
      </c>
      <c r="B1426" s="4" t="s">
        <v>3</v>
      </c>
      <c r="C1426" s="4" t="s">
        <v>21</v>
      </c>
      <c r="D1426" s="4">
        <v>2025</v>
      </c>
      <c r="E1426" s="4">
        <v>0</v>
      </c>
      <c r="F1426" s="4" t="s">
        <v>29</v>
      </c>
    </row>
    <row r="1427" spans="1:6" x14ac:dyDescent="0.25">
      <c r="A1427" s="4" t="s">
        <v>82</v>
      </c>
      <c r="B1427" s="4" t="s">
        <v>3</v>
      </c>
      <c r="C1427" s="4" t="s">
        <v>21</v>
      </c>
      <c r="D1427" s="4">
        <v>2026</v>
      </c>
      <c r="E1427" s="4">
        <v>0</v>
      </c>
      <c r="F1427" s="4" t="s">
        <v>29</v>
      </c>
    </row>
    <row r="1428" spans="1:6" x14ac:dyDescent="0.25">
      <c r="A1428" s="4" t="s">
        <v>82</v>
      </c>
      <c r="B1428" s="4" t="s">
        <v>3</v>
      </c>
      <c r="C1428" s="4" t="s">
        <v>21</v>
      </c>
      <c r="D1428" s="4">
        <v>2027</v>
      </c>
      <c r="E1428" s="4">
        <v>0</v>
      </c>
      <c r="F1428" s="4" t="s">
        <v>29</v>
      </c>
    </row>
    <row r="1429" spans="1:6" x14ac:dyDescent="0.25">
      <c r="A1429" s="4" t="s">
        <v>82</v>
      </c>
      <c r="B1429" s="4" t="s">
        <v>3</v>
      </c>
      <c r="C1429" s="4" t="s">
        <v>21</v>
      </c>
      <c r="D1429" s="4">
        <v>2028</v>
      </c>
      <c r="E1429" s="4">
        <v>0</v>
      </c>
      <c r="F1429" s="4" t="s">
        <v>29</v>
      </c>
    </row>
    <row r="1430" spans="1:6" x14ac:dyDescent="0.25">
      <c r="A1430" s="4" t="s">
        <v>82</v>
      </c>
      <c r="B1430" s="4" t="s">
        <v>3</v>
      </c>
      <c r="C1430" s="4" t="s">
        <v>21</v>
      </c>
      <c r="D1430" s="4">
        <v>2029</v>
      </c>
      <c r="E1430" s="4">
        <v>0</v>
      </c>
      <c r="F1430" s="4" t="s">
        <v>29</v>
      </c>
    </row>
    <row r="1431" spans="1:6" x14ac:dyDescent="0.25">
      <c r="A1431" s="4" t="s">
        <v>82</v>
      </c>
      <c r="B1431" s="4" t="s">
        <v>3</v>
      </c>
      <c r="C1431" s="4" t="s">
        <v>21</v>
      </c>
      <c r="D1431" s="4">
        <v>2030</v>
      </c>
      <c r="E1431" s="4">
        <v>0</v>
      </c>
      <c r="F1431" s="4" t="s">
        <v>29</v>
      </c>
    </row>
    <row r="1432" spans="1:6" x14ac:dyDescent="0.25">
      <c r="A1432" s="4" t="s">
        <v>82</v>
      </c>
      <c r="B1432" s="4" t="s">
        <v>3</v>
      </c>
      <c r="C1432" s="4" t="s">
        <v>21</v>
      </c>
      <c r="D1432" s="4">
        <v>2031</v>
      </c>
      <c r="E1432" s="4">
        <v>0</v>
      </c>
      <c r="F1432" s="4" t="s">
        <v>29</v>
      </c>
    </row>
    <row r="1433" spans="1:6" x14ac:dyDescent="0.25">
      <c r="A1433" s="4" t="s">
        <v>82</v>
      </c>
      <c r="B1433" s="4" t="s">
        <v>3</v>
      </c>
      <c r="C1433" s="4" t="s">
        <v>21</v>
      </c>
      <c r="D1433" s="4">
        <v>2032</v>
      </c>
      <c r="E1433" s="4">
        <v>0</v>
      </c>
      <c r="F1433" s="4" t="s">
        <v>29</v>
      </c>
    </row>
    <row r="1434" spans="1:6" x14ac:dyDescent="0.25">
      <c r="A1434" s="4" t="s">
        <v>82</v>
      </c>
      <c r="B1434" s="4" t="s">
        <v>3</v>
      </c>
      <c r="C1434" s="4" t="s">
        <v>21</v>
      </c>
      <c r="D1434" s="4">
        <v>2033</v>
      </c>
      <c r="E1434" s="4">
        <v>0</v>
      </c>
      <c r="F1434" s="4" t="s">
        <v>29</v>
      </c>
    </row>
    <row r="1435" spans="1:6" x14ac:dyDescent="0.25">
      <c r="A1435" s="4" t="s">
        <v>82</v>
      </c>
      <c r="B1435" s="4" t="s">
        <v>3</v>
      </c>
      <c r="C1435" s="4" t="s">
        <v>21</v>
      </c>
      <c r="D1435" s="4">
        <v>2034</v>
      </c>
      <c r="E1435" s="4">
        <v>0</v>
      </c>
      <c r="F1435" s="4" t="s">
        <v>29</v>
      </c>
    </row>
    <row r="1436" spans="1:6" x14ac:dyDescent="0.25">
      <c r="A1436" s="4" t="s">
        <v>82</v>
      </c>
      <c r="B1436" s="4" t="s">
        <v>3</v>
      </c>
      <c r="C1436" s="4" t="s">
        <v>21</v>
      </c>
      <c r="D1436" s="4">
        <v>2035</v>
      </c>
      <c r="E1436" s="4">
        <v>0</v>
      </c>
      <c r="F1436" s="4" t="s">
        <v>29</v>
      </c>
    </row>
    <row r="1437" spans="1:6" x14ac:dyDescent="0.25">
      <c r="A1437" s="4" t="s">
        <v>82</v>
      </c>
      <c r="B1437" s="4" t="s">
        <v>3</v>
      </c>
      <c r="C1437" s="4" t="s">
        <v>21</v>
      </c>
      <c r="D1437" s="4">
        <v>2036</v>
      </c>
      <c r="E1437" s="4">
        <v>0</v>
      </c>
      <c r="F1437" s="4" t="s">
        <v>29</v>
      </c>
    </row>
    <row r="1438" spans="1:6" x14ac:dyDescent="0.25">
      <c r="A1438" s="4" t="s">
        <v>82</v>
      </c>
      <c r="B1438" s="4" t="s">
        <v>3</v>
      </c>
      <c r="C1438" s="4" t="s">
        <v>21</v>
      </c>
      <c r="D1438" s="4">
        <v>2037</v>
      </c>
      <c r="E1438" s="4">
        <v>0</v>
      </c>
      <c r="F1438" s="4" t="s">
        <v>29</v>
      </c>
    </row>
    <row r="1439" spans="1:6" x14ac:dyDescent="0.25">
      <c r="A1439" s="4" t="s">
        <v>82</v>
      </c>
      <c r="B1439" s="4" t="s">
        <v>3</v>
      </c>
      <c r="C1439" s="4" t="s">
        <v>21</v>
      </c>
      <c r="D1439" s="4">
        <v>2038</v>
      </c>
      <c r="E1439" s="4">
        <v>0</v>
      </c>
      <c r="F1439" s="4" t="s">
        <v>29</v>
      </c>
    </row>
    <row r="1440" spans="1:6" x14ac:dyDescent="0.25">
      <c r="A1440" s="4" t="s">
        <v>82</v>
      </c>
      <c r="B1440" s="4" t="s">
        <v>3</v>
      </c>
      <c r="C1440" s="4" t="s">
        <v>21</v>
      </c>
      <c r="D1440" s="4">
        <v>2039</v>
      </c>
      <c r="E1440" s="4">
        <v>0</v>
      </c>
      <c r="F1440" s="4" t="s">
        <v>29</v>
      </c>
    </row>
    <row r="1441" spans="1:6" x14ac:dyDescent="0.25">
      <c r="A1441" s="4" t="s">
        <v>82</v>
      </c>
      <c r="B1441" s="4" t="s">
        <v>3</v>
      </c>
      <c r="C1441" s="4" t="s">
        <v>21</v>
      </c>
      <c r="D1441" s="4">
        <v>2040</v>
      </c>
      <c r="E1441" s="4">
        <v>0</v>
      </c>
      <c r="F1441" s="4" t="s">
        <v>29</v>
      </c>
    </row>
    <row r="1442" spans="1:6" x14ac:dyDescent="0.25">
      <c r="A1442" s="4" t="s">
        <v>82</v>
      </c>
      <c r="B1442" s="4" t="s">
        <v>4</v>
      </c>
      <c r="C1442" s="4" t="s">
        <v>21</v>
      </c>
      <c r="D1442" s="4">
        <v>2005</v>
      </c>
      <c r="E1442" s="4">
        <v>0</v>
      </c>
      <c r="F1442" s="4" t="s">
        <v>29</v>
      </c>
    </row>
    <row r="1443" spans="1:6" x14ac:dyDescent="0.25">
      <c r="A1443" s="4" t="s">
        <v>82</v>
      </c>
      <c r="B1443" s="4" t="s">
        <v>4</v>
      </c>
      <c r="C1443" s="4" t="s">
        <v>21</v>
      </c>
      <c r="D1443" s="4">
        <v>2006</v>
      </c>
      <c r="E1443" s="4">
        <v>0</v>
      </c>
      <c r="F1443" s="4" t="s">
        <v>29</v>
      </c>
    </row>
    <row r="1444" spans="1:6" x14ac:dyDescent="0.25">
      <c r="A1444" s="4" t="s">
        <v>82</v>
      </c>
      <c r="B1444" s="4" t="s">
        <v>4</v>
      </c>
      <c r="C1444" s="4" t="s">
        <v>21</v>
      </c>
      <c r="D1444" s="4">
        <v>2007</v>
      </c>
      <c r="E1444" s="4">
        <v>0</v>
      </c>
      <c r="F1444" s="4" t="s">
        <v>29</v>
      </c>
    </row>
    <row r="1445" spans="1:6" x14ac:dyDescent="0.25">
      <c r="A1445" s="4" t="s">
        <v>82</v>
      </c>
      <c r="B1445" s="4" t="s">
        <v>4</v>
      </c>
      <c r="C1445" s="4" t="s">
        <v>21</v>
      </c>
      <c r="D1445" s="4">
        <v>2008</v>
      </c>
      <c r="E1445" s="4">
        <v>0</v>
      </c>
      <c r="F1445" s="4" t="s">
        <v>29</v>
      </c>
    </row>
    <row r="1446" spans="1:6" x14ac:dyDescent="0.25">
      <c r="A1446" s="4" t="s">
        <v>82</v>
      </c>
      <c r="B1446" s="4" t="s">
        <v>4</v>
      </c>
      <c r="C1446" s="4" t="s">
        <v>21</v>
      </c>
      <c r="D1446" s="4">
        <v>2009</v>
      </c>
      <c r="E1446" s="4">
        <v>0</v>
      </c>
      <c r="F1446" s="4" t="s">
        <v>29</v>
      </c>
    </row>
    <row r="1447" spans="1:6" x14ac:dyDescent="0.25">
      <c r="A1447" s="4" t="s">
        <v>82</v>
      </c>
      <c r="B1447" s="4" t="s">
        <v>4</v>
      </c>
      <c r="C1447" s="4" t="s">
        <v>21</v>
      </c>
      <c r="D1447" s="4">
        <v>2010</v>
      </c>
      <c r="E1447" s="4">
        <v>0</v>
      </c>
      <c r="F1447" s="4" t="s">
        <v>29</v>
      </c>
    </row>
    <row r="1448" spans="1:6" x14ac:dyDescent="0.25">
      <c r="A1448" s="4" t="s">
        <v>82</v>
      </c>
      <c r="B1448" s="4" t="s">
        <v>4</v>
      </c>
      <c r="C1448" s="4" t="s">
        <v>21</v>
      </c>
      <c r="D1448" s="4">
        <v>2011</v>
      </c>
      <c r="E1448" s="4">
        <v>0</v>
      </c>
      <c r="F1448" s="4" t="s">
        <v>29</v>
      </c>
    </row>
    <row r="1449" spans="1:6" x14ac:dyDescent="0.25">
      <c r="A1449" s="4" t="s">
        <v>82</v>
      </c>
      <c r="B1449" s="4" t="s">
        <v>4</v>
      </c>
      <c r="C1449" s="4" t="s">
        <v>21</v>
      </c>
      <c r="D1449" s="4">
        <v>2012</v>
      </c>
      <c r="E1449" s="4">
        <v>0</v>
      </c>
      <c r="F1449" s="4" t="s">
        <v>29</v>
      </c>
    </row>
    <row r="1450" spans="1:6" x14ac:dyDescent="0.25">
      <c r="A1450" s="4" t="s">
        <v>82</v>
      </c>
      <c r="B1450" s="4" t="s">
        <v>4</v>
      </c>
      <c r="C1450" s="4" t="s">
        <v>21</v>
      </c>
      <c r="D1450" s="4">
        <v>2013</v>
      </c>
      <c r="E1450" s="4">
        <v>0</v>
      </c>
      <c r="F1450" s="4" t="s">
        <v>29</v>
      </c>
    </row>
    <row r="1451" spans="1:6" x14ac:dyDescent="0.25">
      <c r="A1451" s="4" t="s">
        <v>82</v>
      </c>
      <c r="B1451" s="4" t="s">
        <v>4</v>
      </c>
      <c r="C1451" s="4" t="s">
        <v>21</v>
      </c>
      <c r="D1451" s="4">
        <v>2014</v>
      </c>
      <c r="E1451" s="4">
        <v>0</v>
      </c>
      <c r="F1451" s="4" t="s">
        <v>29</v>
      </c>
    </row>
    <row r="1452" spans="1:6" x14ac:dyDescent="0.25">
      <c r="A1452" s="4" t="s">
        <v>82</v>
      </c>
      <c r="B1452" s="4" t="s">
        <v>4</v>
      </c>
      <c r="C1452" s="4" t="s">
        <v>21</v>
      </c>
      <c r="D1452" s="4">
        <v>2015</v>
      </c>
      <c r="E1452" s="4">
        <v>0</v>
      </c>
      <c r="F1452" s="4" t="s">
        <v>29</v>
      </c>
    </row>
    <row r="1453" spans="1:6" x14ac:dyDescent="0.25">
      <c r="A1453" s="4" t="s">
        <v>82</v>
      </c>
      <c r="B1453" s="4" t="s">
        <v>4</v>
      </c>
      <c r="C1453" s="4" t="s">
        <v>21</v>
      </c>
      <c r="D1453" s="4">
        <v>2016</v>
      </c>
      <c r="E1453" s="4">
        <v>0</v>
      </c>
      <c r="F1453" s="4" t="s">
        <v>29</v>
      </c>
    </row>
    <row r="1454" spans="1:6" x14ac:dyDescent="0.25">
      <c r="A1454" s="4" t="s">
        <v>82</v>
      </c>
      <c r="B1454" s="4" t="s">
        <v>4</v>
      </c>
      <c r="C1454" s="4" t="s">
        <v>21</v>
      </c>
      <c r="D1454" s="4">
        <v>2017</v>
      </c>
      <c r="E1454" s="4">
        <v>0</v>
      </c>
      <c r="F1454" s="4" t="s">
        <v>29</v>
      </c>
    </row>
    <row r="1455" spans="1:6" x14ac:dyDescent="0.25">
      <c r="A1455" s="4" t="s">
        <v>82</v>
      </c>
      <c r="B1455" s="4" t="s">
        <v>4</v>
      </c>
      <c r="C1455" s="4" t="s">
        <v>21</v>
      </c>
      <c r="D1455" s="4">
        <v>2018</v>
      </c>
      <c r="E1455" s="4">
        <v>0</v>
      </c>
      <c r="F1455" s="4" t="s">
        <v>29</v>
      </c>
    </row>
    <row r="1456" spans="1:6" x14ac:dyDescent="0.25">
      <c r="A1456" s="4" t="s">
        <v>82</v>
      </c>
      <c r="B1456" s="4" t="s">
        <v>4</v>
      </c>
      <c r="C1456" s="4" t="s">
        <v>21</v>
      </c>
      <c r="D1456" s="4">
        <v>2019</v>
      </c>
      <c r="E1456" s="4">
        <v>0</v>
      </c>
      <c r="F1456" s="4" t="s">
        <v>29</v>
      </c>
    </row>
    <row r="1457" spans="1:6" x14ac:dyDescent="0.25">
      <c r="A1457" s="4" t="s">
        <v>82</v>
      </c>
      <c r="B1457" s="4" t="s">
        <v>4</v>
      </c>
      <c r="C1457" s="4" t="s">
        <v>21</v>
      </c>
      <c r="D1457" s="4">
        <v>2020</v>
      </c>
      <c r="E1457" s="4">
        <v>0</v>
      </c>
      <c r="F1457" s="4" t="s">
        <v>29</v>
      </c>
    </row>
    <row r="1458" spans="1:6" x14ac:dyDescent="0.25">
      <c r="A1458" s="4" t="s">
        <v>82</v>
      </c>
      <c r="B1458" s="4" t="s">
        <v>4</v>
      </c>
      <c r="C1458" s="4" t="s">
        <v>21</v>
      </c>
      <c r="D1458" s="4">
        <v>2021</v>
      </c>
      <c r="E1458" s="4">
        <v>0</v>
      </c>
      <c r="F1458" s="4" t="s">
        <v>29</v>
      </c>
    </row>
    <row r="1459" spans="1:6" x14ac:dyDescent="0.25">
      <c r="A1459" s="4" t="s">
        <v>82</v>
      </c>
      <c r="B1459" s="4" t="s">
        <v>4</v>
      </c>
      <c r="C1459" s="4" t="s">
        <v>21</v>
      </c>
      <c r="D1459" s="4">
        <v>2022</v>
      </c>
      <c r="E1459" s="4">
        <v>0</v>
      </c>
      <c r="F1459" s="4" t="s">
        <v>29</v>
      </c>
    </row>
    <row r="1460" spans="1:6" x14ac:dyDescent="0.25">
      <c r="A1460" s="4" t="s">
        <v>82</v>
      </c>
      <c r="B1460" s="4" t="s">
        <v>4</v>
      </c>
      <c r="C1460" s="4" t="s">
        <v>21</v>
      </c>
      <c r="D1460" s="4">
        <v>2023</v>
      </c>
      <c r="E1460" s="4">
        <v>0</v>
      </c>
      <c r="F1460" s="4" t="s">
        <v>29</v>
      </c>
    </row>
    <row r="1461" spans="1:6" x14ac:dyDescent="0.25">
      <c r="A1461" s="4" t="s">
        <v>82</v>
      </c>
      <c r="B1461" s="4" t="s">
        <v>4</v>
      </c>
      <c r="C1461" s="4" t="s">
        <v>21</v>
      </c>
      <c r="D1461" s="4">
        <v>2024</v>
      </c>
      <c r="E1461" s="4">
        <v>0</v>
      </c>
      <c r="F1461" s="4" t="s">
        <v>29</v>
      </c>
    </row>
    <row r="1462" spans="1:6" x14ac:dyDescent="0.25">
      <c r="A1462" s="4" t="s">
        <v>82</v>
      </c>
      <c r="B1462" s="4" t="s">
        <v>4</v>
      </c>
      <c r="C1462" s="4" t="s">
        <v>21</v>
      </c>
      <c r="D1462" s="4">
        <v>2025</v>
      </c>
      <c r="E1462" s="4">
        <v>0</v>
      </c>
      <c r="F1462" s="4" t="s">
        <v>29</v>
      </c>
    </row>
    <row r="1463" spans="1:6" x14ac:dyDescent="0.25">
      <c r="A1463" s="4" t="s">
        <v>82</v>
      </c>
      <c r="B1463" s="4" t="s">
        <v>4</v>
      </c>
      <c r="C1463" s="4" t="s">
        <v>21</v>
      </c>
      <c r="D1463" s="4">
        <v>2026</v>
      </c>
      <c r="E1463" s="4">
        <v>0</v>
      </c>
      <c r="F1463" s="4" t="s">
        <v>29</v>
      </c>
    </row>
    <row r="1464" spans="1:6" x14ac:dyDescent="0.25">
      <c r="A1464" s="4" t="s">
        <v>82</v>
      </c>
      <c r="B1464" s="4" t="s">
        <v>4</v>
      </c>
      <c r="C1464" s="4" t="s">
        <v>21</v>
      </c>
      <c r="D1464" s="4">
        <v>2027</v>
      </c>
      <c r="E1464" s="4">
        <v>0</v>
      </c>
      <c r="F1464" s="4" t="s">
        <v>29</v>
      </c>
    </row>
    <row r="1465" spans="1:6" x14ac:dyDescent="0.25">
      <c r="A1465" s="4" t="s">
        <v>82</v>
      </c>
      <c r="B1465" s="4" t="s">
        <v>4</v>
      </c>
      <c r="C1465" s="4" t="s">
        <v>21</v>
      </c>
      <c r="D1465" s="4">
        <v>2028</v>
      </c>
      <c r="E1465" s="4">
        <v>0</v>
      </c>
      <c r="F1465" s="4" t="s">
        <v>29</v>
      </c>
    </row>
    <row r="1466" spans="1:6" x14ac:dyDescent="0.25">
      <c r="A1466" s="4" t="s">
        <v>82</v>
      </c>
      <c r="B1466" s="4" t="s">
        <v>4</v>
      </c>
      <c r="C1466" s="4" t="s">
        <v>21</v>
      </c>
      <c r="D1466" s="4">
        <v>2029</v>
      </c>
      <c r="E1466" s="4">
        <v>0</v>
      </c>
      <c r="F1466" s="4" t="s">
        <v>29</v>
      </c>
    </row>
    <row r="1467" spans="1:6" x14ac:dyDescent="0.25">
      <c r="A1467" s="4" t="s">
        <v>82</v>
      </c>
      <c r="B1467" s="4" t="s">
        <v>4</v>
      </c>
      <c r="C1467" s="4" t="s">
        <v>21</v>
      </c>
      <c r="D1467" s="4">
        <v>2030</v>
      </c>
      <c r="E1467" s="4">
        <v>0</v>
      </c>
      <c r="F1467" s="4" t="s">
        <v>29</v>
      </c>
    </row>
    <row r="1468" spans="1:6" x14ac:dyDescent="0.25">
      <c r="A1468" s="4" t="s">
        <v>82</v>
      </c>
      <c r="B1468" s="4" t="s">
        <v>4</v>
      </c>
      <c r="C1468" s="4" t="s">
        <v>21</v>
      </c>
      <c r="D1468" s="4">
        <v>2031</v>
      </c>
      <c r="E1468" s="4">
        <v>0</v>
      </c>
      <c r="F1468" s="4" t="s">
        <v>29</v>
      </c>
    </row>
    <row r="1469" spans="1:6" x14ac:dyDescent="0.25">
      <c r="A1469" s="4" t="s">
        <v>82</v>
      </c>
      <c r="B1469" s="4" t="s">
        <v>4</v>
      </c>
      <c r="C1469" s="4" t="s">
        <v>21</v>
      </c>
      <c r="D1469" s="4">
        <v>2032</v>
      </c>
      <c r="E1469" s="4">
        <v>0</v>
      </c>
      <c r="F1469" s="4" t="s">
        <v>29</v>
      </c>
    </row>
    <row r="1470" spans="1:6" x14ac:dyDescent="0.25">
      <c r="A1470" s="4" t="s">
        <v>82</v>
      </c>
      <c r="B1470" s="4" t="s">
        <v>4</v>
      </c>
      <c r="C1470" s="4" t="s">
        <v>21</v>
      </c>
      <c r="D1470" s="4">
        <v>2033</v>
      </c>
      <c r="E1470" s="4">
        <v>0</v>
      </c>
      <c r="F1470" s="4" t="s">
        <v>29</v>
      </c>
    </row>
    <row r="1471" spans="1:6" x14ac:dyDescent="0.25">
      <c r="A1471" s="4" t="s">
        <v>82</v>
      </c>
      <c r="B1471" s="4" t="s">
        <v>4</v>
      </c>
      <c r="C1471" s="4" t="s">
        <v>21</v>
      </c>
      <c r="D1471" s="4">
        <v>2034</v>
      </c>
      <c r="E1471" s="4">
        <v>0</v>
      </c>
      <c r="F1471" s="4" t="s">
        <v>29</v>
      </c>
    </row>
    <row r="1472" spans="1:6" x14ac:dyDescent="0.25">
      <c r="A1472" s="4" t="s">
        <v>82</v>
      </c>
      <c r="B1472" s="4" t="s">
        <v>4</v>
      </c>
      <c r="C1472" s="4" t="s">
        <v>21</v>
      </c>
      <c r="D1472" s="4">
        <v>2035</v>
      </c>
      <c r="E1472" s="4">
        <v>0</v>
      </c>
      <c r="F1472" s="4" t="s">
        <v>29</v>
      </c>
    </row>
    <row r="1473" spans="1:6" x14ac:dyDescent="0.25">
      <c r="A1473" s="4" t="s">
        <v>82</v>
      </c>
      <c r="B1473" s="4" t="s">
        <v>4</v>
      </c>
      <c r="C1473" s="4" t="s">
        <v>21</v>
      </c>
      <c r="D1473" s="4">
        <v>2036</v>
      </c>
      <c r="E1473" s="4">
        <v>0</v>
      </c>
      <c r="F1473" s="4" t="s">
        <v>29</v>
      </c>
    </row>
    <row r="1474" spans="1:6" x14ac:dyDescent="0.25">
      <c r="A1474" s="4" t="s">
        <v>82</v>
      </c>
      <c r="B1474" s="4" t="s">
        <v>4</v>
      </c>
      <c r="C1474" s="4" t="s">
        <v>21</v>
      </c>
      <c r="D1474" s="4">
        <v>2037</v>
      </c>
      <c r="E1474" s="4">
        <v>0</v>
      </c>
      <c r="F1474" s="4" t="s">
        <v>29</v>
      </c>
    </row>
    <row r="1475" spans="1:6" x14ac:dyDescent="0.25">
      <c r="A1475" s="4" t="s">
        <v>82</v>
      </c>
      <c r="B1475" s="4" t="s">
        <v>4</v>
      </c>
      <c r="C1475" s="4" t="s">
        <v>21</v>
      </c>
      <c r="D1475" s="4">
        <v>2038</v>
      </c>
      <c r="E1475" s="4">
        <v>0</v>
      </c>
      <c r="F1475" s="4" t="s">
        <v>29</v>
      </c>
    </row>
    <row r="1476" spans="1:6" x14ac:dyDescent="0.25">
      <c r="A1476" s="4" t="s">
        <v>82</v>
      </c>
      <c r="B1476" s="4" t="s">
        <v>4</v>
      </c>
      <c r="C1476" s="4" t="s">
        <v>21</v>
      </c>
      <c r="D1476" s="4">
        <v>2039</v>
      </c>
      <c r="E1476" s="4">
        <v>0</v>
      </c>
      <c r="F1476" s="4" t="s">
        <v>29</v>
      </c>
    </row>
    <row r="1477" spans="1:6" x14ac:dyDescent="0.25">
      <c r="A1477" s="4" t="s">
        <v>82</v>
      </c>
      <c r="B1477" s="4" t="s">
        <v>4</v>
      </c>
      <c r="C1477" s="4" t="s">
        <v>21</v>
      </c>
      <c r="D1477" s="4">
        <v>2040</v>
      </c>
      <c r="E1477" s="4">
        <v>0</v>
      </c>
      <c r="F1477" s="4" t="s">
        <v>29</v>
      </c>
    </row>
    <row r="1478" spans="1:6" x14ac:dyDescent="0.25">
      <c r="A1478" s="4" t="s">
        <v>82</v>
      </c>
      <c r="B1478" s="4" t="s">
        <v>5</v>
      </c>
      <c r="C1478" s="4" t="s">
        <v>21</v>
      </c>
      <c r="D1478" s="4">
        <v>2005</v>
      </c>
      <c r="E1478" s="4">
        <v>0</v>
      </c>
      <c r="F1478" s="4" t="s">
        <v>29</v>
      </c>
    </row>
    <row r="1479" spans="1:6" x14ac:dyDescent="0.25">
      <c r="A1479" s="4" t="s">
        <v>82</v>
      </c>
      <c r="B1479" s="4" t="s">
        <v>5</v>
      </c>
      <c r="C1479" s="4" t="s">
        <v>21</v>
      </c>
      <c r="D1479" s="4">
        <v>2006</v>
      </c>
      <c r="E1479" s="4">
        <v>0</v>
      </c>
      <c r="F1479" s="4" t="s">
        <v>29</v>
      </c>
    </row>
    <row r="1480" spans="1:6" x14ac:dyDescent="0.25">
      <c r="A1480" s="4" t="s">
        <v>82</v>
      </c>
      <c r="B1480" s="4" t="s">
        <v>5</v>
      </c>
      <c r="C1480" s="4" t="s">
        <v>21</v>
      </c>
      <c r="D1480" s="4">
        <v>2007</v>
      </c>
      <c r="E1480" s="4">
        <v>0</v>
      </c>
      <c r="F1480" s="4" t="s">
        <v>29</v>
      </c>
    </row>
    <row r="1481" spans="1:6" x14ac:dyDescent="0.25">
      <c r="A1481" s="4" t="s">
        <v>82</v>
      </c>
      <c r="B1481" s="4" t="s">
        <v>5</v>
      </c>
      <c r="C1481" s="4" t="s">
        <v>21</v>
      </c>
      <c r="D1481" s="4">
        <v>2008</v>
      </c>
      <c r="E1481" s="4">
        <v>0</v>
      </c>
      <c r="F1481" s="4" t="s">
        <v>29</v>
      </c>
    </row>
    <row r="1482" spans="1:6" x14ac:dyDescent="0.25">
      <c r="A1482" s="4" t="s">
        <v>82</v>
      </c>
      <c r="B1482" s="4" t="s">
        <v>5</v>
      </c>
      <c r="C1482" s="4" t="s">
        <v>21</v>
      </c>
      <c r="D1482" s="4">
        <v>2009</v>
      </c>
      <c r="E1482" s="4">
        <v>0</v>
      </c>
      <c r="F1482" s="4" t="s">
        <v>29</v>
      </c>
    </row>
    <row r="1483" spans="1:6" x14ac:dyDescent="0.25">
      <c r="A1483" s="4" t="s">
        <v>82</v>
      </c>
      <c r="B1483" s="4" t="s">
        <v>5</v>
      </c>
      <c r="C1483" s="4" t="s">
        <v>21</v>
      </c>
      <c r="D1483" s="4">
        <v>2010</v>
      </c>
      <c r="E1483" s="4">
        <v>0</v>
      </c>
      <c r="F1483" s="4" t="s">
        <v>29</v>
      </c>
    </row>
    <row r="1484" spans="1:6" x14ac:dyDescent="0.25">
      <c r="A1484" s="4" t="s">
        <v>82</v>
      </c>
      <c r="B1484" s="4" t="s">
        <v>5</v>
      </c>
      <c r="C1484" s="4" t="s">
        <v>21</v>
      </c>
      <c r="D1484" s="4">
        <v>2011</v>
      </c>
      <c r="E1484" s="4">
        <v>0</v>
      </c>
      <c r="F1484" s="4" t="s">
        <v>29</v>
      </c>
    </row>
    <row r="1485" spans="1:6" x14ac:dyDescent="0.25">
      <c r="A1485" s="4" t="s">
        <v>82</v>
      </c>
      <c r="B1485" s="4" t="s">
        <v>5</v>
      </c>
      <c r="C1485" s="4" t="s">
        <v>21</v>
      </c>
      <c r="D1485" s="4">
        <v>2012</v>
      </c>
      <c r="E1485" s="4">
        <v>0</v>
      </c>
      <c r="F1485" s="4" t="s">
        <v>29</v>
      </c>
    </row>
    <row r="1486" spans="1:6" x14ac:dyDescent="0.25">
      <c r="A1486" s="4" t="s">
        <v>82</v>
      </c>
      <c r="B1486" s="4" t="s">
        <v>5</v>
      </c>
      <c r="C1486" s="4" t="s">
        <v>21</v>
      </c>
      <c r="D1486" s="4">
        <v>2013</v>
      </c>
      <c r="E1486" s="4">
        <v>0</v>
      </c>
      <c r="F1486" s="4" t="s">
        <v>29</v>
      </c>
    </row>
    <row r="1487" spans="1:6" x14ac:dyDescent="0.25">
      <c r="A1487" s="4" t="s">
        <v>82</v>
      </c>
      <c r="B1487" s="4" t="s">
        <v>5</v>
      </c>
      <c r="C1487" s="4" t="s">
        <v>21</v>
      </c>
      <c r="D1487" s="4">
        <v>2014</v>
      </c>
      <c r="E1487" s="4">
        <v>0</v>
      </c>
      <c r="F1487" s="4" t="s">
        <v>29</v>
      </c>
    </row>
    <row r="1488" spans="1:6" x14ac:dyDescent="0.25">
      <c r="A1488" s="4" t="s">
        <v>82</v>
      </c>
      <c r="B1488" s="4" t="s">
        <v>5</v>
      </c>
      <c r="C1488" s="4" t="s">
        <v>21</v>
      </c>
      <c r="D1488" s="4">
        <v>2015</v>
      </c>
      <c r="E1488" s="4">
        <v>0</v>
      </c>
      <c r="F1488" s="4" t="s">
        <v>29</v>
      </c>
    </row>
    <row r="1489" spans="1:6" x14ac:dyDescent="0.25">
      <c r="A1489" s="4" t="s">
        <v>82</v>
      </c>
      <c r="B1489" s="4" t="s">
        <v>5</v>
      </c>
      <c r="C1489" s="4" t="s">
        <v>21</v>
      </c>
      <c r="D1489" s="4">
        <v>2016</v>
      </c>
      <c r="E1489" s="4">
        <v>0</v>
      </c>
      <c r="F1489" s="4" t="s">
        <v>29</v>
      </c>
    </row>
    <row r="1490" spans="1:6" x14ac:dyDescent="0.25">
      <c r="A1490" s="4" t="s">
        <v>82</v>
      </c>
      <c r="B1490" s="4" t="s">
        <v>5</v>
      </c>
      <c r="C1490" s="4" t="s">
        <v>21</v>
      </c>
      <c r="D1490" s="4">
        <v>2017</v>
      </c>
      <c r="E1490" s="4">
        <v>0</v>
      </c>
      <c r="F1490" s="4" t="s">
        <v>29</v>
      </c>
    </row>
    <row r="1491" spans="1:6" x14ac:dyDescent="0.25">
      <c r="A1491" s="4" t="s">
        <v>82</v>
      </c>
      <c r="B1491" s="4" t="s">
        <v>5</v>
      </c>
      <c r="C1491" s="4" t="s">
        <v>21</v>
      </c>
      <c r="D1491" s="4">
        <v>2018</v>
      </c>
      <c r="E1491" s="4">
        <v>0</v>
      </c>
      <c r="F1491" s="4" t="s">
        <v>29</v>
      </c>
    </row>
    <row r="1492" spans="1:6" x14ac:dyDescent="0.25">
      <c r="A1492" s="4" t="s">
        <v>82</v>
      </c>
      <c r="B1492" s="4" t="s">
        <v>5</v>
      </c>
      <c r="C1492" s="4" t="s">
        <v>21</v>
      </c>
      <c r="D1492" s="4">
        <v>2019</v>
      </c>
      <c r="E1492" s="4">
        <v>0</v>
      </c>
      <c r="F1492" s="4" t="s">
        <v>29</v>
      </c>
    </row>
    <row r="1493" spans="1:6" x14ac:dyDescent="0.25">
      <c r="A1493" s="4" t="s">
        <v>82</v>
      </c>
      <c r="B1493" s="4" t="s">
        <v>5</v>
      </c>
      <c r="C1493" s="4" t="s">
        <v>21</v>
      </c>
      <c r="D1493" s="4">
        <v>2020</v>
      </c>
      <c r="E1493" s="4">
        <v>0</v>
      </c>
      <c r="F1493" s="4" t="s">
        <v>29</v>
      </c>
    </row>
    <row r="1494" spans="1:6" x14ac:dyDescent="0.25">
      <c r="A1494" s="4" t="s">
        <v>82</v>
      </c>
      <c r="B1494" s="4" t="s">
        <v>5</v>
      </c>
      <c r="C1494" s="4" t="s">
        <v>21</v>
      </c>
      <c r="D1494" s="4">
        <v>2021</v>
      </c>
      <c r="E1494" s="4">
        <v>0</v>
      </c>
      <c r="F1494" s="4" t="s">
        <v>29</v>
      </c>
    </row>
    <row r="1495" spans="1:6" x14ac:dyDescent="0.25">
      <c r="A1495" s="4" t="s">
        <v>82</v>
      </c>
      <c r="B1495" s="4" t="s">
        <v>5</v>
      </c>
      <c r="C1495" s="4" t="s">
        <v>21</v>
      </c>
      <c r="D1495" s="4">
        <v>2022</v>
      </c>
      <c r="E1495" s="4">
        <v>0</v>
      </c>
      <c r="F1495" s="4" t="s">
        <v>29</v>
      </c>
    </row>
    <row r="1496" spans="1:6" x14ac:dyDescent="0.25">
      <c r="A1496" s="4" t="s">
        <v>82</v>
      </c>
      <c r="B1496" s="4" t="s">
        <v>5</v>
      </c>
      <c r="C1496" s="4" t="s">
        <v>21</v>
      </c>
      <c r="D1496" s="4">
        <v>2023</v>
      </c>
      <c r="E1496" s="4">
        <v>0</v>
      </c>
      <c r="F1496" s="4" t="s">
        <v>29</v>
      </c>
    </row>
    <row r="1497" spans="1:6" x14ac:dyDescent="0.25">
      <c r="A1497" s="4" t="s">
        <v>82</v>
      </c>
      <c r="B1497" s="4" t="s">
        <v>5</v>
      </c>
      <c r="C1497" s="4" t="s">
        <v>21</v>
      </c>
      <c r="D1497" s="4">
        <v>2024</v>
      </c>
      <c r="E1497" s="4">
        <v>0</v>
      </c>
      <c r="F1497" s="4" t="s">
        <v>29</v>
      </c>
    </row>
    <row r="1498" spans="1:6" x14ac:dyDescent="0.25">
      <c r="A1498" s="4" t="s">
        <v>82</v>
      </c>
      <c r="B1498" s="4" t="s">
        <v>5</v>
      </c>
      <c r="C1498" s="4" t="s">
        <v>21</v>
      </c>
      <c r="D1498" s="4">
        <v>2025</v>
      </c>
      <c r="E1498" s="4">
        <v>0</v>
      </c>
      <c r="F1498" s="4" t="s">
        <v>29</v>
      </c>
    </row>
    <row r="1499" spans="1:6" x14ac:dyDescent="0.25">
      <c r="A1499" s="4" t="s">
        <v>82</v>
      </c>
      <c r="B1499" s="4" t="s">
        <v>5</v>
      </c>
      <c r="C1499" s="4" t="s">
        <v>21</v>
      </c>
      <c r="D1499" s="4">
        <v>2026</v>
      </c>
      <c r="E1499" s="4">
        <v>0</v>
      </c>
      <c r="F1499" s="4" t="s">
        <v>29</v>
      </c>
    </row>
    <row r="1500" spans="1:6" x14ac:dyDescent="0.25">
      <c r="A1500" s="4" t="s">
        <v>82</v>
      </c>
      <c r="B1500" s="4" t="s">
        <v>5</v>
      </c>
      <c r="C1500" s="4" t="s">
        <v>21</v>
      </c>
      <c r="D1500" s="4">
        <v>2027</v>
      </c>
      <c r="E1500" s="4">
        <v>0</v>
      </c>
      <c r="F1500" s="4" t="s">
        <v>29</v>
      </c>
    </row>
    <row r="1501" spans="1:6" x14ac:dyDescent="0.25">
      <c r="A1501" s="4" t="s">
        <v>82</v>
      </c>
      <c r="B1501" s="4" t="s">
        <v>5</v>
      </c>
      <c r="C1501" s="4" t="s">
        <v>21</v>
      </c>
      <c r="D1501" s="4">
        <v>2028</v>
      </c>
      <c r="E1501" s="4">
        <v>0</v>
      </c>
      <c r="F1501" s="4" t="s">
        <v>29</v>
      </c>
    </row>
    <row r="1502" spans="1:6" x14ac:dyDescent="0.25">
      <c r="A1502" s="4" t="s">
        <v>82</v>
      </c>
      <c r="B1502" s="4" t="s">
        <v>5</v>
      </c>
      <c r="C1502" s="4" t="s">
        <v>21</v>
      </c>
      <c r="D1502" s="4">
        <v>2029</v>
      </c>
      <c r="E1502" s="4">
        <v>0</v>
      </c>
      <c r="F1502" s="4" t="s">
        <v>29</v>
      </c>
    </row>
    <row r="1503" spans="1:6" x14ac:dyDescent="0.25">
      <c r="A1503" s="4" t="s">
        <v>82</v>
      </c>
      <c r="B1503" s="4" t="s">
        <v>5</v>
      </c>
      <c r="C1503" s="4" t="s">
        <v>21</v>
      </c>
      <c r="D1503" s="4">
        <v>2030</v>
      </c>
      <c r="E1503" s="4">
        <v>0</v>
      </c>
      <c r="F1503" s="4" t="s">
        <v>29</v>
      </c>
    </row>
    <row r="1504" spans="1:6" x14ac:dyDescent="0.25">
      <c r="A1504" s="4" t="s">
        <v>82</v>
      </c>
      <c r="B1504" s="4" t="s">
        <v>5</v>
      </c>
      <c r="C1504" s="4" t="s">
        <v>21</v>
      </c>
      <c r="D1504" s="4">
        <v>2031</v>
      </c>
      <c r="E1504" s="4">
        <v>0</v>
      </c>
      <c r="F1504" s="4" t="s">
        <v>29</v>
      </c>
    </row>
    <row r="1505" spans="1:6" x14ac:dyDescent="0.25">
      <c r="A1505" s="4" t="s">
        <v>82</v>
      </c>
      <c r="B1505" s="4" t="s">
        <v>5</v>
      </c>
      <c r="C1505" s="4" t="s">
        <v>21</v>
      </c>
      <c r="D1505" s="4">
        <v>2032</v>
      </c>
      <c r="E1505" s="4">
        <v>0</v>
      </c>
      <c r="F1505" s="4" t="s">
        <v>29</v>
      </c>
    </row>
    <row r="1506" spans="1:6" x14ac:dyDescent="0.25">
      <c r="A1506" s="4" t="s">
        <v>82</v>
      </c>
      <c r="B1506" s="4" t="s">
        <v>5</v>
      </c>
      <c r="C1506" s="4" t="s">
        <v>21</v>
      </c>
      <c r="D1506" s="4">
        <v>2033</v>
      </c>
      <c r="E1506" s="4">
        <v>0</v>
      </c>
      <c r="F1506" s="4" t="s">
        <v>29</v>
      </c>
    </row>
    <row r="1507" spans="1:6" x14ac:dyDescent="0.25">
      <c r="A1507" s="4" t="s">
        <v>82</v>
      </c>
      <c r="B1507" s="4" t="s">
        <v>5</v>
      </c>
      <c r="C1507" s="4" t="s">
        <v>21</v>
      </c>
      <c r="D1507" s="4">
        <v>2034</v>
      </c>
      <c r="E1507" s="4">
        <v>0</v>
      </c>
      <c r="F1507" s="4" t="s">
        <v>29</v>
      </c>
    </row>
    <row r="1508" spans="1:6" x14ac:dyDescent="0.25">
      <c r="A1508" s="4" t="s">
        <v>82</v>
      </c>
      <c r="B1508" s="4" t="s">
        <v>5</v>
      </c>
      <c r="C1508" s="4" t="s">
        <v>21</v>
      </c>
      <c r="D1508" s="4">
        <v>2035</v>
      </c>
      <c r="E1508" s="4">
        <v>0</v>
      </c>
      <c r="F1508" s="4" t="s">
        <v>29</v>
      </c>
    </row>
    <row r="1509" spans="1:6" x14ac:dyDescent="0.25">
      <c r="A1509" s="4" t="s">
        <v>82</v>
      </c>
      <c r="B1509" s="4" t="s">
        <v>5</v>
      </c>
      <c r="C1509" s="4" t="s">
        <v>21</v>
      </c>
      <c r="D1509" s="4">
        <v>2036</v>
      </c>
      <c r="E1509" s="4">
        <v>0</v>
      </c>
      <c r="F1509" s="4" t="s">
        <v>29</v>
      </c>
    </row>
    <row r="1510" spans="1:6" x14ac:dyDescent="0.25">
      <c r="A1510" s="4" t="s">
        <v>82</v>
      </c>
      <c r="B1510" s="4" t="s">
        <v>5</v>
      </c>
      <c r="C1510" s="4" t="s">
        <v>21</v>
      </c>
      <c r="D1510" s="4">
        <v>2037</v>
      </c>
      <c r="E1510" s="4">
        <v>0</v>
      </c>
      <c r="F1510" s="4" t="s">
        <v>29</v>
      </c>
    </row>
    <row r="1511" spans="1:6" x14ac:dyDescent="0.25">
      <c r="A1511" s="4" t="s">
        <v>82</v>
      </c>
      <c r="B1511" s="4" t="s">
        <v>5</v>
      </c>
      <c r="C1511" s="4" t="s">
        <v>21</v>
      </c>
      <c r="D1511" s="4">
        <v>2038</v>
      </c>
      <c r="E1511" s="4">
        <v>0</v>
      </c>
      <c r="F1511" s="4" t="s">
        <v>29</v>
      </c>
    </row>
    <row r="1512" spans="1:6" x14ac:dyDescent="0.25">
      <c r="A1512" s="4" t="s">
        <v>82</v>
      </c>
      <c r="B1512" s="4" t="s">
        <v>5</v>
      </c>
      <c r="C1512" s="4" t="s">
        <v>21</v>
      </c>
      <c r="D1512" s="4">
        <v>2039</v>
      </c>
      <c r="E1512" s="4">
        <v>0</v>
      </c>
      <c r="F1512" s="4" t="s">
        <v>29</v>
      </c>
    </row>
    <row r="1513" spans="1:6" x14ac:dyDescent="0.25">
      <c r="A1513" s="4" t="s">
        <v>82</v>
      </c>
      <c r="B1513" s="4" t="s">
        <v>5</v>
      </c>
      <c r="C1513" s="4" t="s">
        <v>21</v>
      </c>
      <c r="D1513" s="4">
        <v>2040</v>
      </c>
      <c r="E1513" s="4">
        <v>0</v>
      </c>
      <c r="F1513" s="4" t="s">
        <v>29</v>
      </c>
    </row>
    <row r="1514" spans="1:6" x14ac:dyDescent="0.25">
      <c r="A1514" s="4" t="s">
        <v>82</v>
      </c>
      <c r="B1514" s="4" t="s">
        <v>6</v>
      </c>
      <c r="C1514" s="4" t="s">
        <v>21</v>
      </c>
      <c r="D1514" s="4">
        <v>2005</v>
      </c>
      <c r="E1514" s="4">
        <v>0</v>
      </c>
      <c r="F1514" s="4" t="s">
        <v>29</v>
      </c>
    </row>
    <row r="1515" spans="1:6" x14ac:dyDescent="0.25">
      <c r="A1515" s="4" t="s">
        <v>82</v>
      </c>
      <c r="B1515" s="4" t="s">
        <v>6</v>
      </c>
      <c r="C1515" s="4" t="s">
        <v>21</v>
      </c>
      <c r="D1515" s="4">
        <v>2006</v>
      </c>
      <c r="E1515" s="4">
        <v>0</v>
      </c>
      <c r="F1515" s="4" t="s">
        <v>29</v>
      </c>
    </row>
    <row r="1516" spans="1:6" x14ac:dyDescent="0.25">
      <c r="A1516" s="4" t="s">
        <v>82</v>
      </c>
      <c r="B1516" s="4" t="s">
        <v>6</v>
      </c>
      <c r="C1516" s="4" t="s">
        <v>21</v>
      </c>
      <c r="D1516" s="4">
        <v>2007</v>
      </c>
      <c r="E1516" s="4">
        <v>0</v>
      </c>
      <c r="F1516" s="4" t="s">
        <v>29</v>
      </c>
    </row>
    <row r="1517" spans="1:6" x14ac:dyDescent="0.25">
      <c r="A1517" s="4" t="s">
        <v>82</v>
      </c>
      <c r="B1517" s="4" t="s">
        <v>6</v>
      </c>
      <c r="C1517" s="4" t="s">
        <v>21</v>
      </c>
      <c r="D1517" s="4">
        <v>2008</v>
      </c>
      <c r="E1517" s="4">
        <v>0</v>
      </c>
      <c r="F1517" s="4" t="s">
        <v>29</v>
      </c>
    </row>
    <row r="1518" spans="1:6" x14ac:dyDescent="0.25">
      <c r="A1518" s="4" t="s">
        <v>82</v>
      </c>
      <c r="B1518" s="4" t="s">
        <v>6</v>
      </c>
      <c r="C1518" s="4" t="s">
        <v>21</v>
      </c>
      <c r="D1518" s="4">
        <v>2009</v>
      </c>
      <c r="E1518" s="4">
        <v>0</v>
      </c>
      <c r="F1518" s="4" t="s">
        <v>29</v>
      </c>
    </row>
    <row r="1519" spans="1:6" x14ac:dyDescent="0.25">
      <c r="A1519" s="4" t="s">
        <v>82</v>
      </c>
      <c r="B1519" s="4" t="s">
        <v>6</v>
      </c>
      <c r="C1519" s="4" t="s">
        <v>21</v>
      </c>
      <c r="D1519" s="4">
        <v>2010</v>
      </c>
      <c r="E1519" s="4">
        <v>0</v>
      </c>
      <c r="F1519" s="4" t="s">
        <v>29</v>
      </c>
    </row>
    <row r="1520" spans="1:6" x14ac:dyDescent="0.25">
      <c r="A1520" s="4" t="s">
        <v>82</v>
      </c>
      <c r="B1520" s="4" t="s">
        <v>6</v>
      </c>
      <c r="C1520" s="4" t="s">
        <v>21</v>
      </c>
      <c r="D1520" s="4">
        <v>2011</v>
      </c>
      <c r="E1520" s="4">
        <v>0</v>
      </c>
      <c r="F1520" s="4" t="s">
        <v>29</v>
      </c>
    </row>
    <row r="1521" spans="1:6" x14ac:dyDescent="0.25">
      <c r="A1521" s="4" t="s">
        <v>82</v>
      </c>
      <c r="B1521" s="4" t="s">
        <v>6</v>
      </c>
      <c r="C1521" s="4" t="s">
        <v>21</v>
      </c>
      <c r="D1521" s="4">
        <v>2012</v>
      </c>
      <c r="E1521" s="4">
        <v>0</v>
      </c>
      <c r="F1521" s="4" t="s">
        <v>29</v>
      </c>
    </row>
    <row r="1522" spans="1:6" x14ac:dyDescent="0.25">
      <c r="A1522" s="4" t="s">
        <v>82</v>
      </c>
      <c r="B1522" s="4" t="s">
        <v>6</v>
      </c>
      <c r="C1522" s="4" t="s">
        <v>21</v>
      </c>
      <c r="D1522" s="4">
        <v>2013</v>
      </c>
      <c r="E1522" s="4">
        <v>0</v>
      </c>
      <c r="F1522" s="4" t="s">
        <v>29</v>
      </c>
    </row>
    <row r="1523" spans="1:6" x14ac:dyDescent="0.25">
      <c r="A1523" s="4" t="s">
        <v>82</v>
      </c>
      <c r="B1523" s="4" t="s">
        <v>6</v>
      </c>
      <c r="C1523" s="4" t="s">
        <v>21</v>
      </c>
      <c r="D1523" s="4">
        <v>2014</v>
      </c>
      <c r="E1523" s="4">
        <v>0</v>
      </c>
      <c r="F1523" s="4" t="s">
        <v>29</v>
      </c>
    </row>
    <row r="1524" spans="1:6" x14ac:dyDescent="0.25">
      <c r="A1524" s="4" t="s">
        <v>82</v>
      </c>
      <c r="B1524" s="4" t="s">
        <v>6</v>
      </c>
      <c r="C1524" s="4" t="s">
        <v>21</v>
      </c>
      <c r="D1524" s="4">
        <v>2015</v>
      </c>
      <c r="E1524" s="4">
        <v>0</v>
      </c>
      <c r="F1524" s="4" t="s">
        <v>29</v>
      </c>
    </row>
    <row r="1525" spans="1:6" x14ac:dyDescent="0.25">
      <c r="A1525" s="4" t="s">
        <v>82</v>
      </c>
      <c r="B1525" s="4" t="s">
        <v>6</v>
      </c>
      <c r="C1525" s="4" t="s">
        <v>21</v>
      </c>
      <c r="D1525" s="4">
        <v>2016</v>
      </c>
      <c r="E1525" s="4">
        <v>0</v>
      </c>
      <c r="F1525" s="4" t="s">
        <v>29</v>
      </c>
    </row>
    <row r="1526" spans="1:6" x14ac:dyDescent="0.25">
      <c r="A1526" s="4" t="s">
        <v>82</v>
      </c>
      <c r="B1526" s="4" t="s">
        <v>6</v>
      </c>
      <c r="C1526" s="4" t="s">
        <v>21</v>
      </c>
      <c r="D1526" s="4">
        <v>2017</v>
      </c>
      <c r="E1526" s="4">
        <v>0</v>
      </c>
      <c r="F1526" s="4" t="s">
        <v>29</v>
      </c>
    </row>
    <row r="1527" spans="1:6" x14ac:dyDescent="0.25">
      <c r="A1527" s="4" t="s">
        <v>82</v>
      </c>
      <c r="B1527" s="4" t="s">
        <v>6</v>
      </c>
      <c r="C1527" s="4" t="s">
        <v>21</v>
      </c>
      <c r="D1527" s="4">
        <v>2018</v>
      </c>
      <c r="E1527" s="4">
        <v>0</v>
      </c>
      <c r="F1527" s="4" t="s">
        <v>29</v>
      </c>
    </row>
    <row r="1528" spans="1:6" x14ac:dyDescent="0.25">
      <c r="A1528" s="4" t="s">
        <v>82</v>
      </c>
      <c r="B1528" s="4" t="s">
        <v>6</v>
      </c>
      <c r="C1528" s="4" t="s">
        <v>21</v>
      </c>
      <c r="D1528" s="4">
        <v>2019</v>
      </c>
      <c r="E1528" s="4">
        <v>0</v>
      </c>
      <c r="F1528" s="4" t="s">
        <v>29</v>
      </c>
    </row>
    <row r="1529" spans="1:6" x14ac:dyDescent="0.25">
      <c r="A1529" s="4" t="s">
        <v>82</v>
      </c>
      <c r="B1529" s="4" t="s">
        <v>6</v>
      </c>
      <c r="C1529" s="4" t="s">
        <v>21</v>
      </c>
      <c r="D1529" s="4">
        <v>2020</v>
      </c>
      <c r="E1529" s="4">
        <v>0</v>
      </c>
      <c r="F1529" s="4" t="s">
        <v>29</v>
      </c>
    </row>
    <row r="1530" spans="1:6" x14ac:dyDescent="0.25">
      <c r="A1530" s="4" t="s">
        <v>82</v>
      </c>
      <c r="B1530" s="4" t="s">
        <v>6</v>
      </c>
      <c r="C1530" s="4" t="s">
        <v>21</v>
      </c>
      <c r="D1530" s="4">
        <v>2021</v>
      </c>
      <c r="E1530" s="4">
        <v>0</v>
      </c>
      <c r="F1530" s="4" t="s">
        <v>29</v>
      </c>
    </row>
    <row r="1531" spans="1:6" x14ac:dyDescent="0.25">
      <c r="A1531" s="4" t="s">
        <v>82</v>
      </c>
      <c r="B1531" s="4" t="s">
        <v>6</v>
      </c>
      <c r="C1531" s="4" t="s">
        <v>21</v>
      </c>
      <c r="D1531" s="4">
        <v>2022</v>
      </c>
      <c r="E1531" s="4">
        <v>0</v>
      </c>
      <c r="F1531" s="4" t="s">
        <v>29</v>
      </c>
    </row>
    <row r="1532" spans="1:6" x14ac:dyDescent="0.25">
      <c r="A1532" s="4" t="s">
        <v>82</v>
      </c>
      <c r="B1532" s="4" t="s">
        <v>6</v>
      </c>
      <c r="C1532" s="4" t="s">
        <v>21</v>
      </c>
      <c r="D1532" s="4">
        <v>2023</v>
      </c>
      <c r="E1532" s="4">
        <v>0</v>
      </c>
      <c r="F1532" s="4" t="s">
        <v>29</v>
      </c>
    </row>
    <row r="1533" spans="1:6" x14ac:dyDescent="0.25">
      <c r="A1533" s="4" t="s">
        <v>82</v>
      </c>
      <c r="B1533" s="4" t="s">
        <v>6</v>
      </c>
      <c r="C1533" s="4" t="s">
        <v>21</v>
      </c>
      <c r="D1533" s="4">
        <v>2024</v>
      </c>
      <c r="E1533" s="4">
        <v>0</v>
      </c>
      <c r="F1533" s="4" t="s">
        <v>29</v>
      </c>
    </row>
    <row r="1534" spans="1:6" x14ac:dyDescent="0.25">
      <c r="A1534" s="4" t="s">
        <v>82</v>
      </c>
      <c r="B1534" s="4" t="s">
        <v>6</v>
      </c>
      <c r="C1534" s="4" t="s">
        <v>21</v>
      </c>
      <c r="D1534" s="4">
        <v>2025</v>
      </c>
      <c r="E1534" s="4">
        <v>0</v>
      </c>
      <c r="F1534" s="4" t="s">
        <v>29</v>
      </c>
    </row>
    <row r="1535" spans="1:6" x14ac:dyDescent="0.25">
      <c r="A1535" s="4" t="s">
        <v>82</v>
      </c>
      <c r="B1535" s="4" t="s">
        <v>6</v>
      </c>
      <c r="C1535" s="4" t="s">
        <v>21</v>
      </c>
      <c r="D1535" s="4">
        <v>2026</v>
      </c>
      <c r="E1535" s="4">
        <v>0</v>
      </c>
      <c r="F1535" s="4" t="s">
        <v>29</v>
      </c>
    </row>
    <row r="1536" spans="1:6" x14ac:dyDescent="0.25">
      <c r="A1536" s="4" t="s">
        <v>82</v>
      </c>
      <c r="B1536" s="4" t="s">
        <v>6</v>
      </c>
      <c r="C1536" s="4" t="s">
        <v>21</v>
      </c>
      <c r="D1536" s="4">
        <v>2027</v>
      </c>
      <c r="E1536" s="4">
        <v>0</v>
      </c>
      <c r="F1536" s="4" t="s">
        <v>29</v>
      </c>
    </row>
    <row r="1537" spans="1:6" x14ac:dyDescent="0.25">
      <c r="A1537" s="4" t="s">
        <v>82</v>
      </c>
      <c r="B1537" s="4" t="s">
        <v>6</v>
      </c>
      <c r="C1537" s="4" t="s">
        <v>21</v>
      </c>
      <c r="D1537" s="4">
        <v>2028</v>
      </c>
      <c r="E1537" s="4">
        <v>0</v>
      </c>
      <c r="F1537" s="4" t="s">
        <v>29</v>
      </c>
    </row>
    <row r="1538" spans="1:6" x14ac:dyDescent="0.25">
      <c r="A1538" s="4" t="s">
        <v>82</v>
      </c>
      <c r="B1538" s="4" t="s">
        <v>6</v>
      </c>
      <c r="C1538" s="4" t="s">
        <v>21</v>
      </c>
      <c r="D1538" s="4">
        <v>2029</v>
      </c>
      <c r="E1538" s="4">
        <v>0</v>
      </c>
      <c r="F1538" s="4" t="s">
        <v>29</v>
      </c>
    </row>
    <row r="1539" spans="1:6" x14ac:dyDescent="0.25">
      <c r="A1539" s="4" t="s">
        <v>82</v>
      </c>
      <c r="B1539" s="4" t="s">
        <v>6</v>
      </c>
      <c r="C1539" s="4" t="s">
        <v>21</v>
      </c>
      <c r="D1539" s="4">
        <v>2030</v>
      </c>
      <c r="E1539" s="4">
        <v>0</v>
      </c>
      <c r="F1539" s="4" t="s">
        <v>29</v>
      </c>
    </row>
    <row r="1540" spans="1:6" x14ac:dyDescent="0.25">
      <c r="A1540" s="4" t="s">
        <v>82</v>
      </c>
      <c r="B1540" s="4" t="s">
        <v>6</v>
      </c>
      <c r="C1540" s="4" t="s">
        <v>21</v>
      </c>
      <c r="D1540" s="4">
        <v>2031</v>
      </c>
      <c r="E1540" s="4">
        <v>0</v>
      </c>
      <c r="F1540" s="4" t="s">
        <v>29</v>
      </c>
    </row>
    <row r="1541" spans="1:6" x14ac:dyDescent="0.25">
      <c r="A1541" s="4" t="s">
        <v>82</v>
      </c>
      <c r="B1541" s="4" t="s">
        <v>6</v>
      </c>
      <c r="C1541" s="4" t="s">
        <v>21</v>
      </c>
      <c r="D1541" s="4">
        <v>2032</v>
      </c>
      <c r="E1541" s="4">
        <v>0</v>
      </c>
      <c r="F1541" s="4" t="s">
        <v>29</v>
      </c>
    </row>
    <row r="1542" spans="1:6" x14ac:dyDescent="0.25">
      <c r="A1542" s="4" t="s">
        <v>82</v>
      </c>
      <c r="B1542" s="4" t="s">
        <v>6</v>
      </c>
      <c r="C1542" s="4" t="s">
        <v>21</v>
      </c>
      <c r="D1542" s="4">
        <v>2033</v>
      </c>
      <c r="E1542" s="4">
        <v>0</v>
      </c>
      <c r="F1542" s="4" t="s">
        <v>29</v>
      </c>
    </row>
    <row r="1543" spans="1:6" x14ac:dyDescent="0.25">
      <c r="A1543" s="4" t="s">
        <v>82</v>
      </c>
      <c r="B1543" s="4" t="s">
        <v>6</v>
      </c>
      <c r="C1543" s="4" t="s">
        <v>21</v>
      </c>
      <c r="D1543" s="4">
        <v>2034</v>
      </c>
      <c r="E1543" s="4">
        <v>0</v>
      </c>
      <c r="F1543" s="4" t="s">
        <v>29</v>
      </c>
    </row>
    <row r="1544" spans="1:6" x14ac:dyDescent="0.25">
      <c r="A1544" s="4" t="s">
        <v>82</v>
      </c>
      <c r="B1544" s="4" t="s">
        <v>6</v>
      </c>
      <c r="C1544" s="4" t="s">
        <v>21</v>
      </c>
      <c r="D1544" s="4">
        <v>2035</v>
      </c>
      <c r="E1544" s="4">
        <v>0</v>
      </c>
      <c r="F1544" s="4" t="s">
        <v>29</v>
      </c>
    </row>
    <row r="1545" spans="1:6" x14ac:dyDescent="0.25">
      <c r="A1545" s="4" t="s">
        <v>82</v>
      </c>
      <c r="B1545" s="4" t="s">
        <v>6</v>
      </c>
      <c r="C1545" s="4" t="s">
        <v>21</v>
      </c>
      <c r="D1545" s="4">
        <v>2036</v>
      </c>
      <c r="E1545" s="4">
        <v>0</v>
      </c>
      <c r="F1545" s="4" t="s">
        <v>29</v>
      </c>
    </row>
    <row r="1546" spans="1:6" x14ac:dyDescent="0.25">
      <c r="A1546" s="4" t="s">
        <v>82</v>
      </c>
      <c r="B1546" s="4" t="s">
        <v>6</v>
      </c>
      <c r="C1546" s="4" t="s">
        <v>21</v>
      </c>
      <c r="D1546" s="4">
        <v>2037</v>
      </c>
      <c r="E1546" s="4">
        <v>0</v>
      </c>
      <c r="F1546" s="4" t="s">
        <v>29</v>
      </c>
    </row>
    <row r="1547" spans="1:6" x14ac:dyDescent="0.25">
      <c r="A1547" s="4" t="s">
        <v>82</v>
      </c>
      <c r="B1547" s="4" t="s">
        <v>6</v>
      </c>
      <c r="C1547" s="4" t="s">
        <v>21</v>
      </c>
      <c r="D1547" s="4">
        <v>2038</v>
      </c>
      <c r="E1547" s="4">
        <v>0</v>
      </c>
      <c r="F1547" s="4" t="s">
        <v>29</v>
      </c>
    </row>
    <row r="1548" spans="1:6" x14ac:dyDescent="0.25">
      <c r="A1548" s="4" t="s">
        <v>82</v>
      </c>
      <c r="B1548" s="4" t="s">
        <v>6</v>
      </c>
      <c r="C1548" s="4" t="s">
        <v>21</v>
      </c>
      <c r="D1548" s="4">
        <v>2039</v>
      </c>
      <c r="E1548" s="4">
        <v>0</v>
      </c>
      <c r="F1548" s="4" t="s">
        <v>29</v>
      </c>
    </row>
    <row r="1549" spans="1:6" x14ac:dyDescent="0.25">
      <c r="A1549" s="4" t="s">
        <v>82</v>
      </c>
      <c r="B1549" s="4" t="s">
        <v>6</v>
      </c>
      <c r="C1549" s="4" t="s">
        <v>21</v>
      </c>
      <c r="D1549" s="4">
        <v>2040</v>
      </c>
      <c r="E1549" s="4">
        <v>0</v>
      </c>
      <c r="F1549" s="4" t="s">
        <v>29</v>
      </c>
    </row>
    <row r="1550" spans="1:6" x14ac:dyDescent="0.25">
      <c r="A1550" s="4" t="s">
        <v>82</v>
      </c>
      <c r="B1550" s="4" t="s">
        <v>23</v>
      </c>
      <c r="C1550" s="4" t="s">
        <v>21</v>
      </c>
      <c r="D1550" s="4">
        <v>2005</v>
      </c>
      <c r="E1550" s="4">
        <v>0</v>
      </c>
      <c r="F1550" s="4" t="s">
        <v>29</v>
      </c>
    </row>
    <row r="1551" spans="1:6" x14ac:dyDescent="0.25">
      <c r="A1551" s="4" t="s">
        <v>82</v>
      </c>
      <c r="B1551" s="4" t="s">
        <v>23</v>
      </c>
      <c r="C1551" s="4" t="s">
        <v>21</v>
      </c>
      <c r="D1551" s="4">
        <v>2006</v>
      </c>
      <c r="E1551" s="4">
        <v>0</v>
      </c>
      <c r="F1551" s="4" t="s">
        <v>29</v>
      </c>
    </row>
    <row r="1552" spans="1:6" x14ac:dyDescent="0.25">
      <c r="A1552" s="4" t="s">
        <v>82</v>
      </c>
      <c r="B1552" s="4" t="s">
        <v>23</v>
      </c>
      <c r="C1552" s="4" t="s">
        <v>21</v>
      </c>
      <c r="D1552" s="4">
        <v>2007</v>
      </c>
      <c r="E1552" s="4">
        <v>0</v>
      </c>
      <c r="F1552" s="4" t="s">
        <v>29</v>
      </c>
    </row>
    <row r="1553" spans="1:6" x14ac:dyDescent="0.25">
      <c r="A1553" s="4" t="s">
        <v>82</v>
      </c>
      <c r="B1553" s="4" t="s">
        <v>23</v>
      </c>
      <c r="C1553" s="4" t="s">
        <v>21</v>
      </c>
      <c r="D1553" s="4">
        <v>2008</v>
      </c>
      <c r="E1553" s="4">
        <v>0</v>
      </c>
      <c r="F1553" s="4" t="s">
        <v>29</v>
      </c>
    </row>
    <row r="1554" spans="1:6" x14ac:dyDescent="0.25">
      <c r="A1554" s="4" t="s">
        <v>82</v>
      </c>
      <c r="B1554" s="4" t="s">
        <v>23</v>
      </c>
      <c r="C1554" s="4" t="s">
        <v>21</v>
      </c>
      <c r="D1554" s="4">
        <v>2009</v>
      </c>
      <c r="E1554" s="4">
        <v>0</v>
      </c>
      <c r="F1554" s="4" t="s">
        <v>29</v>
      </c>
    </row>
    <row r="1555" spans="1:6" x14ac:dyDescent="0.25">
      <c r="A1555" s="4" t="s">
        <v>82</v>
      </c>
      <c r="B1555" s="4" t="s">
        <v>23</v>
      </c>
      <c r="C1555" s="4" t="s">
        <v>21</v>
      </c>
      <c r="D1555" s="4">
        <v>2010</v>
      </c>
      <c r="E1555" s="4">
        <v>0</v>
      </c>
      <c r="F1555" s="4" t="s">
        <v>29</v>
      </c>
    </row>
    <row r="1556" spans="1:6" x14ac:dyDescent="0.25">
      <c r="A1556" s="4" t="s">
        <v>82</v>
      </c>
      <c r="B1556" s="4" t="s">
        <v>23</v>
      </c>
      <c r="C1556" s="4" t="s">
        <v>21</v>
      </c>
      <c r="D1556" s="4">
        <v>2011</v>
      </c>
      <c r="E1556" s="4">
        <v>0</v>
      </c>
      <c r="F1556" s="4" t="s">
        <v>29</v>
      </c>
    </row>
    <row r="1557" spans="1:6" x14ac:dyDescent="0.25">
      <c r="A1557" s="4" t="s">
        <v>82</v>
      </c>
      <c r="B1557" s="4" t="s">
        <v>23</v>
      </c>
      <c r="C1557" s="4" t="s">
        <v>21</v>
      </c>
      <c r="D1557" s="4">
        <v>2012</v>
      </c>
      <c r="E1557" s="4">
        <v>0</v>
      </c>
      <c r="F1557" s="4" t="s">
        <v>29</v>
      </c>
    </row>
    <row r="1558" spans="1:6" x14ac:dyDescent="0.25">
      <c r="A1558" s="4" t="s">
        <v>82</v>
      </c>
      <c r="B1558" s="4" t="s">
        <v>23</v>
      </c>
      <c r="C1558" s="4" t="s">
        <v>21</v>
      </c>
      <c r="D1558" s="4">
        <v>2013</v>
      </c>
      <c r="E1558" s="4">
        <v>0</v>
      </c>
      <c r="F1558" s="4" t="s">
        <v>29</v>
      </c>
    </row>
    <row r="1559" spans="1:6" x14ac:dyDescent="0.25">
      <c r="A1559" s="4" t="s">
        <v>82</v>
      </c>
      <c r="B1559" s="4" t="s">
        <v>23</v>
      </c>
      <c r="C1559" s="4" t="s">
        <v>21</v>
      </c>
      <c r="D1559" s="4">
        <v>2014</v>
      </c>
      <c r="E1559" s="4">
        <v>0</v>
      </c>
      <c r="F1559" s="4" t="s">
        <v>29</v>
      </c>
    </row>
    <row r="1560" spans="1:6" x14ac:dyDescent="0.25">
      <c r="A1560" s="4" t="s">
        <v>82</v>
      </c>
      <c r="B1560" s="4" t="s">
        <v>23</v>
      </c>
      <c r="C1560" s="4" t="s">
        <v>21</v>
      </c>
      <c r="D1560" s="4">
        <v>2015</v>
      </c>
      <c r="E1560" s="4">
        <v>0</v>
      </c>
      <c r="F1560" s="4" t="s">
        <v>29</v>
      </c>
    </row>
    <row r="1561" spans="1:6" x14ac:dyDescent="0.25">
      <c r="A1561" s="4" t="s">
        <v>82</v>
      </c>
      <c r="B1561" s="4" t="s">
        <v>23</v>
      </c>
      <c r="C1561" s="4" t="s">
        <v>21</v>
      </c>
      <c r="D1561" s="4">
        <v>2016</v>
      </c>
      <c r="E1561" s="4">
        <v>0</v>
      </c>
      <c r="F1561" s="4" t="s">
        <v>29</v>
      </c>
    </row>
    <row r="1562" spans="1:6" x14ac:dyDescent="0.25">
      <c r="A1562" s="4" t="s">
        <v>82</v>
      </c>
      <c r="B1562" s="4" t="s">
        <v>23</v>
      </c>
      <c r="C1562" s="4" t="s">
        <v>21</v>
      </c>
      <c r="D1562" s="4">
        <v>2017</v>
      </c>
      <c r="E1562" s="4">
        <v>0</v>
      </c>
      <c r="F1562" s="4" t="s">
        <v>29</v>
      </c>
    </row>
    <row r="1563" spans="1:6" x14ac:dyDescent="0.25">
      <c r="A1563" s="4" t="s">
        <v>82</v>
      </c>
      <c r="B1563" s="4" t="s">
        <v>23</v>
      </c>
      <c r="C1563" s="4" t="s">
        <v>21</v>
      </c>
      <c r="D1563" s="4">
        <v>2018</v>
      </c>
      <c r="E1563" s="4">
        <v>0</v>
      </c>
      <c r="F1563" s="4" t="s">
        <v>29</v>
      </c>
    </row>
    <row r="1564" spans="1:6" x14ac:dyDescent="0.25">
      <c r="A1564" s="4" t="s">
        <v>82</v>
      </c>
      <c r="B1564" s="4" t="s">
        <v>23</v>
      </c>
      <c r="C1564" s="4" t="s">
        <v>21</v>
      </c>
      <c r="D1564" s="4">
        <v>2019</v>
      </c>
      <c r="E1564" s="4">
        <v>0</v>
      </c>
      <c r="F1564" s="4" t="s">
        <v>29</v>
      </c>
    </row>
    <row r="1565" spans="1:6" x14ac:dyDescent="0.25">
      <c r="A1565" s="4" t="s">
        <v>82</v>
      </c>
      <c r="B1565" s="4" t="s">
        <v>23</v>
      </c>
      <c r="C1565" s="4" t="s">
        <v>21</v>
      </c>
      <c r="D1565" s="4">
        <v>2020</v>
      </c>
      <c r="E1565" s="4">
        <v>0</v>
      </c>
      <c r="F1565" s="4" t="s">
        <v>29</v>
      </c>
    </row>
    <row r="1566" spans="1:6" x14ac:dyDescent="0.25">
      <c r="A1566" s="4" t="s">
        <v>82</v>
      </c>
      <c r="B1566" s="4" t="s">
        <v>23</v>
      </c>
      <c r="C1566" s="4" t="s">
        <v>21</v>
      </c>
      <c r="D1566" s="4">
        <v>2021</v>
      </c>
      <c r="E1566" s="4">
        <v>0</v>
      </c>
      <c r="F1566" s="4" t="s">
        <v>29</v>
      </c>
    </row>
    <row r="1567" spans="1:6" x14ac:dyDescent="0.25">
      <c r="A1567" s="4" t="s">
        <v>82</v>
      </c>
      <c r="B1567" s="4" t="s">
        <v>23</v>
      </c>
      <c r="C1567" s="4" t="s">
        <v>21</v>
      </c>
      <c r="D1567" s="4">
        <v>2022</v>
      </c>
      <c r="E1567" s="4">
        <v>0</v>
      </c>
      <c r="F1567" s="4" t="s">
        <v>29</v>
      </c>
    </row>
    <row r="1568" spans="1:6" x14ac:dyDescent="0.25">
      <c r="A1568" s="4" t="s">
        <v>82</v>
      </c>
      <c r="B1568" s="4" t="s">
        <v>23</v>
      </c>
      <c r="C1568" s="4" t="s">
        <v>21</v>
      </c>
      <c r="D1568" s="4">
        <v>2023</v>
      </c>
      <c r="E1568" s="4">
        <v>0</v>
      </c>
      <c r="F1568" s="4" t="s">
        <v>29</v>
      </c>
    </row>
    <row r="1569" spans="1:6" x14ac:dyDescent="0.25">
      <c r="A1569" s="4" t="s">
        <v>82</v>
      </c>
      <c r="B1569" s="4" t="s">
        <v>23</v>
      </c>
      <c r="C1569" s="4" t="s">
        <v>21</v>
      </c>
      <c r="D1569" s="4">
        <v>2024</v>
      </c>
      <c r="E1569" s="4">
        <v>0</v>
      </c>
      <c r="F1569" s="4" t="s">
        <v>29</v>
      </c>
    </row>
    <row r="1570" spans="1:6" x14ac:dyDescent="0.25">
      <c r="A1570" s="4" t="s">
        <v>82</v>
      </c>
      <c r="B1570" s="4" t="s">
        <v>23</v>
      </c>
      <c r="C1570" s="4" t="s">
        <v>21</v>
      </c>
      <c r="D1570" s="4">
        <v>2025</v>
      </c>
      <c r="E1570" s="4">
        <v>0</v>
      </c>
      <c r="F1570" s="4" t="s">
        <v>29</v>
      </c>
    </row>
    <row r="1571" spans="1:6" x14ac:dyDescent="0.25">
      <c r="A1571" s="4" t="s">
        <v>82</v>
      </c>
      <c r="B1571" s="4" t="s">
        <v>23</v>
      </c>
      <c r="C1571" s="4" t="s">
        <v>21</v>
      </c>
      <c r="D1571" s="4">
        <v>2026</v>
      </c>
      <c r="E1571" s="4">
        <v>0</v>
      </c>
      <c r="F1571" s="4" t="s">
        <v>29</v>
      </c>
    </row>
    <row r="1572" spans="1:6" x14ac:dyDescent="0.25">
      <c r="A1572" s="4" t="s">
        <v>82</v>
      </c>
      <c r="B1572" s="4" t="s">
        <v>23</v>
      </c>
      <c r="C1572" s="4" t="s">
        <v>21</v>
      </c>
      <c r="D1572" s="4">
        <v>2027</v>
      </c>
      <c r="E1572" s="4">
        <v>0</v>
      </c>
      <c r="F1572" s="4" t="s">
        <v>29</v>
      </c>
    </row>
    <row r="1573" spans="1:6" x14ac:dyDescent="0.25">
      <c r="A1573" s="4" t="s">
        <v>82</v>
      </c>
      <c r="B1573" s="4" t="s">
        <v>23</v>
      </c>
      <c r="C1573" s="4" t="s">
        <v>21</v>
      </c>
      <c r="D1573" s="4">
        <v>2028</v>
      </c>
      <c r="E1573" s="4">
        <v>0</v>
      </c>
      <c r="F1573" s="4" t="s">
        <v>29</v>
      </c>
    </row>
    <row r="1574" spans="1:6" x14ac:dyDescent="0.25">
      <c r="A1574" s="4" t="s">
        <v>82</v>
      </c>
      <c r="B1574" s="4" t="s">
        <v>23</v>
      </c>
      <c r="C1574" s="4" t="s">
        <v>21</v>
      </c>
      <c r="D1574" s="4">
        <v>2029</v>
      </c>
      <c r="E1574" s="4">
        <v>0</v>
      </c>
      <c r="F1574" s="4" t="s">
        <v>29</v>
      </c>
    </row>
    <row r="1575" spans="1:6" x14ac:dyDescent="0.25">
      <c r="A1575" s="4" t="s">
        <v>82</v>
      </c>
      <c r="B1575" s="4" t="s">
        <v>23</v>
      </c>
      <c r="C1575" s="4" t="s">
        <v>21</v>
      </c>
      <c r="D1575" s="4">
        <v>2030</v>
      </c>
      <c r="E1575" s="4">
        <v>0</v>
      </c>
      <c r="F1575" s="4" t="s">
        <v>29</v>
      </c>
    </row>
    <row r="1576" spans="1:6" x14ac:dyDescent="0.25">
      <c r="A1576" s="4" t="s">
        <v>82</v>
      </c>
      <c r="B1576" s="4" t="s">
        <v>23</v>
      </c>
      <c r="C1576" s="4" t="s">
        <v>21</v>
      </c>
      <c r="D1576" s="4">
        <v>2031</v>
      </c>
      <c r="E1576" s="4">
        <v>0</v>
      </c>
      <c r="F1576" s="4" t="s">
        <v>29</v>
      </c>
    </row>
    <row r="1577" spans="1:6" x14ac:dyDescent="0.25">
      <c r="A1577" s="4" t="s">
        <v>82</v>
      </c>
      <c r="B1577" s="4" t="s">
        <v>23</v>
      </c>
      <c r="C1577" s="4" t="s">
        <v>21</v>
      </c>
      <c r="D1577" s="4">
        <v>2032</v>
      </c>
      <c r="E1577" s="4">
        <v>0</v>
      </c>
      <c r="F1577" s="4" t="s">
        <v>29</v>
      </c>
    </row>
    <row r="1578" spans="1:6" x14ac:dyDescent="0.25">
      <c r="A1578" s="4" t="s">
        <v>82</v>
      </c>
      <c r="B1578" s="4" t="s">
        <v>23</v>
      </c>
      <c r="C1578" s="4" t="s">
        <v>21</v>
      </c>
      <c r="D1578" s="4">
        <v>2033</v>
      </c>
      <c r="E1578" s="4">
        <v>0</v>
      </c>
      <c r="F1578" s="4" t="s">
        <v>29</v>
      </c>
    </row>
    <row r="1579" spans="1:6" x14ac:dyDescent="0.25">
      <c r="A1579" s="4" t="s">
        <v>82</v>
      </c>
      <c r="B1579" s="4" t="s">
        <v>23</v>
      </c>
      <c r="C1579" s="4" t="s">
        <v>21</v>
      </c>
      <c r="D1579" s="4">
        <v>2034</v>
      </c>
      <c r="E1579" s="4">
        <v>0</v>
      </c>
      <c r="F1579" s="4" t="s">
        <v>29</v>
      </c>
    </row>
    <row r="1580" spans="1:6" x14ac:dyDescent="0.25">
      <c r="A1580" s="4" t="s">
        <v>82</v>
      </c>
      <c r="B1580" s="4" t="s">
        <v>23</v>
      </c>
      <c r="C1580" s="4" t="s">
        <v>21</v>
      </c>
      <c r="D1580" s="4">
        <v>2035</v>
      </c>
      <c r="E1580" s="4">
        <v>0</v>
      </c>
      <c r="F1580" s="4" t="s">
        <v>29</v>
      </c>
    </row>
    <row r="1581" spans="1:6" x14ac:dyDescent="0.25">
      <c r="A1581" s="4" t="s">
        <v>82</v>
      </c>
      <c r="B1581" s="4" t="s">
        <v>23</v>
      </c>
      <c r="C1581" s="4" t="s">
        <v>21</v>
      </c>
      <c r="D1581" s="4">
        <v>2036</v>
      </c>
      <c r="E1581" s="4">
        <v>0</v>
      </c>
      <c r="F1581" s="4" t="s">
        <v>29</v>
      </c>
    </row>
    <row r="1582" spans="1:6" x14ac:dyDescent="0.25">
      <c r="A1582" s="4" t="s">
        <v>82</v>
      </c>
      <c r="B1582" s="4" t="s">
        <v>23</v>
      </c>
      <c r="C1582" s="4" t="s">
        <v>21</v>
      </c>
      <c r="D1582" s="4">
        <v>2037</v>
      </c>
      <c r="E1582" s="4">
        <v>0</v>
      </c>
      <c r="F1582" s="4" t="s">
        <v>29</v>
      </c>
    </row>
    <row r="1583" spans="1:6" x14ac:dyDescent="0.25">
      <c r="A1583" s="4" t="s">
        <v>82</v>
      </c>
      <c r="B1583" s="4" t="s">
        <v>23</v>
      </c>
      <c r="C1583" s="4" t="s">
        <v>21</v>
      </c>
      <c r="D1583" s="4">
        <v>2038</v>
      </c>
      <c r="E1583" s="4">
        <v>0</v>
      </c>
      <c r="F1583" s="4" t="s">
        <v>29</v>
      </c>
    </row>
    <row r="1584" spans="1:6" x14ac:dyDescent="0.25">
      <c r="A1584" s="4" t="s">
        <v>82</v>
      </c>
      <c r="B1584" s="4" t="s">
        <v>23</v>
      </c>
      <c r="C1584" s="4" t="s">
        <v>21</v>
      </c>
      <c r="D1584" s="4">
        <v>2039</v>
      </c>
      <c r="E1584" s="4">
        <v>0</v>
      </c>
      <c r="F1584" s="4" t="s">
        <v>29</v>
      </c>
    </row>
    <row r="1585" spans="1:6" x14ac:dyDescent="0.25">
      <c r="A1585" s="4" t="s">
        <v>82</v>
      </c>
      <c r="B1585" s="4" t="s">
        <v>23</v>
      </c>
      <c r="C1585" s="4" t="s">
        <v>21</v>
      </c>
      <c r="D1585" s="4">
        <v>2040</v>
      </c>
      <c r="E1585" s="4">
        <v>0</v>
      </c>
      <c r="F1585" s="4" t="s">
        <v>29</v>
      </c>
    </row>
    <row r="1586" spans="1:6" x14ac:dyDescent="0.25">
      <c r="A1586" s="4" t="s">
        <v>83</v>
      </c>
      <c r="B1586" s="4" t="s">
        <v>1</v>
      </c>
      <c r="C1586" s="4" t="s">
        <v>21</v>
      </c>
      <c r="D1586" s="4">
        <v>2005</v>
      </c>
      <c r="E1586" s="4">
        <v>0</v>
      </c>
      <c r="F1586" s="4" t="s">
        <v>29</v>
      </c>
    </row>
    <row r="1587" spans="1:6" x14ac:dyDescent="0.25">
      <c r="A1587" s="4" t="s">
        <v>83</v>
      </c>
      <c r="B1587" s="4" t="s">
        <v>1</v>
      </c>
      <c r="C1587" s="4" t="s">
        <v>21</v>
      </c>
      <c r="D1587" s="4">
        <v>2006</v>
      </c>
      <c r="E1587" s="4">
        <v>0</v>
      </c>
      <c r="F1587" s="4" t="s">
        <v>29</v>
      </c>
    </row>
    <row r="1588" spans="1:6" x14ac:dyDescent="0.25">
      <c r="A1588" s="4" t="s">
        <v>83</v>
      </c>
      <c r="B1588" s="4" t="s">
        <v>1</v>
      </c>
      <c r="C1588" s="4" t="s">
        <v>21</v>
      </c>
      <c r="D1588" s="4">
        <v>2007</v>
      </c>
      <c r="E1588" s="4">
        <v>0</v>
      </c>
      <c r="F1588" s="4" t="s">
        <v>29</v>
      </c>
    </row>
    <row r="1589" spans="1:6" x14ac:dyDescent="0.25">
      <c r="A1589" s="4" t="s">
        <v>83</v>
      </c>
      <c r="B1589" s="4" t="s">
        <v>1</v>
      </c>
      <c r="C1589" s="4" t="s">
        <v>21</v>
      </c>
      <c r="D1589" s="4">
        <v>2008</v>
      </c>
      <c r="E1589" s="4">
        <v>0</v>
      </c>
      <c r="F1589" s="4" t="s">
        <v>29</v>
      </c>
    </row>
    <row r="1590" spans="1:6" x14ac:dyDescent="0.25">
      <c r="A1590" s="4" t="s">
        <v>83</v>
      </c>
      <c r="B1590" s="4" t="s">
        <v>1</v>
      </c>
      <c r="C1590" s="4" t="s">
        <v>21</v>
      </c>
      <c r="D1590" s="4">
        <v>2009</v>
      </c>
      <c r="E1590" s="4">
        <v>0</v>
      </c>
      <c r="F1590" s="4" t="s">
        <v>29</v>
      </c>
    </row>
    <row r="1591" spans="1:6" x14ac:dyDescent="0.25">
      <c r="A1591" s="4" t="s">
        <v>83</v>
      </c>
      <c r="B1591" s="4" t="s">
        <v>1</v>
      </c>
      <c r="C1591" s="4" t="s">
        <v>21</v>
      </c>
      <c r="D1591" s="4">
        <v>2010</v>
      </c>
      <c r="E1591" s="4">
        <v>0</v>
      </c>
      <c r="F1591" s="4" t="s">
        <v>29</v>
      </c>
    </row>
    <row r="1592" spans="1:6" x14ac:dyDescent="0.25">
      <c r="A1592" s="4" t="s">
        <v>83</v>
      </c>
      <c r="B1592" s="4" t="s">
        <v>1</v>
      </c>
      <c r="C1592" s="4" t="s">
        <v>21</v>
      </c>
      <c r="D1592" s="4">
        <v>2011</v>
      </c>
      <c r="E1592" s="4">
        <v>0</v>
      </c>
      <c r="F1592" s="4" t="s">
        <v>29</v>
      </c>
    </row>
    <row r="1593" spans="1:6" x14ac:dyDescent="0.25">
      <c r="A1593" s="4" t="s">
        <v>83</v>
      </c>
      <c r="B1593" s="4" t="s">
        <v>1</v>
      </c>
      <c r="C1593" s="4" t="s">
        <v>21</v>
      </c>
      <c r="D1593" s="4">
        <v>2012</v>
      </c>
      <c r="E1593" s="4">
        <v>0</v>
      </c>
      <c r="F1593" s="4" t="s">
        <v>29</v>
      </c>
    </row>
    <row r="1594" spans="1:6" x14ac:dyDescent="0.25">
      <c r="A1594" s="4" t="s">
        <v>83</v>
      </c>
      <c r="B1594" s="4" t="s">
        <v>1</v>
      </c>
      <c r="C1594" s="4" t="s">
        <v>21</v>
      </c>
      <c r="D1594" s="4">
        <v>2013</v>
      </c>
      <c r="E1594" s="4">
        <v>0</v>
      </c>
      <c r="F1594" s="4" t="s">
        <v>29</v>
      </c>
    </row>
    <row r="1595" spans="1:6" x14ac:dyDescent="0.25">
      <c r="A1595" s="4" t="s">
        <v>83</v>
      </c>
      <c r="B1595" s="4" t="s">
        <v>1</v>
      </c>
      <c r="C1595" s="4" t="s">
        <v>21</v>
      </c>
      <c r="D1595" s="4">
        <v>2014</v>
      </c>
      <c r="E1595" s="4">
        <v>0</v>
      </c>
      <c r="F1595" s="4" t="s">
        <v>29</v>
      </c>
    </row>
    <row r="1596" spans="1:6" x14ac:dyDescent="0.25">
      <c r="A1596" s="4" t="s">
        <v>83</v>
      </c>
      <c r="B1596" s="4" t="s">
        <v>1</v>
      </c>
      <c r="C1596" s="4" t="s">
        <v>21</v>
      </c>
      <c r="D1596" s="4">
        <v>2015</v>
      </c>
      <c r="E1596" s="4">
        <v>0</v>
      </c>
      <c r="F1596" s="4" t="s">
        <v>29</v>
      </c>
    </row>
    <row r="1597" spans="1:6" x14ac:dyDescent="0.25">
      <c r="A1597" s="4" t="s">
        <v>83</v>
      </c>
      <c r="B1597" s="4" t="s">
        <v>1</v>
      </c>
      <c r="C1597" s="4" t="s">
        <v>21</v>
      </c>
      <c r="D1597" s="4">
        <v>2016</v>
      </c>
      <c r="E1597" s="4">
        <v>0</v>
      </c>
      <c r="F1597" s="4" t="s">
        <v>29</v>
      </c>
    </row>
    <row r="1598" spans="1:6" x14ac:dyDescent="0.25">
      <c r="A1598" s="4" t="s">
        <v>83</v>
      </c>
      <c r="B1598" s="4" t="s">
        <v>1</v>
      </c>
      <c r="C1598" s="4" t="s">
        <v>21</v>
      </c>
      <c r="D1598" s="4">
        <v>2017</v>
      </c>
      <c r="E1598" s="4">
        <v>0</v>
      </c>
      <c r="F1598" s="4" t="s">
        <v>29</v>
      </c>
    </row>
    <row r="1599" spans="1:6" x14ac:dyDescent="0.25">
      <c r="A1599" s="4" t="s">
        <v>83</v>
      </c>
      <c r="B1599" s="4" t="s">
        <v>1</v>
      </c>
      <c r="C1599" s="4" t="s">
        <v>21</v>
      </c>
      <c r="D1599" s="4">
        <v>2018</v>
      </c>
      <c r="E1599" s="4">
        <v>0</v>
      </c>
      <c r="F1599" s="4" t="s">
        <v>29</v>
      </c>
    </row>
    <row r="1600" spans="1:6" x14ac:dyDescent="0.25">
      <c r="A1600" s="4" t="s">
        <v>83</v>
      </c>
      <c r="B1600" s="4" t="s">
        <v>1</v>
      </c>
      <c r="C1600" s="4" t="s">
        <v>21</v>
      </c>
      <c r="D1600" s="4">
        <v>2019</v>
      </c>
      <c r="E1600" s="4">
        <v>0</v>
      </c>
      <c r="F1600" s="4" t="s">
        <v>29</v>
      </c>
    </row>
    <row r="1601" spans="1:6" x14ac:dyDescent="0.25">
      <c r="A1601" s="4" t="s">
        <v>83</v>
      </c>
      <c r="B1601" s="4" t="s">
        <v>1</v>
      </c>
      <c r="C1601" s="4" t="s">
        <v>21</v>
      </c>
      <c r="D1601" s="4">
        <v>2020</v>
      </c>
      <c r="E1601" s="4">
        <v>0</v>
      </c>
      <c r="F1601" s="4" t="s">
        <v>29</v>
      </c>
    </row>
    <row r="1602" spans="1:6" x14ac:dyDescent="0.25">
      <c r="A1602" s="4" t="s">
        <v>83</v>
      </c>
      <c r="B1602" s="4" t="s">
        <v>1</v>
      </c>
      <c r="C1602" s="4" t="s">
        <v>21</v>
      </c>
      <c r="D1602" s="4">
        <v>2021</v>
      </c>
      <c r="E1602" s="4">
        <v>0</v>
      </c>
      <c r="F1602" s="4" t="s">
        <v>29</v>
      </c>
    </row>
    <row r="1603" spans="1:6" x14ac:dyDescent="0.25">
      <c r="A1603" s="4" t="s">
        <v>83</v>
      </c>
      <c r="B1603" s="4" t="s">
        <v>1</v>
      </c>
      <c r="C1603" s="4" t="s">
        <v>21</v>
      </c>
      <c r="D1603" s="4">
        <v>2022</v>
      </c>
      <c r="E1603" s="4">
        <v>0</v>
      </c>
      <c r="F1603" s="4" t="s">
        <v>29</v>
      </c>
    </row>
    <row r="1604" spans="1:6" x14ac:dyDescent="0.25">
      <c r="A1604" s="4" t="s">
        <v>83</v>
      </c>
      <c r="B1604" s="4" t="s">
        <v>1</v>
      </c>
      <c r="C1604" s="4" t="s">
        <v>21</v>
      </c>
      <c r="D1604" s="4">
        <v>2023</v>
      </c>
      <c r="E1604" s="4">
        <v>0</v>
      </c>
      <c r="F1604" s="4" t="s">
        <v>29</v>
      </c>
    </row>
    <row r="1605" spans="1:6" x14ac:dyDescent="0.25">
      <c r="A1605" s="4" t="s">
        <v>83</v>
      </c>
      <c r="B1605" s="4" t="s">
        <v>1</v>
      </c>
      <c r="C1605" s="4" t="s">
        <v>21</v>
      </c>
      <c r="D1605" s="4">
        <v>2024</v>
      </c>
      <c r="E1605" s="4">
        <v>0</v>
      </c>
      <c r="F1605" s="4" t="s">
        <v>29</v>
      </c>
    </row>
    <row r="1606" spans="1:6" x14ac:dyDescent="0.25">
      <c r="A1606" s="4" t="s">
        <v>83</v>
      </c>
      <c r="B1606" s="4" t="s">
        <v>1</v>
      </c>
      <c r="C1606" s="4" t="s">
        <v>21</v>
      </c>
      <c r="D1606" s="4">
        <v>2025</v>
      </c>
      <c r="E1606" s="4">
        <v>0</v>
      </c>
      <c r="F1606" s="4" t="s">
        <v>29</v>
      </c>
    </row>
    <row r="1607" spans="1:6" x14ac:dyDescent="0.25">
      <c r="A1607" s="4" t="s">
        <v>83</v>
      </c>
      <c r="B1607" s="4" t="s">
        <v>1</v>
      </c>
      <c r="C1607" s="4" t="s">
        <v>21</v>
      </c>
      <c r="D1607" s="4">
        <v>2026</v>
      </c>
      <c r="E1607" s="4">
        <v>0</v>
      </c>
      <c r="F1607" s="4" t="s">
        <v>29</v>
      </c>
    </row>
    <row r="1608" spans="1:6" x14ac:dyDescent="0.25">
      <c r="A1608" s="4" t="s">
        <v>83</v>
      </c>
      <c r="B1608" s="4" t="s">
        <v>1</v>
      </c>
      <c r="C1608" s="4" t="s">
        <v>21</v>
      </c>
      <c r="D1608" s="4">
        <v>2027</v>
      </c>
      <c r="E1608" s="4">
        <v>0</v>
      </c>
      <c r="F1608" s="4" t="s">
        <v>29</v>
      </c>
    </row>
    <row r="1609" spans="1:6" x14ac:dyDescent="0.25">
      <c r="A1609" s="4" t="s">
        <v>83</v>
      </c>
      <c r="B1609" s="4" t="s">
        <v>1</v>
      </c>
      <c r="C1609" s="4" t="s">
        <v>21</v>
      </c>
      <c r="D1609" s="4">
        <v>2028</v>
      </c>
      <c r="E1609" s="4">
        <v>0</v>
      </c>
      <c r="F1609" s="4" t="s">
        <v>29</v>
      </c>
    </row>
    <row r="1610" spans="1:6" x14ac:dyDescent="0.25">
      <c r="A1610" s="4" t="s">
        <v>83</v>
      </c>
      <c r="B1610" s="4" t="s">
        <v>1</v>
      </c>
      <c r="C1610" s="4" t="s">
        <v>21</v>
      </c>
      <c r="D1610" s="4">
        <v>2029</v>
      </c>
      <c r="E1610" s="4">
        <v>0</v>
      </c>
      <c r="F1610" s="4" t="s">
        <v>29</v>
      </c>
    </row>
    <row r="1611" spans="1:6" x14ac:dyDescent="0.25">
      <c r="A1611" s="4" t="s">
        <v>83</v>
      </c>
      <c r="B1611" s="4" t="s">
        <v>1</v>
      </c>
      <c r="C1611" s="4" t="s">
        <v>21</v>
      </c>
      <c r="D1611" s="4">
        <v>2030</v>
      </c>
      <c r="E1611" s="4">
        <v>0</v>
      </c>
      <c r="F1611" s="4" t="s">
        <v>29</v>
      </c>
    </row>
    <row r="1612" spans="1:6" x14ac:dyDescent="0.25">
      <c r="A1612" s="4" t="s">
        <v>83</v>
      </c>
      <c r="B1612" s="4" t="s">
        <v>1</v>
      </c>
      <c r="C1612" s="4" t="s">
        <v>21</v>
      </c>
      <c r="D1612" s="4">
        <v>2031</v>
      </c>
      <c r="E1612" s="4">
        <v>0</v>
      </c>
      <c r="F1612" s="4" t="s">
        <v>29</v>
      </c>
    </row>
    <row r="1613" spans="1:6" x14ac:dyDescent="0.25">
      <c r="A1613" s="4" t="s">
        <v>83</v>
      </c>
      <c r="B1613" s="4" t="s">
        <v>1</v>
      </c>
      <c r="C1613" s="4" t="s">
        <v>21</v>
      </c>
      <c r="D1613" s="4">
        <v>2032</v>
      </c>
      <c r="E1613" s="4">
        <v>0</v>
      </c>
      <c r="F1613" s="4" t="s">
        <v>29</v>
      </c>
    </row>
    <row r="1614" spans="1:6" x14ac:dyDescent="0.25">
      <c r="A1614" s="4" t="s">
        <v>83</v>
      </c>
      <c r="B1614" s="4" t="s">
        <v>1</v>
      </c>
      <c r="C1614" s="4" t="s">
        <v>21</v>
      </c>
      <c r="D1614" s="4">
        <v>2033</v>
      </c>
      <c r="E1614" s="4">
        <v>0</v>
      </c>
      <c r="F1614" s="4" t="s">
        <v>29</v>
      </c>
    </row>
    <row r="1615" spans="1:6" x14ac:dyDescent="0.25">
      <c r="A1615" s="4" t="s">
        <v>83</v>
      </c>
      <c r="B1615" s="4" t="s">
        <v>1</v>
      </c>
      <c r="C1615" s="4" t="s">
        <v>21</v>
      </c>
      <c r="D1615" s="4">
        <v>2034</v>
      </c>
      <c r="E1615" s="4">
        <v>0</v>
      </c>
      <c r="F1615" s="4" t="s">
        <v>29</v>
      </c>
    </row>
    <row r="1616" spans="1:6" x14ac:dyDescent="0.25">
      <c r="A1616" s="4" t="s">
        <v>83</v>
      </c>
      <c r="B1616" s="4" t="s">
        <v>1</v>
      </c>
      <c r="C1616" s="4" t="s">
        <v>21</v>
      </c>
      <c r="D1616" s="4">
        <v>2035</v>
      </c>
      <c r="E1616" s="4">
        <v>0</v>
      </c>
      <c r="F1616" s="4" t="s">
        <v>29</v>
      </c>
    </row>
    <row r="1617" spans="1:6" x14ac:dyDescent="0.25">
      <c r="A1617" s="4" t="s">
        <v>83</v>
      </c>
      <c r="B1617" s="4" t="s">
        <v>1</v>
      </c>
      <c r="C1617" s="4" t="s">
        <v>21</v>
      </c>
      <c r="D1617" s="4">
        <v>2036</v>
      </c>
      <c r="E1617" s="4">
        <v>0</v>
      </c>
      <c r="F1617" s="4" t="s">
        <v>29</v>
      </c>
    </row>
    <row r="1618" spans="1:6" x14ac:dyDescent="0.25">
      <c r="A1618" s="4" t="s">
        <v>83</v>
      </c>
      <c r="B1618" s="4" t="s">
        <v>1</v>
      </c>
      <c r="C1618" s="4" t="s">
        <v>21</v>
      </c>
      <c r="D1618" s="4">
        <v>2037</v>
      </c>
      <c r="E1618" s="4">
        <v>0</v>
      </c>
      <c r="F1618" s="4" t="s">
        <v>29</v>
      </c>
    </row>
    <row r="1619" spans="1:6" x14ac:dyDescent="0.25">
      <c r="A1619" s="4" t="s">
        <v>83</v>
      </c>
      <c r="B1619" s="4" t="s">
        <v>1</v>
      </c>
      <c r="C1619" s="4" t="s">
        <v>21</v>
      </c>
      <c r="D1619" s="4">
        <v>2038</v>
      </c>
      <c r="E1619" s="4">
        <v>0</v>
      </c>
      <c r="F1619" s="4" t="s">
        <v>29</v>
      </c>
    </row>
    <row r="1620" spans="1:6" x14ac:dyDescent="0.25">
      <c r="A1620" s="4" t="s">
        <v>83</v>
      </c>
      <c r="B1620" s="4" t="s">
        <v>1</v>
      </c>
      <c r="C1620" s="4" t="s">
        <v>21</v>
      </c>
      <c r="D1620" s="4">
        <v>2039</v>
      </c>
      <c r="E1620" s="4">
        <v>0</v>
      </c>
      <c r="F1620" s="4" t="s">
        <v>29</v>
      </c>
    </row>
    <row r="1621" spans="1:6" x14ac:dyDescent="0.25">
      <c r="A1621" s="4" t="s">
        <v>83</v>
      </c>
      <c r="B1621" s="4" t="s">
        <v>1</v>
      </c>
      <c r="C1621" s="4" t="s">
        <v>21</v>
      </c>
      <c r="D1621" s="4">
        <v>2040</v>
      </c>
      <c r="E1621" s="4">
        <v>0</v>
      </c>
      <c r="F1621" s="4" t="s">
        <v>29</v>
      </c>
    </row>
    <row r="1622" spans="1:6" x14ac:dyDescent="0.25">
      <c r="A1622" s="4" t="s">
        <v>83</v>
      </c>
      <c r="B1622" s="4" t="s">
        <v>2</v>
      </c>
      <c r="C1622" s="4" t="s">
        <v>21</v>
      </c>
      <c r="D1622" s="4">
        <v>2005</v>
      </c>
      <c r="E1622" s="4">
        <v>0</v>
      </c>
      <c r="F1622" s="4" t="s">
        <v>29</v>
      </c>
    </row>
    <row r="1623" spans="1:6" x14ac:dyDescent="0.25">
      <c r="A1623" s="4" t="s">
        <v>83</v>
      </c>
      <c r="B1623" s="4" t="s">
        <v>2</v>
      </c>
      <c r="C1623" s="4" t="s">
        <v>21</v>
      </c>
      <c r="D1623" s="4">
        <v>2006</v>
      </c>
      <c r="E1623" s="4">
        <v>0</v>
      </c>
      <c r="F1623" s="4" t="s">
        <v>29</v>
      </c>
    </row>
    <row r="1624" spans="1:6" x14ac:dyDescent="0.25">
      <c r="A1624" s="4" t="s">
        <v>83</v>
      </c>
      <c r="B1624" s="4" t="s">
        <v>2</v>
      </c>
      <c r="C1624" s="4" t="s">
        <v>21</v>
      </c>
      <c r="D1624" s="4">
        <v>2007</v>
      </c>
      <c r="E1624" s="4">
        <v>0</v>
      </c>
      <c r="F1624" s="4" t="s">
        <v>29</v>
      </c>
    </row>
    <row r="1625" spans="1:6" x14ac:dyDescent="0.25">
      <c r="A1625" s="4" t="s">
        <v>83</v>
      </c>
      <c r="B1625" s="4" t="s">
        <v>2</v>
      </c>
      <c r="C1625" s="4" t="s">
        <v>21</v>
      </c>
      <c r="D1625" s="4">
        <v>2008</v>
      </c>
      <c r="E1625" s="4">
        <v>0</v>
      </c>
      <c r="F1625" s="4" t="s">
        <v>29</v>
      </c>
    </row>
    <row r="1626" spans="1:6" x14ac:dyDescent="0.25">
      <c r="A1626" s="4" t="s">
        <v>83</v>
      </c>
      <c r="B1626" s="4" t="s">
        <v>2</v>
      </c>
      <c r="C1626" s="4" t="s">
        <v>21</v>
      </c>
      <c r="D1626" s="4">
        <v>2009</v>
      </c>
      <c r="E1626" s="4">
        <v>0</v>
      </c>
      <c r="F1626" s="4" t="s">
        <v>29</v>
      </c>
    </row>
    <row r="1627" spans="1:6" x14ac:dyDescent="0.25">
      <c r="A1627" s="4" t="s">
        <v>83</v>
      </c>
      <c r="B1627" s="4" t="s">
        <v>2</v>
      </c>
      <c r="C1627" s="4" t="s">
        <v>21</v>
      </c>
      <c r="D1627" s="4">
        <v>2010</v>
      </c>
      <c r="E1627" s="4">
        <v>0</v>
      </c>
      <c r="F1627" s="4" t="s">
        <v>29</v>
      </c>
    </row>
    <row r="1628" spans="1:6" x14ac:dyDescent="0.25">
      <c r="A1628" s="4" t="s">
        <v>83</v>
      </c>
      <c r="B1628" s="4" t="s">
        <v>2</v>
      </c>
      <c r="C1628" s="4" t="s">
        <v>21</v>
      </c>
      <c r="D1628" s="4">
        <v>2011</v>
      </c>
      <c r="E1628" s="4">
        <v>0</v>
      </c>
      <c r="F1628" s="4" t="s">
        <v>29</v>
      </c>
    </row>
    <row r="1629" spans="1:6" x14ac:dyDescent="0.25">
      <c r="A1629" s="4" t="s">
        <v>83</v>
      </c>
      <c r="B1629" s="4" t="s">
        <v>2</v>
      </c>
      <c r="C1629" s="4" t="s">
        <v>21</v>
      </c>
      <c r="D1629" s="4">
        <v>2012</v>
      </c>
      <c r="E1629" s="4">
        <v>0</v>
      </c>
      <c r="F1629" s="4" t="s">
        <v>29</v>
      </c>
    </row>
    <row r="1630" spans="1:6" x14ac:dyDescent="0.25">
      <c r="A1630" s="4" t="s">
        <v>83</v>
      </c>
      <c r="B1630" s="4" t="s">
        <v>2</v>
      </c>
      <c r="C1630" s="4" t="s">
        <v>21</v>
      </c>
      <c r="D1630" s="4">
        <v>2013</v>
      </c>
      <c r="E1630" s="4">
        <v>0</v>
      </c>
      <c r="F1630" s="4" t="s">
        <v>29</v>
      </c>
    </row>
    <row r="1631" spans="1:6" x14ac:dyDescent="0.25">
      <c r="A1631" s="4" t="s">
        <v>83</v>
      </c>
      <c r="B1631" s="4" t="s">
        <v>2</v>
      </c>
      <c r="C1631" s="4" t="s">
        <v>21</v>
      </c>
      <c r="D1631" s="4">
        <v>2014</v>
      </c>
      <c r="E1631" s="4">
        <v>0</v>
      </c>
      <c r="F1631" s="4" t="s">
        <v>29</v>
      </c>
    </row>
    <row r="1632" spans="1:6" x14ac:dyDescent="0.25">
      <c r="A1632" s="4" t="s">
        <v>83</v>
      </c>
      <c r="B1632" s="4" t="s">
        <v>2</v>
      </c>
      <c r="C1632" s="4" t="s">
        <v>21</v>
      </c>
      <c r="D1632" s="4">
        <v>2015</v>
      </c>
      <c r="E1632" s="4">
        <v>0</v>
      </c>
      <c r="F1632" s="4" t="s">
        <v>29</v>
      </c>
    </row>
    <row r="1633" spans="1:6" x14ac:dyDescent="0.25">
      <c r="A1633" s="4" t="s">
        <v>83</v>
      </c>
      <c r="B1633" s="4" t="s">
        <v>2</v>
      </c>
      <c r="C1633" s="4" t="s">
        <v>21</v>
      </c>
      <c r="D1633" s="4">
        <v>2016</v>
      </c>
      <c r="E1633" s="4">
        <v>0</v>
      </c>
      <c r="F1633" s="4" t="s">
        <v>29</v>
      </c>
    </row>
    <row r="1634" spans="1:6" x14ac:dyDescent="0.25">
      <c r="A1634" s="4" t="s">
        <v>83</v>
      </c>
      <c r="B1634" s="4" t="s">
        <v>2</v>
      </c>
      <c r="C1634" s="4" t="s">
        <v>21</v>
      </c>
      <c r="D1634" s="4">
        <v>2017</v>
      </c>
      <c r="E1634" s="4">
        <v>0</v>
      </c>
      <c r="F1634" s="4" t="s">
        <v>29</v>
      </c>
    </row>
    <row r="1635" spans="1:6" x14ac:dyDescent="0.25">
      <c r="A1635" s="4" t="s">
        <v>83</v>
      </c>
      <c r="B1635" s="4" t="s">
        <v>2</v>
      </c>
      <c r="C1635" s="4" t="s">
        <v>21</v>
      </c>
      <c r="D1635" s="4">
        <v>2018</v>
      </c>
      <c r="E1635" s="4">
        <v>0</v>
      </c>
      <c r="F1635" s="4" t="s">
        <v>29</v>
      </c>
    </row>
    <row r="1636" spans="1:6" x14ac:dyDescent="0.25">
      <c r="A1636" s="4" t="s">
        <v>83</v>
      </c>
      <c r="B1636" s="4" t="s">
        <v>2</v>
      </c>
      <c r="C1636" s="4" t="s">
        <v>21</v>
      </c>
      <c r="D1636" s="4">
        <v>2019</v>
      </c>
      <c r="E1636" s="4">
        <v>0</v>
      </c>
      <c r="F1636" s="4" t="s">
        <v>29</v>
      </c>
    </row>
    <row r="1637" spans="1:6" x14ac:dyDescent="0.25">
      <c r="A1637" s="4" t="s">
        <v>83</v>
      </c>
      <c r="B1637" s="4" t="s">
        <v>2</v>
      </c>
      <c r="C1637" s="4" t="s">
        <v>21</v>
      </c>
      <c r="D1637" s="4">
        <v>2020</v>
      </c>
      <c r="E1637" s="4">
        <v>0</v>
      </c>
      <c r="F1637" s="4" t="s">
        <v>29</v>
      </c>
    </row>
    <row r="1638" spans="1:6" x14ac:dyDescent="0.25">
      <c r="A1638" s="4" t="s">
        <v>83</v>
      </c>
      <c r="B1638" s="4" t="s">
        <v>2</v>
      </c>
      <c r="C1638" s="4" t="s">
        <v>21</v>
      </c>
      <c r="D1638" s="4">
        <v>2021</v>
      </c>
      <c r="E1638" s="4">
        <v>0</v>
      </c>
      <c r="F1638" s="4" t="s">
        <v>29</v>
      </c>
    </row>
    <row r="1639" spans="1:6" x14ac:dyDescent="0.25">
      <c r="A1639" s="4" t="s">
        <v>83</v>
      </c>
      <c r="B1639" s="4" t="s">
        <v>2</v>
      </c>
      <c r="C1639" s="4" t="s">
        <v>21</v>
      </c>
      <c r="D1639" s="4">
        <v>2022</v>
      </c>
      <c r="E1639" s="4">
        <v>0</v>
      </c>
      <c r="F1639" s="4" t="s">
        <v>29</v>
      </c>
    </row>
    <row r="1640" spans="1:6" x14ac:dyDescent="0.25">
      <c r="A1640" s="4" t="s">
        <v>83</v>
      </c>
      <c r="B1640" s="4" t="s">
        <v>2</v>
      </c>
      <c r="C1640" s="4" t="s">
        <v>21</v>
      </c>
      <c r="D1640" s="4">
        <v>2023</v>
      </c>
      <c r="E1640" s="4">
        <v>0</v>
      </c>
      <c r="F1640" s="4" t="s">
        <v>29</v>
      </c>
    </row>
    <row r="1641" spans="1:6" x14ac:dyDescent="0.25">
      <c r="A1641" s="4" t="s">
        <v>83</v>
      </c>
      <c r="B1641" s="4" t="s">
        <v>2</v>
      </c>
      <c r="C1641" s="4" t="s">
        <v>21</v>
      </c>
      <c r="D1641" s="4">
        <v>2024</v>
      </c>
      <c r="E1641" s="4">
        <v>0</v>
      </c>
      <c r="F1641" s="4" t="s">
        <v>29</v>
      </c>
    </row>
    <row r="1642" spans="1:6" x14ac:dyDescent="0.25">
      <c r="A1642" s="4" t="s">
        <v>83</v>
      </c>
      <c r="B1642" s="4" t="s">
        <v>2</v>
      </c>
      <c r="C1642" s="4" t="s">
        <v>21</v>
      </c>
      <c r="D1642" s="4">
        <v>2025</v>
      </c>
      <c r="E1642" s="4">
        <v>0</v>
      </c>
      <c r="F1642" s="4" t="s">
        <v>29</v>
      </c>
    </row>
    <row r="1643" spans="1:6" x14ac:dyDescent="0.25">
      <c r="A1643" s="4" t="s">
        <v>83</v>
      </c>
      <c r="B1643" s="4" t="s">
        <v>2</v>
      </c>
      <c r="C1643" s="4" t="s">
        <v>21</v>
      </c>
      <c r="D1643" s="4">
        <v>2026</v>
      </c>
      <c r="E1643" s="4">
        <v>0</v>
      </c>
      <c r="F1643" s="4" t="s">
        <v>29</v>
      </c>
    </row>
    <row r="1644" spans="1:6" x14ac:dyDescent="0.25">
      <c r="A1644" s="4" t="s">
        <v>83</v>
      </c>
      <c r="B1644" s="4" t="s">
        <v>2</v>
      </c>
      <c r="C1644" s="4" t="s">
        <v>21</v>
      </c>
      <c r="D1644" s="4">
        <v>2027</v>
      </c>
      <c r="E1644" s="4">
        <v>0</v>
      </c>
      <c r="F1644" s="4" t="s">
        <v>29</v>
      </c>
    </row>
    <row r="1645" spans="1:6" x14ac:dyDescent="0.25">
      <c r="A1645" s="4" t="s">
        <v>83</v>
      </c>
      <c r="B1645" s="4" t="s">
        <v>2</v>
      </c>
      <c r="C1645" s="4" t="s">
        <v>21</v>
      </c>
      <c r="D1645" s="4">
        <v>2028</v>
      </c>
      <c r="E1645" s="4">
        <v>0</v>
      </c>
      <c r="F1645" s="4" t="s">
        <v>29</v>
      </c>
    </row>
    <row r="1646" spans="1:6" x14ac:dyDescent="0.25">
      <c r="A1646" s="4" t="s">
        <v>83</v>
      </c>
      <c r="B1646" s="4" t="s">
        <v>2</v>
      </c>
      <c r="C1646" s="4" t="s">
        <v>21</v>
      </c>
      <c r="D1646" s="4">
        <v>2029</v>
      </c>
      <c r="E1646" s="4">
        <v>0</v>
      </c>
      <c r="F1646" s="4" t="s">
        <v>29</v>
      </c>
    </row>
    <row r="1647" spans="1:6" x14ac:dyDescent="0.25">
      <c r="A1647" s="4" t="s">
        <v>83</v>
      </c>
      <c r="B1647" s="4" t="s">
        <v>2</v>
      </c>
      <c r="C1647" s="4" t="s">
        <v>21</v>
      </c>
      <c r="D1647" s="4">
        <v>2030</v>
      </c>
      <c r="E1647" s="4">
        <v>0</v>
      </c>
      <c r="F1647" s="4" t="s">
        <v>29</v>
      </c>
    </row>
    <row r="1648" spans="1:6" x14ac:dyDescent="0.25">
      <c r="A1648" s="4" t="s">
        <v>83</v>
      </c>
      <c r="B1648" s="4" t="s">
        <v>2</v>
      </c>
      <c r="C1648" s="4" t="s">
        <v>21</v>
      </c>
      <c r="D1648" s="4">
        <v>2031</v>
      </c>
      <c r="E1648" s="4">
        <v>0</v>
      </c>
      <c r="F1648" s="4" t="s">
        <v>29</v>
      </c>
    </row>
    <row r="1649" spans="1:6" x14ac:dyDescent="0.25">
      <c r="A1649" s="4" t="s">
        <v>83</v>
      </c>
      <c r="B1649" s="4" t="s">
        <v>2</v>
      </c>
      <c r="C1649" s="4" t="s">
        <v>21</v>
      </c>
      <c r="D1649" s="4">
        <v>2032</v>
      </c>
      <c r="E1649" s="4">
        <v>0</v>
      </c>
      <c r="F1649" s="4" t="s">
        <v>29</v>
      </c>
    </row>
    <row r="1650" spans="1:6" x14ac:dyDescent="0.25">
      <c r="A1650" s="4" t="s">
        <v>83</v>
      </c>
      <c r="B1650" s="4" t="s">
        <v>2</v>
      </c>
      <c r="C1650" s="4" t="s">
        <v>21</v>
      </c>
      <c r="D1650" s="4">
        <v>2033</v>
      </c>
      <c r="E1650" s="4">
        <v>0</v>
      </c>
      <c r="F1650" s="4" t="s">
        <v>29</v>
      </c>
    </row>
    <row r="1651" spans="1:6" x14ac:dyDescent="0.25">
      <c r="A1651" s="4" t="s">
        <v>83</v>
      </c>
      <c r="B1651" s="4" t="s">
        <v>2</v>
      </c>
      <c r="C1651" s="4" t="s">
        <v>21</v>
      </c>
      <c r="D1651" s="4">
        <v>2034</v>
      </c>
      <c r="E1651" s="4">
        <v>0</v>
      </c>
      <c r="F1651" s="4" t="s">
        <v>29</v>
      </c>
    </row>
    <row r="1652" spans="1:6" x14ac:dyDescent="0.25">
      <c r="A1652" s="4" t="s">
        <v>83</v>
      </c>
      <c r="B1652" s="4" t="s">
        <v>2</v>
      </c>
      <c r="C1652" s="4" t="s">
        <v>21</v>
      </c>
      <c r="D1652" s="4">
        <v>2035</v>
      </c>
      <c r="E1652" s="4">
        <v>0</v>
      </c>
      <c r="F1652" s="4" t="s">
        <v>29</v>
      </c>
    </row>
    <row r="1653" spans="1:6" x14ac:dyDescent="0.25">
      <c r="A1653" s="4" t="s">
        <v>83</v>
      </c>
      <c r="B1653" s="4" t="s">
        <v>2</v>
      </c>
      <c r="C1653" s="4" t="s">
        <v>21</v>
      </c>
      <c r="D1653" s="4">
        <v>2036</v>
      </c>
      <c r="E1653" s="4">
        <v>0</v>
      </c>
      <c r="F1653" s="4" t="s">
        <v>29</v>
      </c>
    </row>
    <row r="1654" spans="1:6" x14ac:dyDescent="0.25">
      <c r="A1654" s="4" t="s">
        <v>83</v>
      </c>
      <c r="B1654" s="4" t="s">
        <v>2</v>
      </c>
      <c r="C1654" s="4" t="s">
        <v>21</v>
      </c>
      <c r="D1654" s="4">
        <v>2037</v>
      </c>
      <c r="E1654" s="4">
        <v>0</v>
      </c>
      <c r="F1654" s="4" t="s">
        <v>29</v>
      </c>
    </row>
    <row r="1655" spans="1:6" x14ac:dyDescent="0.25">
      <c r="A1655" s="4" t="s">
        <v>83</v>
      </c>
      <c r="B1655" s="4" t="s">
        <v>2</v>
      </c>
      <c r="C1655" s="4" t="s">
        <v>21</v>
      </c>
      <c r="D1655" s="4">
        <v>2038</v>
      </c>
      <c r="E1655" s="4">
        <v>0</v>
      </c>
      <c r="F1655" s="4" t="s">
        <v>29</v>
      </c>
    </row>
    <row r="1656" spans="1:6" x14ac:dyDescent="0.25">
      <c r="A1656" s="4" t="s">
        <v>83</v>
      </c>
      <c r="B1656" s="4" t="s">
        <v>2</v>
      </c>
      <c r="C1656" s="4" t="s">
        <v>21</v>
      </c>
      <c r="D1656" s="4">
        <v>2039</v>
      </c>
      <c r="E1656" s="4">
        <v>0</v>
      </c>
      <c r="F1656" s="4" t="s">
        <v>29</v>
      </c>
    </row>
    <row r="1657" spans="1:6" x14ac:dyDescent="0.25">
      <c r="A1657" s="4" t="s">
        <v>83</v>
      </c>
      <c r="B1657" s="4" t="s">
        <v>2</v>
      </c>
      <c r="C1657" s="4" t="s">
        <v>21</v>
      </c>
      <c r="D1657" s="4">
        <v>2040</v>
      </c>
      <c r="E1657" s="4">
        <v>0</v>
      </c>
      <c r="F1657" s="4" t="s">
        <v>29</v>
      </c>
    </row>
    <row r="1658" spans="1:6" x14ac:dyDescent="0.25">
      <c r="A1658" s="4" t="s">
        <v>83</v>
      </c>
      <c r="B1658" s="4" t="s">
        <v>3</v>
      </c>
      <c r="C1658" s="4" t="s">
        <v>21</v>
      </c>
      <c r="D1658" s="4">
        <v>2005</v>
      </c>
      <c r="E1658" s="4">
        <v>0</v>
      </c>
      <c r="F1658" s="4" t="s">
        <v>29</v>
      </c>
    </row>
    <row r="1659" spans="1:6" x14ac:dyDescent="0.25">
      <c r="A1659" s="4" t="s">
        <v>83</v>
      </c>
      <c r="B1659" s="4" t="s">
        <v>3</v>
      </c>
      <c r="C1659" s="4" t="s">
        <v>21</v>
      </c>
      <c r="D1659" s="4">
        <v>2006</v>
      </c>
      <c r="E1659" s="4">
        <v>0</v>
      </c>
      <c r="F1659" s="4" t="s">
        <v>29</v>
      </c>
    </row>
    <row r="1660" spans="1:6" x14ac:dyDescent="0.25">
      <c r="A1660" s="4" t="s">
        <v>83</v>
      </c>
      <c r="B1660" s="4" t="s">
        <v>3</v>
      </c>
      <c r="C1660" s="4" t="s">
        <v>21</v>
      </c>
      <c r="D1660" s="4">
        <v>2007</v>
      </c>
      <c r="E1660" s="4">
        <v>0</v>
      </c>
      <c r="F1660" s="4" t="s">
        <v>29</v>
      </c>
    </row>
    <row r="1661" spans="1:6" x14ac:dyDescent="0.25">
      <c r="A1661" s="4" t="s">
        <v>83</v>
      </c>
      <c r="B1661" s="4" t="s">
        <v>3</v>
      </c>
      <c r="C1661" s="4" t="s">
        <v>21</v>
      </c>
      <c r="D1661" s="4">
        <v>2008</v>
      </c>
      <c r="E1661" s="4">
        <v>0</v>
      </c>
      <c r="F1661" s="4" t="s">
        <v>29</v>
      </c>
    </row>
    <row r="1662" spans="1:6" x14ac:dyDescent="0.25">
      <c r="A1662" s="4" t="s">
        <v>83</v>
      </c>
      <c r="B1662" s="4" t="s">
        <v>3</v>
      </c>
      <c r="C1662" s="4" t="s">
        <v>21</v>
      </c>
      <c r="D1662" s="4">
        <v>2009</v>
      </c>
      <c r="E1662" s="4">
        <v>0</v>
      </c>
      <c r="F1662" s="4" t="s">
        <v>29</v>
      </c>
    </row>
    <row r="1663" spans="1:6" x14ac:dyDescent="0.25">
      <c r="A1663" s="4" t="s">
        <v>83</v>
      </c>
      <c r="B1663" s="4" t="s">
        <v>3</v>
      </c>
      <c r="C1663" s="4" t="s">
        <v>21</v>
      </c>
      <c r="D1663" s="4">
        <v>2010</v>
      </c>
      <c r="E1663" s="4">
        <v>0</v>
      </c>
      <c r="F1663" s="4" t="s">
        <v>29</v>
      </c>
    </row>
    <row r="1664" spans="1:6" x14ac:dyDescent="0.25">
      <c r="A1664" s="4" t="s">
        <v>83</v>
      </c>
      <c r="B1664" s="4" t="s">
        <v>3</v>
      </c>
      <c r="C1664" s="4" t="s">
        <v>21</v>
      </c>
      <c r="D1664" s="4">
        <v>2011</v>
      </c>
      <c r="E1664" s="4">
        <v>0</v>
      </c>
      <c r="F1664" s="4" t="s">
        <v>29</v>
      </c>
    </row>
    <row r="1665" spans="1:6" x14ac:dyDescent="0.25">
      <c r="A1665" s="4" t="s">
        <v>83</v>
      </c>
      <c r="B1665" s="4" t="s">
        <v>3</v>
      </c>
      <c r="C1665" s="4" t="s">
        <v>21</v>
      </c>
      <c r="D1665" s="4">
        <v>2012</v>
      </c>
      <c r="E1665" s="4">
        <v>0</v>
      </c>
      <c r="F1665" s="4" t="s">
        <v>29</v>
      </c>
    </row>
    <row r="1666" spans="1:6" x14ac:dyDescent="0.25">
      <c r="A1666" s="4" t="s">
        <v>83</v>
      </c>
      <c r="B1666" s="4" t="s">
        <v>3</v>
      </c>
      <c r="C1666" s="4" t="s">
        <v>21</v>
      </c>
      <c r="D1666" s="4">
        <v>2013</v>
      </c>
      <c r="E1666" s="4">
        <v>0</v>
      </c>
      <c r="F1666" s="4" t="s">
        <v>29</v>
      </c>
    </row>
    <row r="1667" spans="1:6" x14ac:dyDescent="0.25">
      <c r="A1667" s="4" t="s">
        <v>83</v>
      </c>
      <c r="B1667" s="4" t="s">
        <v>3</v>
      </c>
      <c r="C1667" s="4" t="s">
        <v>21</v>
      </c>
      <c r="D1667" s="4">
        <v>2014</v>
      </c>
      <c r="E1667" s="4">
        <v>0</v>
      </c>
      <c r="F1667" s="4" t="s">
        <v>29</v>
      </c>
    </row>
    <row r="1668" spans="1:6" x14ac:dyDescent="0.25">
      <c r="A1668" s="4" t="s">
        <v>83</v>
      </c>
      <c r="B1668" s="4" t="s">
        <v>3</v>
      </c>
      <c r="C1668" s="4" t="s">
        <v>21</v>
      </c>
      <c r="D1668" s="4">
        <v>2015</v>
      </c>
      <c r="E1668" s="4">
        <v>0</v>
      </c>
      <c r="F1668" s="4" t="s">
        <v>29</v>
      </c>
    </row>
    <row r="1669" spans="1:6" x14ac:dyDescent="0.25">
      <c r="A1669" s="4" t="s">
        <v>83</v>
      </c>
      <c r="B1669" s="4" t="s">
        <v>3</v>
      </c>
      <c r="C1669" s="4" t="s">
        <v>21</v>
      </c>
      <c r="D1669" s="4">
        <v>2016</v>
      </c>
      <c r="E1669" s="4">
        <v>0</v>
      </c>
      <c r="F1669" s="4" t="s">
        <v>29</v>
      </c>
    </row>
    <row r="1670" spans="1:6" x14ac:dyDescent="0.25">
      <c r="A1670" s="4" t="s">
        <v>83</v>
      </c>
      <c r="B1670" s="4" t="s">
        <v>3</v>
      </c>
      <c r="C1670" s="4" t="s">
        <v>21</v>
      </c>
      <c r="D1670" s="4">
        <v>2017</v>
      </c>
      <c r="E1670" s="4">
        <v>0</v>
      </c>
      <c r="F1670" s="4" t="s">
        <v>29</v>
      </c>
    </row>
    <row r="1671" spans="1:6" x14ac:dyDescent="0.25">
      <c r="A1671" s="4" t="s">
        <v>83</v>
      </c>
      <c r="B1671" s="4" t="s">
        <v>3</v>
      </c>
      <c r="C1671" s="4" t="s">
        <v>21</v>
      </c>
      <c r="D1671" s="4">
        <v>2018</v>
      </c>
      <c r="E1671" s="4">
        <v>0</v>
      </c>
      <c r="F1671" s="4" t="s">
        <v>29</v>
      </c>
    </row>
    <row r="1672" spans="1:6" x14ac:dyDescent="0.25">
      <c r="A1672" s="4" t="s">
        <v>83</v>
      </c>
      <c r="B1672" s="4" t="s">
        <v>3</v>
      </c>
      <c r="C1672" s="4" t="s">
        <v>21</v>
      </c>
      <c r="D1672" s="4">
        <v>2019</v>
      </c>
      <c r="E1672" s="4">
        <v>0</v>
      </c>
      <c r="F1672" s="4" t="s">
        <v>29</v>
      </c>
    </row>
    <row r="1673" spans="1:6" x14ac:dyDescent="0.25">
      <c r="A1673" s="4" t="s">
        <v>83</v>
      </c>
      <c r="B1673" s="4" t="s">
        <v>3</v>
      </c>
      <c r="C1673" s="4" t="s">
        <v>21</v>
      </c>
      <c r="D1673" s="4">
        <v>2020</v>
      </c>
      <c r="E1673" s="4">
        <v>0</v>
      </c>
      <c r="F1673" s="4" t="s">
        <v>29</v>
      </c>
    </row>
    <row r="1674" spans="1:6" x14ac:dyDescent="0.25">
      <c r="A1674" s="4" t="s">
        <v>83</v>
      </c>
      <c r="B1674" s="4" t="s">
        <v>3</v>
      </c>
      <c r="C1674" s="4" t="s">
        <v>21</v>
      </c>
      <c r="D1674" s="4">
        <v>2021</v>
      </c>
      <c r="E1674" s="4">
        <v>0</v>
      </c>
      <c r="F1674" s="4" t="s">
        <v>29</v>
      </c>
    </row>
    <row r="1675" spans="1:6" x14ac:dyDescent="0.25">
      <c r="A1675" s="4" t="s">
        <v>83</v>
      </c>
      <c r="B1675" s="4" t="s">
        <v>3</v>
      </c>
      <c r="C1675" s="4" t="s">
        <v>21</v>
      </c>
      <c r="D1675" s="4">
        <v>2022</v>
      </c>
      <c r="E1675" s="4">
        <v>0</v>
      </c>
      <c r="F1675" s="4" t="s">
        <v>29</v>
      </c>
    </row>
    <row r="1676" spans="1:6" x14ac:dyDescent="0.25">
      <c r="A1676" s="4" t="s">
        <v>83</v>
      </c>
      <c r="B1676" s="4" t="s">
        <v>3</v>
      </c>
      <c r="C1676" s="4" t="s">
        <v>21</v>
      </c>
      <c r="D1676" s="4">
        <v>2023</v>
      </c>
      <c r="E1676" s="4">
        <v>0</v>
      </c>
      <c r="F1676" s="4" t="s">
        <v>29</v>
      </c>
    </row>
    <row r="1677" spans="1:6" x14ac:dyDescent="0.25">
      <c r="A1677" s="4" t="s">
        <v>83</v>
      </c>
      <c r="B1677" s="4" t="s">
        <v>3</v>
      </c>
      <c r="C1677" s="4" t="s">
        <v>21</v>
      </c>
      <c r="D1677" s="4">
        <v>2024</v>
      </c>
      <c r="E1677" s="4">
        <v>0</v>
      </c>
      <c r="F1677" s="4" t="s">
        <v>29</v>
      </c>
    </row>
    <row r="1678" spans="1:6" x14ac:dyDescent="0.25">
      <c r="A1678" s="4" t="s">
        <v>83</v>
      </c>
      <c r="B1678" s="4" t="s">
        <v>3</v>
      </c>
      <c r="C1678" s="4" t="s">
        <v>21</v>
      </c>
      <c r="D1678" s="4">
        <v>2025</v>
      </c>
      <c r="E1678" s="4">
        <v>0</v>
      </c>
      <c r="F1678" s="4" t="s">
        <v>29</v>
      </c>
    </row>
    <row r="1679" spans="1:6" x14ac:dyDescent="0.25">
      <c r="A1679" s="4" t="s">
        <v>83</v>
      </c>
      <c r="B1679" s="4" t="s">
        <v>3</v>
      </c>
      <c r="C1679" s="4" t="s">
        <v>21</v>
      </c>
      <c r="D1679" s="4">
        <v>2026</v>
      </c>
      <c r="E1679" s="4">
        <v>0</v>
      </c>
      <c r="F1679" s="4" t="s">
        <v>29</v>
      </c>
    </row>
    <row r="1680" spans="1:6" x14ac:dyDescent="0.25">
      <c r="A1680" s="4" t="s">
        <v>83</v>
      </c>
      <c r="B1680" s="4" t="s">
        <v>3</v>
      </c>
      <c r="C1680" s="4" t="s">
        <v>21</v>
      </c>
      <c r="D1680" s="4">
        <v>2027</v>
      </c>
      <c r="E1680" s="4">
        <v>0</v>
      </c>
      <c r="F1680" s="4" t="s">
        <v>29</v>
      </c>
    </row>
    <row r="1681" spans="1:6" x14ac:dyDescent="0.25">
      <c r="A1681" s="4" t="s">
        <v>83</v>
      </c>
      <c r="B1681" s="4" t="s">
        <v>3</v>
      </c>
      <c r="C1681" s="4" t="s">
        <v>21</v>
      </c>
      <c r="D1681" s="4">
        <v>2028</v>
      </c>
      <c r="E1681" s="4">
        <v>0</v>
      </c>
      <c r="F1681" s="4" t="s">
        <v>29</v>
      </c>
    </row>
    <row r="1682" spans="1:6" x14ac:dyDescent="0.25">
      <c r="A1682" s="4" t="s">
        <v>83</v>
      </c>
      <c r="B1682" s="4" t="s">
        <v>3</v>
      </c>
      <c r="C1682" s="4" t="s">
        <v>21</v>
      </c>
      <c r="D1682" s="4">
        <v>2029</v>
      </c>
      <c r="E1682" s="4">
        <v>0</v>
      </c>
      <c r="F1682" s="4" t="s">
        <v>29</v>
      </c>
    </row>
    <row r="1683" spans="1:6" x14ac:dyDescent="0.25">
      <c r="A1683" s="4" t="s">
        <v>83</v>
      </c>
      <c r="B1683" s="4" t="s">
        <v>3</v>
      </c>
      <c r="C1683" s="4" t="s">
        <v>21</v>
      </c>
      <c r="D1683" s="4">
        <v>2030</v>
      </c>
      <c r="E1683" s="4">
        <v>0</v>
      </c>
      <c r="F1683" s="4" t="s">
        <v>29</v>
      </c>
    </row>
    <row r="1684" spans="1:6" x14ac:dyDescent="0.25">
      <c r="A1684" s="4" t="s">
        <v>83</v>
      </c>
      <c r="B1684" s="4" t="s">
        <v>3</v>
      </c>
      <c r="C1684" s="4" t="s">
        <v>21</v>
      </c>
      <c r="D1684" s="4">
        <v>2031</v>
      </c>
      <c r="E1684" s="4">
        <v>0</v>
      </c>
      <c r="F1684" s="4" t="s">
        <v>29</v>
      </c>
    </row>
    <row r="1685" spans="1:6" x14ac:dyDescent="0.25">
      <c r="A1685" s="4" t="s">
        <v>83</v>
      </c>
      <c r="B1685" s="4" t="s">
        <v>3</v>
      </c>
      <c r="C1685" s="4" t="s">
        <v>21</v>
      </c>
      <c r="D1685" s="4">
        <v>2032</v>
      </c>
      <c r="E1685" s="4">
        <v>0</v>
      </c>
      <c r="F1685" s="4" t="s">
        <v>29</v>
      </c>
    </row>
    <row r="1686" spans="1:6" x14ac:dyDescent="0.25">
      <c r="A1686" s="4" t="s">
        <v>83</v>
      </c>
      <c r="B1686" s="4" t="s">
        <v>3</v>
      </c>
      <c r="C1686" s="4" t="s">
        <v>21</v>
      </c>
      <c r="D1686" s="4">
        <v>2033</v>
      </c>
      <c r="E1686" s="4">
        <v>0</v>
      </c>
      <c r="F1686" s="4" t="s">
        <v>29</v>
      </c>
    </row>
    <row r="1687" spans="1:6" x14ac:dyDescent="0.25">
      <c r="A1687" s="4" t="s">
        <v>83</v>
      </c>
      <c r="B1687" s="4" t="s">
        <v>3</v>
      </c>
      <c r="C1687" s="4" t="s">
        <v>21</v>
      </c>
      <c r="D1687" s="4">
        <v>2034</v>
      </c>
      <c r="E1687" s="4">
        <v>0</v>
      </c>
      <c r="F1687" s="4" t="s">
        <v>29</v>
      </c>
    </row>
    <row r="1688" spans="1:6" x14ac:dyDescent="0.25">
      <c r="A1688" s="4" t="s">
        <v>83</v>
      </c>
      <c r="B1688" s="4" t="s">
        <v>3</v>
      </c>
      <c r="C1688" s="4" t="s">
        <v>21</v>
      </c>
      <c r="D1688" s="4">
        <v>2035</v>
      </c>
      <c r="E1688" s="4">
        <v>0</v>
      </c>
      <c r="F1688" s="4" t="s">
        <v>29</v>
      </c>
    </row>
    <row r="1689" spans="1:6" x14ac:dyDescent="0.25">
      <c r="A1689" s="4" t="s">
        <v>83</v>
      </c>
      <c r="B1689" s="4" t="s">
        <v>3</v>
      </c>
      <c r="C1689" s="4" t="s">
        <v>21</v>
      </c>
      <c r="D1689" s="4">
        <v>2036</v>
      </c>
      <c r="E1689" s="4">
        <v>0</v>
      </c>
      <c r="F1689" s="4" t="s">
        <v>29</v>
      </c>
    </row>
    <row r="1690" spans="1:6" x14ac:dyDescent="0.25">
      <c r="A1690" s="4" t="s">
        <v>83</v>
      </c>
      <c r="B1690" s="4" t="s">
        <v>3</v>
      </c>
      <c r="C1690" s="4" t="s">
        <v>21</v>
      </c>
      <c r="D1690" s="4">
        <v>2037</v>
      </c>
      <c r="E1690" s="4">
        <v>0</v>
      </c>
      <c r="F1690" s="4" t="s">
        <v>29</v>
      </c>
    </row>
    <row r="1691" spans="1:6" x14ac:dyDescent="0.25">
      <c r="A1691" s="4" t="s">
        <v>83</v>
      </c>
      <c r="B1691" s="4" t="s">
        <v>3</v>
      </c>
      <c r="C1691" s="4" t="s">
        <v>21</v>
      </c>
      <c r="D1691" s="4">
        <v>2038</v>
      </c>
      <c r="E1691" s="4">
        <v>0</v>
      </c>
      <c r="F1691" s="4" t="s">
        <v>29</v>
      </c>
    </row>
    <row r="1692" spans="1:6" x14ac:dyDescent="0.25">
      <c r="A1692" s="4" t="s">
        <v>83</v>
      </c>
      <c r="B1692" s="4" t="s">
        <v>3</v>
      </c>
      <c r="C1692" s="4" t="s">
        <v>21</v>
      </c>
      <c r="D1692" s="4">
        <v>2039</v>
      </c>
      <c r="E1692" s="4">
        <v>0</v>
      </c>
      <c r="F1692" s="4" t="s">
        <v>29</v>
      </c>
    </row>
    <row r="1693" spans="1:6" x14ac:dyDescent="0.25">
      <c r="A1693" s="4" t="s">
        <v>83</v>
      </c>
      <c r="B1693" s="4" t="s">
        <v>3</v>
      </c>
      <c r="C1693" s="4" t="s">
        <v>21</v>
      </c>
      <c r="D1693" s="4">
        <v>2040</v>
      </c>
      <c r="E1693" s="4">
        <v>0</v>
      </c>
      <c r="F1693" s="4" t="s">
        <v>29</v>
      </c>
    </row>
    <row r="1694" spans="1:6" x14ac:dyDescent="0.25">
      <c r="A1694" s="4" t="s">
        <v>83</v>
      </c>
      <c r="B1694" s="4" t="s">
        <v>4</v>
      </c>
      <c r="C1694" s="4" t="s">
        <v>21</v>
      </c>
      <c r="D1694" s="4">
        <v>2005</v>
      </c>
      <c r="E1694" s="4">
        <v>0</v>
      </c>
      <c r="F1694" s="4" t="s">
        <v>29</v>
      </c>
    </row>
    <row r="1695" spans="1:6" x14ac:dyDescent="0.25">
      <c r="A1695" s="4" t="s">
        <v>83</v>
      </c>
      <c r="B1695" s="4" t="s">
        <v>4</v>
      </c>
      <c r="C1695" s="4" t="s">
        <v>21</v>
      </c>
      <c r="D1695" s="4">
        <v>2006</v>
      </c>
      <c r="E1695" s="4">
        <v>0</v>
      </c>
      <c r="F1695" s="4" t="s">
        <v>29</v>
      </c>
    </row>
    <row r="1696" spans="1:6" x14ac:dyDescent="0.25">
      <c r="A1696" s="4" t="s">
        <v>83</v>
      </c>
      <c r="B1696" s="4" t="s">
        <v>4</v>
      </c>
      <c r="C1696" s="4" t="s">
        <v>21</v>
      </c>
      <c r="D1696" s="4">
        <v>2007</v>
      </c>
      <c r="E1696" s="4">
        <v>0</v>
      </c>
      <c r="F1696" s="4" t="s">
        <v>29</v>
      </c>
    </row>
    <row r="1697" spans="1:6" x14ac:dyDescent="0.25">
      <c r="A1697" s="4" t="s">
        <v>83</v>
      </c>
      <c r="B1697" s="4" t="s">
        <v>4</v>
      </c>
      <c r="C1697" s="4" t="s">
        <v>21</v>
      </c>
      <c r="D1697" s="4">
        <v>2008</v>
      </c>
      <c r="E1697" s="4">
        <v>0</v>
      </c>
      <c r="F1697" s="4" t="s">
        <v>29</v>
      </c>
    </row>
    <row r="1698" spans="1:6" x14ac:dyDescent="0.25">
      <c r="A1698" s="4" t="s">
        <v>83</v>
      </c>
      <c r="B1698" s="4" t="s">
        <v>4</v>
      </c>
      <c r="C1698" s="4" t="s">
        <v>21</v>
      </c>
      <c r="D1698" s="4">
        <v>2009</v>
      </c>
      <c r="E1698" s="4">
        <v>0</v>
      </c>
      <c r="F1698" s="4" t="s">
        <v>29</v>
      </c>
    </row>
    <row r="1699" spans="1:6" x14ac:dyDescent="0.25">
      <c r="A1699" s="4" t="s">
        <v>83</v>
      </c>
      <c r="B1699" s="4" t="s">
        <v>4</v>
      </c>
      <c r="C1699" s="4" t="s">
        <v>21</v>
      </c>
      <c r="D1699" s="4">
        <v>2010</v>
      </c>
      <c r="E1699" s="4">
        <v>0</v>
      </c>
      <c r="F1699" s="4" t="s">
        <v>29</v>
      </c>
    </row>
    <row r="1700" spans="1:6" x14ac:dyDescent="0.25">
      <c r="A1700" s="4" t="s">
        <v>83</v>
      </c>
      <c r="B1700" s="4" t="s">
        <v>4</v>
      </c>
      <c r="C1700" s="4" t="s">
        <v>21</v>
      </c>
      <c r="D1700" s="4">
        <v>2011</v>
      </c>
      <c r="E1700" s="4">
        <v>0</v>
      </c>
      <c r="F1700" s="4" t="s">
        <v>29</v>
      </c>
    </row>
    <row r="1701" spans="1:6" x14ac:dyDescent="0.25">
      <c r="A1701" s="4" t="s">
        <v>83</v>
      </c>
      <c r="B1701" s="4" t="s">
        <v>4</v>
      </c>
      <c r="C1701" s="4" t="s">
        <v>21</v>
      </c>
      <c r="D1701" s="4">
        <v>2012</v>
      </c>
      <c r="E1701" s="4">
        <v>0</v>
      </c>
      <c r="F1701" s="4" t="s">
        <v>29</v>
      </c>
    </row>
    <row r="1702" spans="1:6" x14ac:dyDescent="0.25">
      <c r="A1702" s="4" t="s">
        <v>83</v>
      </c>
      <c r="B1702" s="4" t="s">
        <v>4</v>
      </c>
      <c r="C1702" s="4" t="s">
        <v>21</v>
      </c>
      <c r="D1702" s="4">
        <v>2013</v>
      </c>
      <c r="E1702" s="4">
        <v>0</v>
      </c>
      <c r="F1702" s="4" t="s">
        <v>29</v>
      </c>
    </row>
    <row r="1703" spans="1:6" x14ac:dyDescent="0.25">
      <c r="A1703" s="4" t="s">
        <v>83</v>
      </c>
      <c r="B1703" s="4" t="s">
        <v>4</v>
      </c>
      <c r="C1703" s="4" t="s">
        <v>21</v>
      </c>
      <c r="D1703" s="4">
        <v>2014</v>
      </c>
      <c r="E1703" s="4">
        <v>0</v>
      </c>
      <c r="F1703" s="4" t="s">
        <v>29</v>
      </c>
    </row>
    <row r="1704" spans="1:6" x14ac:dyDescent="0.25">
      <c r="A1704" s="4" t="s">
        <v>83</v>
      </c>
      <c r="B1704" s="4" t="s">
        <v>4</v>
      </c>
      <c r="C1704" s="4" t="s">
        <v>21</v>
      </c>
      <c r="D1704" s="4">
        <v>2015</v>
      </c>
      <c r="E1704" s="4">
        <v>0</v>
      </c>
      <c r="F1704" s="4" t="s">
        <v>29</v>
      </c>
    </row>
    <row r="1705" spans="1:6" x14ac:dyDescent="0.25">
      <c r="A1705" s="4" t="s">
        <v>83</v>
      </c>
      <c r="B1705" s="4" t="s">
        <v>4</v>
      </c>
      <c r="C1705" s="4" t="s">
        <v>21</v>
      </c>
      <c r="D1705" s="4">
        <v>2016</v>
      </c>
      <c r="E1705" s="4">
        <v>0</v>
      </c>
      <c r="F1705" s="4" t="s">
        <v>29</v>
      </c>
    </row>
    <row r="1706" spans="1:6" x14ac:dyDescent="0.25">
      <c r="A1706" s="4" t="s">
        <v>83</v>
      </c>
      <c r="B1706" s="4" t="s">
        <v>4</v>
      </c>
      <c r="C1706" s="4" t="s">
        <v>21</v>
      </c>
      <c r="D1706" s="4">
        <v>2017</v>
      </c>
      <c r="E1706" s="4">
        <v>0</v>
      </c>
      <c r="F1706" s="4" t="s">
        <v>29</v>
      </c>
    </row>
    <row r="1707" spans="1:6" x14ac:dyDescent="0.25">
      <c r="A1707" s="4" t="s">
        <v>83</v>
      </c>
      <c r="B1707" s="4" t="s">
        <v>4</v>
      </c>
      <c r="C1707" s="4" t="s">
        <v>21</v>
      </c>
      <c r="D1707" s="4">
        <v>2018</v>
      </c>
      <c r="E1707" s="4">
        <v>0</v>
      </c>
      <c r="F1707" s="4" t="s">
        <v>29</v>
      </c>
    </row>
    <row r="1708" spans="1:6" x14ac:dyDescent="0.25">
      <c r="A1708" s="4" t="s">
        <v>83</v>
      </c>
      <c r="B1708" s="4" t="s">
        <v>4</v>
      </c>
      <c r="C1708" s="4" t="s">
        <v>21</v>
      </c>
      <c r="D1708" s="4">
        <v>2019</v>
      </c>
      <c r="E1708" s="4">
        <v>0</v>
      </c>
      <c r="F1708" s="4" t="s">
        <v>29</v>
      </c>
    </row>
    <row r="1709" spans="1:6" x14ac:dyDescent="0.25">
      <c r="A1709" s="4" t="s">
        <v>83</v>
      </c>
      <c r="B1709" s="4" t="s">
        <v>4</v>
      </c>
      <c r="C1709" s="4" t="s">
        <v>21</v>
      </c>
      <c r="D1709" s="4">
        <v>2020</v>
      </c>
      <c r="E1709" s="4">
        <v>0</v>
      </c>
      <c r="F1709" s="4" t="s">
        <v>29</v>
      </c>
    </row>
    <row r="1710" spans="1:6" x14ac:dyDescent="0.25">
      <c r="A1710" s="4" t="s">
        <v>83</v>
      </c>
      <c r="B1710" s="4" t="s">
        <v>4</v>
      </c>
      <c r="C1710" s="4" t="s">
        <v>21</v>
      </c>
      <c r="D1710" s="4">
        <v>2021</v>
      </c>
      <c r="E1710" s="4">
        <v>0</v>
      </c>
      <c r="F1710" s="4" t="s">
        <v>29</v>
      </c>
    </row>
    <row r="1711" spans="1:6" x14ac:dyDescent="0.25">
      <c r="A1711" s="4" t="s">
        <v>83</v>
      </c>
      <c r="B1711" s="4" t="s">
        <v>4</v>
      </c>
      <c r="C1711" s="4" t="s">
        <v>21</v>
      </c>
      <c r="D1711" s="4">
        <v>2022</v>
      </c>
      <c r="E1711" s="4">
        <v>0</v>
      </c>
      <c r="F1711" s="4" t="s">
        <v>29</v>
      </c>
    </row>
    <row r="1712" spans="1:6" x14ac:dyDescent="0.25">
      <c r="A1712" s="4" t="s">
        <v>83</v>
      </c>
      <c r="B1712" s="4" t="s">
        <v>4</v>
      </c>
      <c r="C1712" s="4" t="s">
        <v>21</v>
      </c>
      <c r="D1712" s="4">
        <v>2023</v>
      </c>
      <c r="E1712" s="4">
        <v>0</v>
      </c>
      <c r="F1712" s="4" t="s">
        <v>29</v>
      </c>
    </row>
    <row r="1713" spans="1:6" x14ac:dyDescent="0.25">
      <c r="A1713" s="4" t="s">
        <v>83</v>
      </c>
      <c r="B1713" s="4" t="s">
        <v>4</v>
      </c>
      <c r="C1713" s="4" t="s">
        <v>21</v>
      </c>
      <c r="D1713" s="4">
        <v>2024</v>
      </c>
      <c r="E1713" s="4">
        <v>0</v>
      </c>
      <c r="F1713" s="4" t="s">
        <v>29</v>
      </c>
    </row>
    <row r="1714" spans="1:6" x14ac:dyDescent="0.25">
      <c r="A1714" s="4" t="s">
        <v>83</v>
      </c>
      <c r="B1714" s="4" t="s">
        <v>4</v>
      </c>
      <c r="C1714" s="4" t="s">
        <v>21</v>
      </c>
      <c r="D1714" s="4">
        <v>2025</v>
      </c>
      <c r="E1714" s="4">
        <v>0</v>
      </c>
      <c r="F1714" s="4" t="s">
        <v>29</v>
      </c>
    </row>
    <row r="1715" spans="1:6" x14ac:dyDescent="0.25">
      <c r="A1715" s="4" t="s">
        <v>83</v>
      </c>
      <c r="B1715" s="4" t="s">
        <v>4</v>
      </c>
      <c r="C1715" s="4" t="s">
        <v>21</v>
      </c>
      <c r="D1715" s="4">
        <v>2026</v>
      </c>
      <c r="E1715" s="4">
        <v>0</v>
      </c>
      <c r="F1715" s="4" t="s">
        <v>29</v>
      </c>
    </row>
    <row r="1716" spans="1:6" x14ac:dyDescent="0.25">
      <c r="A1716" s="4" t="s">
        <v>83</v>
      </c>
      <c r="B1716" s="4" t="s">
        <v>4</v>
      </c>
      <c r="C1716" s="4" t="s">
        <v>21</v>
      </c>
      <c r="D1716" s="4">
        <v>2027</v>
      </c>
      <c r="E1716" s="4">
        <v>0</v>
      </c>
      <c r="F1716" s="4" t="s">
        <v>29</v>
      </c>
    </row>
    <row r="1717" spans="1:6" x14ac:dyDescent="0.25">
      <c r="A1717" s="4" t="s">
        <v>83</v>
      </c>
      <c r="B1717" s="4" t="s">
        <v>4</v>
      </c>
      <c r="C1717" s="4" t="s">
        <v>21</v>
      </c>
      <c r="D1717" s="4">
        <v>2028</v>
      </c>
      <c r="E1717" s="4">
        <v>0</v>
      </c>
      <c r="F1717" s="4" t="s">
        <v>29</v>
      </c>
    </row>
    <row r="1718" spans="1:6" x14ac:dyDescent="0.25">
      <c r="A1718" s="4" t="s">
        <v>83</v>
      </c>
      <c r="B1718" s="4" t="s">
        <v>4</v>
      </c>
      <c r="C1718" s="4" t="s">
        <v>21</v>
      </c>
      <c r="D1718" s="4">
        <v>2029</v>
      </c>
      <c r="E1718" s="4">
        <v>0</v>
      </c>
      <c r="F1718" s="4" t="s">
        <v>29</v>
      </c>
    </row>
    <row r="1719" spans="1:6" x14ac:dyDescent="0.25">
      <c r="A1719" s="4" t="s">
        <v>83</v>
      </c>
      <c r="B1719" s="4" t="s">
        <v>4</v>
      </c>
      <c r="C1719" s="4" t="s">
        <v>21</v>
      </c>
      <c r="D1719" s="4">
        <v>2030</v>
      </c>
      <c r="E1719" s="4">
        <v>0</v>
      </c>
      <c r="F1719" s="4" t="s">
        <v>29</v>
      </c>
    </row>
    <row r="1720" spans="1:6" x14ac:dyDescent="0.25">
      <c r="A1720" s="4" t="s">
        <v>83</v>
      </c>
      <c r="B1720" s="4" t="s">
        <v>4</v>
      </c>
      <c r="C1720" s="4" t="s">
        <v>21</v>
      </c>
      <c r="D1720" s="4">
        <v>2031</v>
      </c>
      <c r="E1720" s="4">
        <v>0</v>
      </c>
      <c r="F1720" s="4" t="s">
        <v>29</v>
      </c>
    </row>
    <row r="1721" spans="1:6" x14ac:dyDescent="0.25">
      <c r="A1721" s="4" t="s">
        <v>83</v>
      </c>
      <c r="B1721" s="4" t="s">
        <v>4</v>
      </c>
      <c r="C1721" s="4" t="s">
        <v>21</v>
      </c>
      <c r="D1721" s="4">
        <v>2032</v>
      </c>
      <c r="E1721" s="4">
        <v>0</v>
      </c>
      <c r="F1721" s="4" t="s">
        <v>29</v>
      </c>
    </row>
    <row r="1722" spans="1:6" x14ac:dyDescent="0.25">
      <c r="A1722" s="4" t="s">
        <v>83</v>
      </c>
      <c r="B1722" s="4" t="s">
        <v>4</v>
      </c>
      <c r="C1722" s="4" t="s">
        <v>21</v>
      </c>
      <c r="D1722" s="4">
        <v>2033</v>
      </c>
      <c r="E1722" s="4">
        <v>0</v>
      </c>
      <c r="F1722" s="4" t="s">
        <v>29</v>
      </c>
    </row>
    <row r="1723" spans="1:6" x14ac:dyDescent="0.25">
      <c r="A1723" s="4" t="s">
        <v>83</v>
      </c>
      <c r="B1723" s="4" t="s">
        <v>4</v>
      </c>
      <c r="C1723" s="4" t="s">
        <v>21</v>
      </c>
      <c r="D1723" s="4">
        <v>2034</v>
      </c>
      <c r="E1723" s="4">
        <v>0</v>
      </c>
      <c r="F1723" s="4" t="s">
        <v>29</v>
      </c>
    </row>
    <row r="1724" spans="1:6" x14ac:dyDescent="0.25">
      <c r="A1724" s="4" t="s">
        <v>83</v>
      </c>
      <c r="B1724" s="4" t="s">
        <v>4</v>
      </c>
      <c r="C1724" s="4" t="s">
        <v>21</v>
      </c>
      <c r="D1724" s="4">
        <v>2035</v>
      </c>
      <c r="E1724" s="4">
        <v>0</v>
      </c>
      <c r="F1724" s="4" t="s">
        <v>29</v>
      </c>
    </row>
    <row r="1725" spans="1:6" x14ac:dyDescent="0.25">
      <c r="A1725" s="4" t="s">
        <v>83</v>
      </c>
      <c r="B1725" s="4" t="s">
        <v>4</v>
      </c>
      <c r="C1725" s="4" t="s">
        <v>21</v>
      </c>
      <c r="D1725" s="4">
        <v>2036</v>
      </c>
      <c r="E1725" s="4">
        <v>0</v>
      </c>
      <c r="F1725" s="4" t="s">
        <v>29</v>
      </c>
    </row>
    <row r="1726" spans="1:6" x14ac:dyDescent="0.25">
      <c r="A1726" s="4" t="s">
        <v>83</v>
      </c>
      <c r="B1726" s="4" t="s">
        <v>4</v>
      </c>
      <c r="C1726" s="4" t="s">
        <v>21</v>
      </c>
      <c r="D1726" s="4">
        <v>2037</v>
      </c>
      <c r="E1726" s="4">
        <v>0</v>
      </c>
      <c r="F1726" s="4" t="s">
        <v>29</v>
      </c>
    </row>
    <row r="1727" spans="1:6" x14ac:dyDescent="0.25">
      <c r="A1727" s="4" t="s">
        <v>83</v>
      </c>
      <c r="B1727" s="4" t="s">
        <v>4</v>
      </c>
      <c r="C1727" s="4" t="s">
        <v>21</v>
      </c>
      <c r="D1727" s="4">
        <v>2038</v>
      </c>
      <c r="E1727" s="4">
        <v>0</v>
      </c>
      <c r="F1727" s="4" t="s">
        <v>29</v>
      </c>
    </row>
    <row r="1728" spans="1:6" x14ac:dyDescent="0.25">
      <c r="A1728" s="4" t="s">
        <v>83</v>
      </c>
      <c r="B1728" s="4" t="s">
        <v>4</v>
      </c>
      <c r="C1728" s="4" t="s">
        <v>21</v>
      </c>
      <c r="D1728" s="4">
        <v>2039</v>
      </c>
      <c r="E1728" s="4">
        <v>0</v>
      </c>
      <c r="F1728" s="4" t="s">
        <v>29</v>
      </c>
    </row>
    <row r="1729" spans="1:6" x14ac:dyDescent="0.25">
      <c r="A1729" s="4" t="s">
        <v>83</v>
      </c>
      <c r="B1729" s="4" t="s">
        <v>4</v>
      </c>
      <c r="C1729" s="4" t="s">
        <v>21</v>
      </c>
      <c r="D1729" s="4">
        <v>2040</v>
      </c>
      <c r="E1729" s="4">
        <v>0</v>
      </c>
      <c r="F1729" s="4" t="s">
        <v>29</v>
      </c>
    </row>
    <row r="1730" spans="1:6" x14ac:dyDescent="0.25">
      <c r="A1730" s="4" t="s">
        <v>83</v>
      </c>
      <c r="B1730" s="4" t="s">
        <v>5</v>
      </c>
      <c r="C1730" s="4" t="s">
        <v>21</v>
      </c>
      <c r="D1730" s="4">
        <v>2005</v>
      </c>
      <c r="E1730" s="4">
        <v>0</v>
      </c>
      <c r="F1730" s="4" t="s">
        <v>29</v>
      </c>
    </row>
    <row r="1731" spans="1:6" x14ac:dyDescent="0.25">
      <c r="A1731" s="4" t="s">
        <v>83</v>
      </c>
      <c r="B1731" s="4" t="s">
        <v>5</v>
      </c>
      <c r="C1731" s="4" t="s">
        <v>21</v>
      </c>
      <c r="D1731" s="4">
        <v>2006</v>
      </c>
      <c r="E1731" s="4">
        <v>0</v>
      </c>
      <c r="F1731" s="4" t="s">
        <v>29</v>
      </c>
    </row>
    <row r="1732" spans="1:6" x14ac:dyDescent="0.25">
      <c r="A1732" s="4" t="s">
        <v>83</v>
      </c>
      <c r="B1732" s="4" t="s">
        <v>5</v>
      </c>
      <c r="C1732" s="4" t="s">
        <v>21</v>
      </c>
      <c r="D1732" s="4">
        <v>2007</v>
      </c>
      <c r="E1732" s="4">
        <v>0</v>
      </c>
      <c r="F1732" s="4" t="s">
        <v>29</v>
      </c>
    </row>
    <row r="1733" spans="1:6" x14ac:dyDescent="0.25">
      <c r="A1733" s="4" t="s">
        <v>83</v>
      </c>
      <c r="B1733" s="4" t="s">
        <v>5</v>
      </c>
      <c r="C1733" s="4" t="s">
        <v>21</v>
      </c>
      <c r="D1733" s="4">
        <v>2008</v>
      </c>
      <c r="E1733" s="4">
        <v>0</v>
      </c>
      <c r="F1733" s="4" t="s">
        <v>29</v>
      </c>
    </row>
    <row r="1734" spans="1:6" x14ac:dyDescent="0.25">
      <c r="A1734" s="4" t="s">
        <v>83</v>
      </c>
      <c r="B1734" s="4" t="s">
        <v>5</v>
      </c>
      <c r="C1734" s="4" t="s">
        <v>21</v>
      </c>
      <c r="D1734" s="4">
        <v>2009</v>
      </c>
      <c r="E1734" s="4">
        <v>0</v>
      </c>
      <c r="F1734" s="4" t="s">
        <v>29</v>
      </c>
    </row>
    <row r="1735" spans="1:6" x14ac:dyDescent="0.25">
      <c r="A1735" s="4" t="s">
        <v>83</v>
      </c>
      <c r="B1735" s="4" t="s">
        <v>5</v>
      </c>
      <c r="C1735" s="4" t="s">
        <v>21</v>
      </c>
      <c r="D1735" s="4">
        <v>2010</v>
      </c>
      <c r="E1735" s="4">
        <v>0</v>
      </c>
      <c r="F1735" s="4" t="s">
        <v>29</v>
      </c>
    </row>
    <row r="1736" spans="1:6" x14ac:dyDescent="0.25">
      <c r="A1736" s="4" t="s">
        <v>83</v>
      </c>
      <c r="B1736" s="4" t="s">
        <v>5</v>
      </c>
      <c r="C1736" s="4" t="s">
        <v>21</v>
      </c>
      <c r="D1736" s="4">
        <v>2011</v>
      </c>
      <c r="E1736" s="4">
        <v>0</v>
      </c>
      <c r="F1736" s="4" t="s">
        <v>29</v>
      </c>
    </row>
    <row r="1737" spans="1:6" x14ac:dyDescent="0.25">
      <c r="A1737" s="4" t="s">
        <v>83</v>
      </c>
      <c r="B1737" s="4" t="s">
        <v>5</v>
      </c>
      <c r="C1737" s="4" t="s">
        <v>21</v>
      </c>
      <c r="D1737" s="4">
        <v>2012</v>
      </c>
      <c r="E1737" s="4">
        <v>0</v>
      </c>
      <c r="F1737" s="4" t="s">
        <v>29</v>
      </c>
    </row>
    <row r="1738" spans="1:6" x14ac:dyDescent="0.25">
      <c r="A1738" s="4" t="s">
        <v>83</v>
      </c>
      <c r="B1738" s="4" t="s">
        <v>5</v>
      </c>
      <c r="C1738" s="4" t="s">
        <v>21</v>
      </c>
      <c r="D1738" s="4">
        <v>2013</v>
      </c>
      <c r="E1738" s="4">
        <v>0</v>
      </c>
      <c r="F1738" s="4" t="s">
        <v>29</v>
      </c>
    </row>
    <row r="1739" spans="1:6" x14ac:dyDescent="0.25">
      <c r="A1739" s="4" t="s">
        <v>83</v>
      </c>
      <c r="B1739" s="4" t="s">
        <v>5</v>
      </c>
      <c r="C1739" s="4" t="s">
        <v>21</v>
      </c>
      <c r="D1739" s="4">
        <v>2014</v>
      </c>
      <c r="E1739" s="4">
        <v>0</v>
      </c>
      <c r="F1739" s="4" t="s">
        <v>29</v>
      </c>
    </row>
    <row r="1740" spans="1:6" x14ac:dyDescent="0.25">
      <c r="A1740" s="4" t="s">
        <v>83</v>
      </c>
      <c r="B1740" s="4" t="s">
        <v>5</v>
      </c>
      <c r="C1740" s="4" t="s">
        <v>21</v>
      </c>
      <c r="D1740" s="4">
        <v>2015</v>
      </c>
      <c r="E1740" s="4">
        <v>0</v>
      </c>
      <c r="F1740" s="4" t="s">
        <v>29</v>
      </c>
    </row>
    <row r="1741" spans="1:6" x14ac:dyDescent="0.25">
      <c r="A1741" s="4" t="s">
        <v>83</v>
      </c>
      <c r="B1741" s="4" t="s">
        <v>5</v>
      </c>
      <c r="C1741" s="4" t="s">
        <v>21</v>
      </c>
      <c r="D1741" s="4">
        <v>2016</v>
      </c>
      <c r="E1741" s="4">
        <v>0</v>
      </c>
      <c r="F1741" s="4" t="s">
        <v>29</v>
      </c>
    </row>
    <row r="1742" spans="1:6" x14ac:dyDescent="0.25">
      <c r="A1742" s="4" t="s">
        <v>83</v>
      </c>
      <c r="B1742" s="4" t="s">
        <v>5</v>
      </c>
      <c r="C1742" s="4" t="s">
        <v>21</v>
      </c>
      <c r="D1742" s="4">
        <v>2017</v>
      </c>
      <c r="E1742" s="4">
        <v>0</v>
      </c>
      <c r="F1742" s="4" t="s">
        <v>29</v>
      </c>
    </row>
    <row r="1743" spans="1:6" x14ac:dyDescent="0.25">
      <c r="A1743" s="4" t="s">
        <v>83</v>
      </c>
      <c r="B1743" s="4" t="s">
        <v>5</v>
      </c>
      <c r="C1743" s="4" t="s">
        <v>21</v>
      </c>
      <c r="D1743" s="4">
        <v>2018</v>
      </c>
      <c r="E1743" s="4">
        <v>0</v>
      </c>
      <c r="F1743" s="4" t="s">
        <v>29</v>
      </c>
    </row>
    <row r="1744" spans="1:6" x14ac:dyDescent="0.25">
      <c r="A1744" s="4" t="s">
        <v>83</v>
      </c>
      <c r="B1744" s="4" t="s">
        <v>5</v>
      </c>
      <c r="C1744" s="4" t="s">
        <v>21</v>
      </c>
      <c r="D1744" s="4">
        <v>2019</v>
      </c>
      <c r="E1744" s="4">
        <v>0</v>
      </c>
      <c r="F1744" s="4" t="s">
        <v>29</v>
      </c>
    </row>
    <row r="1745" spans="1:6" x14ac:dyDescent="0.25">
      <c r="A1745" s="4" t="s">
        <v>83</v>
      </c>
      <c r="B1745" s="4" t="s">
        <v>5</v>
      </c>
      <c r="C1745" s="4" t="s">
        <v>21</v>
      </c>
      <c r="D1745" s="4">
        <v>2020</v>
      </c>
      <c r="E1745" s="4">
        <v>0</v>
      </c>
      <c r="F1745" s="4" t="s">
        <v>29</v>
      </c>
    </row>
    <row r="1746" spans="1:6" x14ac:dyDescent="0.25">
      <c r="A1746" s="4" t="s">
        <v>83</v>
      </c>
      <c r="B1746" s="4" t="s">
        <v>5</v>
      </c>
      <c r="C1746" s="4" t="s">
        <v>21</v>
      </c>
      <c r="D1746" s="4">
        <v>2021</v>
      </c>
      <c r="E1746" s="4">
        <v>0</v>
      </c>
      <c r="F1746" s="4" t="s">
        <v>29</v>
      </c>
    </row>
    <row r="1747" spans="1:6" x14ac:dyDescent="0.25">
      <c r="A1747" s="4" t="s">
        <v>83</v>
      </c>
      <c r="B1747" s="4" t="s">
        <v>5</v>
      </c>
      <c r="C1747" s="4" t="s">
        <v>21</v>
      </c>
      <c r="D1747" s="4">
        <v>2022</v>
      </c>
      <c r="E1747" s="4">
        <v>0</v>
      </c>
      <c r="F1747" s="4" t="s">
        <v>29</v>
      </c>
    </row>
    <row r="1748" spans="1:6" x14ac:dyDescent="0.25">
      <c r="A1748" s="4" t="s">
        <v>83</v>
      </c>
      <c r="B1748" s="4" t="s">
        <v>5</v>
      </c>
      <c r="C1748" s="4" t="s">
        <v>21</v>
      </c>
      <c r="D1748" s="4">
        <v>2023</v>
      </c>
      <c r="E1748" s="4">
        <v>0</v>
      </c>
      <c r="F1748" s="4" t="s">
        <v>29</v>
      </c>
    </row>
    <row r="1749" spans="1:6" x14ac:dyDescent="0.25">
      <c r="A1749" s="4" t="s">
        <v>83</v>
      </c>
      <c r="B1749" s="4" t="s">
        <v>5</v>
      </c>
      <c r="C1749" s="4" t="s">
        <v>21</v>
      </c>
      <c r="D1749" s="4">
        <v>2024</v>
      </c>
      <c r="E1749" s="4">
        <v>0</v>
      </c>
      <c r="F1749" s="4" t="s">
        <v>29</v>
      </c>
    </row>
    <row r="1750" spans="1:6" x14ac:dyDescent="0.25">
      <c r="A1750" s="4" t="s">
        <v>83</v>
      </c>
      <c r="B1750" s="4" t="s">
        <v>5</v>
      </c>
      <c r="C1750" s="4" t="s">
        <v>21</v>
      </c>
      <c r="D1750" s="4">
        <v>2025</v>
      </c>
      <c r="E1750" s="4">
        <v>0</v>
      </c>
      <c r="F1750" s="4" t="s">
        <v>29</v>
      </c>
    </row>
    <row r="1751" spans="1:6" x14ac:dyDescent="0.25">
      <c r="A1751" s="4" t="s">
        <v>83</v>
      </c>
      <c r="B1751" s="4" t="s">
        <v>5</v>
      </c>
      <c r="C1751" s="4" t="s">
        <v>21</v>
      </c>
      <c r="D1751" s="4">
        <v>2026</v>
      </c>
      <c r="E1751" s="4">
        <v>0</v>
      </c>
      <c r="F1751" s="4" t="s">
        <v>29</v>
      </c>
    </row>
    <row r="1752" spans="1:6" x14ac:dyDescent="0.25">
      <c r="A1752" s="4" t="s">
        <v>83</v>
      </c>
      <c r="B1752" s="4" t="s">
        <v>5</v>
      </c>
      <c r="C1752" s="4" t="s">
        <v>21</v>
      </c>
      <c r="D1752" s="4">
        <v>2027</v>
      </c>
      <c r="E1752" s="4">
        <v>0</v>
      </c>
      <c r="F1752" s="4" t="s">
        <v>29</v>
      </c>
    </row>
    <row r="1753" spans="1:6" x14ac:dyDescent="0.25">
      <c r="A1753" s="4" t="s">
        <v>83</v>
      </c>
      <c r="B1753" s="4" t="s">
        <v>5</v>
      </c>
      <c r="C1753" s="4" t="s">
        <v>21</v>
      </c>
      <c r="D1753" s="4">
        <v>2028</v>
      </c>
      <c r="E1753" s="4">
        <v>0</v>
      </c>
      <c r="F1753" s="4" t="s">
        <v>29</v>
      </c>
    </row>
    <row r="1754" spans="1:6" x14ac:dyDescent="0.25">
      <c r="A1754" s="4" t="s">
        <v>83</v>
      </c>
      <c r="B1754" s="4" t="s">
        <v>5</v>
      </c>
      <c r="C1754" s="4" t="s">
        <v>21</v>
      </c>
      <c r="D1754" s="4">
        <v>2029</v>
      </c>
      <c r="E1754" s="4">
        <v>0</v>
      </c>
      <c r="F1754" s="4" t="s">
        <v>29</v>
      </c>
    </row>
    <row r="1755" spans="1:6" x14ac:dyDescent="0.25">
      <c r="A1755" s="4" t="s">
        <v>83</v>
      </c>
      <c r="B1755" s="4" t="s">
        <v>5</v>
      </c>
      <c r="C1755" s="4" t="s">
        <v>21</v>
      </c>
      <c r="D1755" s="4">
        <v>2030</v>
      </c>
      <c r="E1755" s="4">
        <v>0</v>
      </c>
      <c r="F1755" s="4" t="s">
        <v>29</v>
      </c>
    </row>
    <row r="1756" spans="1:6" x14ac:dyDescent="0.25">
      <c r="A1756" s="4" t="s">
        <v>83</v>
      </c>
      <c r="B1756" s="4" t="s">
        <v>5</v>
      </c>
      <c r="C1756" s="4" t="s">
        <v>21</v>
      </c>
      <c r="D1756" s="4">
        <v>2031</v>
      </c>
      <c r="E1756" s="4">
        <v>0</v>
      </c>
      <c r="F1756" s="4" t="s">
        <v>29</v>
      </c>
    </row>
    <row r="1757" spans="1:6" x14ac:dyDescent="0.25">
      <c r="A1757" s="4" t="s">
        <v>83</v>
      </c>
      <c r="B1757" s="4" t="s">
        <v>5</v>
      </c>
      <c r="C1757" s="4" t="s">
        <v>21</v>
      </c>
      <c r="D1757" s="4">
        <v>2032</v>
      </c>
      <c r="E1757" s="4">
        <v>0</v>
      </c>
      <c r="F1757" s="4" t="s">
        <v>29</v>
      </c>
    </row>
    <row r="1758" spans="1:6" x14ac:dyDescent="0.25">
      <c r="A1758" s="4" t="s">
        <v>83</v>
      </c>
      <c r="B1758" s="4" t="s">
        <v>5</v>
      </c>
      <c r="C1758" s="4" t="s">
        <v>21</v>
      </c>
      <c r="D1758" s="4">
        <v>2033</v>
      </c>
      <c r="E1758" s="4">
        <v>0</v>
      </c>
      <c r="F1758" s="4" t="s">
        <v>29</v>
      </c>
    </row>
    <row r="1759" spans="1:6" x14ac:dyDescent="0.25">
      <c r="A1759" s="4" t="s">
        <v>83</v>
      </c>
      <c r="B1759" s="4" t="s">
        <v>5</v>
      </c>
      <c r="C1759" s="4" t="s">
        <v>21</v>
      </c>
      <c r="D1759" s="4">
        <v>2034</v>
      </c>
      <c r="E1759" s="4">
        <v>0</v>
      </c>
      <c r="F1759" s="4" t="s">
        <v>29</v>
      </c>
    </row>
    <row r="1760" spans="1:6" x14ac:dyDescent="0.25">
      <c r="A1760" s="4" t="s">
        <v>83</v>
      </c>
      <c r="B1760" s="4" t="s">
        <v>5</v>
      </c>
      <c r="C1760" s="4" t="s">
        <v>21</v>
      </c>
      <c r="D1760" s="4">
        <v>2035</v>
      </c>
      <c r="E1760" s="4">
        <v>0</v>
      </c>
      <c r="F1760" s="4" t="s">
        <v>29</v>
      </c>
    </row>
    <row r="1761" spans="1:6" x14ac:dyDescent="0.25">
      <c r="A1761" s="4" t="s">
        <v>83</v>
      </c>
      <c r="B1761" s="4" t="s">
        <v>5</v>
      </c>
      <c r="C1761" s="4" t="s">
        <v>21</v>
      </c>
      <c r="D1761" s="4">
        <v>2036</v>
      </c>
      <c r="E1761" s="4">
        <v>0</v>
      </c>
      <c r="F1761" s="4" t="s">
        <v>29</v>
      </c>
    </row>
    <row r="1762" spans="1:6" x14ac:dyDescent="0.25">
      <c r="A1762" s="4" t="s">
        <v>83</v>
      </c>
      <c r="B1762" s="4" t="s">
        <v>5</v>
      </c>
      <c r="C1762" s="4" t="s">
        <v>21</v>
      </c>
      <c r="D1762" s="4">
        <v>2037</v>
      </c>
      <c r="E1762" s="4">
        <v>0</v>
      </c>
      <c r="F1762" s="4" t="s">
        <v>29</v>
      </c>
    </row>
    <row r="1763" spans="1:6" x14ac:dyDescent="0.25">
      <c r="A1763" s="4" t="s">
        <v>83</v>
      </c>
      <c r="B1763" s="4" t="s">
        <v>5</v>
      </c>
      <c r="C1763" s="4" t="s">
        <v>21</v>
      </c>
      <c r="D1763" s="4">
        <v>2038</v>
      </c>
      <c r="E1763" s="4">
        <v>0</v>
      </c>
      <c r="F1763" s="4" t="s">
        <v>29</v>
      </c>
    </row>
    <row r="1764" spans="1:6" x14ac:dyDescent="0.25">
      <c r="A1764" s="4" t="s">
        <v>83</v>
      </c>
      <c r="B1764" s="4" t="s">
        <v>5</v>
      </c>
      <c r="C1764" s="4" t="s">
        <v>21</v>
      </c>
      <c r="D1764" s="4">
        <v>2039</v>
      </c>
      <c r="E1764" s="4">
        <v>0</v>
      </c>
      <c r="F1764" s="4" t="s">
        <v>29</v>
      </c>
    </row>
    <row r="1765" spans="1:6" x14ac:dyDescent="0.25">
      <c r="A1765" s="4" t="s">
        <v>83</v>
      </c>
      <c r="B1765" s="4" t="s">
        <v>5</v>
      </c>
      <c r="C1765" s="4" t="s">
        <v>21</v>
      </c>
      <c r="D1765" s="4">
        <v>2040</v>
      </c>
      <c r="E1765" s="4">
        <v>0</v>
      </c>
      <c r="F1765" s="4" t="s">
        <v>29</v>
      </c>
    </row>
    <row r="1766" spans="1:6" x14ac:dyDescent="0.25">
      <c r="A1766" s="4" t="s">
        <v>83</v>
      </c>
      <c r="B1766" s="4" t="s">
        <v>6</v>
      </c>
      <c r="C1766" s="4" t="s">
        <v>21</v>
      </c>
      <c r="D1766" s="4">
        <v>2005</v>
      </c>
      <c r="E1766" s="4">
        <v>0</v>
      </c>
      <c r="F1766" s="4" t="s">
        <v>29</v>
      </c>
    </row>
    <row r="1767" spans="1:6" x14ac:dyDescent="0.25">
      <c r="A1767" s="4" t="s">
        <v>83</v>
      </c>
      <c r="B1767" s="4" t="s">
        <v>6</v>
      </c>
      <c r="C1767" s="4" t="s">
        <v>21</v>
      </c>
      <c r="D1767" s="4">
        <v>2006</v>
      </c>
      <c r="E1767" s="4">
        <v>0</v>
      </c>
      <c r="F1767" s="4" t="s">
        <v>29</v>
      </c>
    </row>
    <row r="1768" spans="1:6" x14ac:dyDescent="0.25">
      <c r="A1768" s="4" t="s">
        <v>83</v>
      </c>
      <c r="B1768" s="4" t="s">
        <v>6</v>
      </c>
      <c r="C1768" s="4" t="s">
        <v>21</v>
      </c>
      <c r="D1768" s="4">
        <v>2007</v>
      </c>
      <c r="E1768" s="4">
        <v>0</v>
      </c>
      <c r="F1768" s="4" t="s">
        <v>29</v>
      </c>
    </row>
    <row r="1769" spans="1:6" x14ac:dyDescent="0.25">
      <c r="A1769" s="4" t="s">
        <v>83</v>
      </c>
      <c r="B1769" s="4" t="s">
        <v>6</v>
      </c>
      <c r="C1769" s="4" t="s">
        <v>21</v>
      </c>
      <c r="D1769" s="4">
        <v>2008</v>
      </c>
      <c r="E1769" s="4">
        <v>0</v>
      </c>
      <c r="F1769" s="4" t="s">
        <v>29</v>
      </c>
    </row>
    <row r="1770" spans="1:6" x14ac:dyDescent="0.25">
      <c r="A1770" s="4" t="s">
        <v>83</v>
      </c>
      <c r="B1770" s="4" t="s">
        <v>6</v>
      </c>
      <c r="C1770" s="4" t="s">
        <v>21</v>
      </c>
      <c r="D1770" s="4">
        <v>2009</v>
      </c>
      <c r="E1770" s="4">
        <v>0</v>
      </c>
      <c r="F1770" s="4" t="s">
        <v>29</v>
      </c>
    </row>
    <row r="1771" spans="1:6" x14ac:dyDescent="0.25">
      <c r="A1771" s="4" t="s">
        <v>83</v>
      </c>
      <c r="B1771" s="4" t="s">
        <v>6</v>
      </c>
      <c r="C1771" s="4" t="s">
        <v>21</v>
      </c>
      <c r="D1771" s="4">
        <v>2010</v>
      </c>
      <c r="E1771" s="4">
        <v>0</v>
      </c>
      <c r="F1771" s="4" t="s">
        <v>29</v>
      </c>
    </row>
    <row r="1772" spans="1:6" x14ac:dyDescent="0.25">
      <c r="A1772" s="4" t="s">
        <v>83</v>
      </c>
      <c r="B1772" s="4" t="s">
        <v>6</v>
      </c>
      <c r="C1772" s="4" t="s">
        <v>21</v>
      </c>
      <c r="D1772" s="4">
        <v>2011</v>
      </c>
      <c r="E1772" s="4">
        <v>0</v>
      </c>
      <c r="F1772" s="4" t="s">
        <v>29</v>
      </c>
    </row>
    <row r="1773" spans="1:6" x14ac:dyDescent="0.25">
      <c r="A1773" s="4" t="s">
        <v>83</v>
      </c>
      <c r="B1773" s="4" t="s">
        <v>6</v>
      </c>
      <c r="C1773" s="4" t="s">
        <v>21</v>
      </c>
      <c r="D1773" s="4">
        <v>2012</v>
      </c>
      <c r="E1773" s="4">
        <v>0</v>
      </c>
      <c r="F1773" s="4" t="s">
        <v>29</v>
      </c>
    </row>
    <row r="1774" spans="1:6" x14ac:dyDescent="0.25">
      <c r="A1774" s="4" t="s">
        <v>83</v>
      </c>
      <c r="B1774" s="4" t="s">
        <v>6</v>
      </c>
      <c r="C1774" s="4" t="s">
        <v>21</v>
      </c>
      <c r="D1774" s="4">
        <v>2013</v>
      </c>
      <c r="E1774" s="4">
        <v>0</v>
      </c>
      <c r="F1774" s="4" t="s">
        <v>29</v>
      </c>
    </row>
    <row r="1775" spans="1:6" x14ac:dyDescent="0.25">
      <c r="A1775" s="4" t="s">
        <v>83</v>
      </c>
      <c r="B1775" s="4" t="s">
        <v>6</v>
      </c>
      <c r="C1775" s="4" t="s">
        <v>21</v>
      </c>
      <c r="D1775" s="4">
        <v>2014</v>
      </c>
      <c r="E1775" s="4">
        <v>0</v>
      </c>
      <c r="F1775" s="4" t="s">
        <v>29</v>
      </c>
    </row>
    <row r="1776" spans="1:6" x14ac:dyDescent="0.25">
      <c r="A1776" s="4" t="s">
        <v>83</v>
      </c>
      <c r="B1776" s="4" t="s">
        <v>6</v>
      </c>
      <c r="C1776" s="4" t="s">
        <v>21</v>
      </c>
      <c r="D1776" s="4">
        <v>2015</v>
      </c>
      <c r="E1776" s="4">
        <v>0</v>
      </c>
      <c r="F1776" s="4" t="s">
        <v>29</v>
      </c>
    </row>
    <row r="1777" spans="1:6" x14ac:dyDescent="0.25">
      <c r="A1777" s="4" t="s">
        <v>83</v>
      </c>
      <c r="B1777" s="4" t="s">
        <v>6</v>
      </c>
      <c r="C1777" s="4" t="s">
        <v>21</v>
      </c>
      <c r="D1777" s="4">
        <v>2016</v>
      </c>
      <c r="E1777" s="4">
        <v>0</v>
      </c>
      <c r="F1777" s="4" t="s">
        <v>29</v>
      </c>
    </row>
    <row r="1778" spans="1:6" x14ac:dyDescent="0.25">
      <c r="A1778" s="4" t="s">
        <v>83</v>
      </c>
      <c r="B1778" s="4" t="s">
        <v>6</v>
      </c>
      <c r="C1778" s="4" t="s">
        <v>21</v>
      </c>
      <c r="D1778" s="4">
        <v>2017</v>
      </c>
      <c r="E1778" s="4">
        <v>0</v>
      </c>
      <c r="F1778" s="4" t="s">
        <v>29</v>
      </c>
    </row>
    <row r="1779" spans="1:6" x14ac:dyDescent="0.25">
      <c r="A1779" s="4" t="s">
        <v>83</v>
      </c>
      <c r="B1779" s="4" t="s">
        <v>6</v>
      </c>
      <c r="C1779" s="4" t="s">
        <v>21</v>
      </c>
      <c r="D1779" s="4">
        <v>2018</v>
      </c>
      <c r="E1779" s="4">
        <v>0</v>
      </c>
      <c r="F1779" s="4" t="s">
        <v>29</v>
      </c>
    </row>
    <row r="1780" spans="1:6" x14ac:dyDescent="0.25">
      <c r="A1780" s="4" t="s">
        <v>83</v>
      </c>
      <c r="B1780" s="4" t="s">
        <v>6</v>
      </c>
      <c r="C1780" s="4" t="s">
        <v>21</v>
      </c>
      <c r="D1780" s="4">
        <v>2019</v>
      </c>
      <c r="E1780" s="4">
        <v>0</v>
      </c>
      <c r="F1780" s="4" t="s">
        <v>29</v>
      </c>
    </row>
    <row r="1781" spans="1:6" x14ac:dyDescent="0.25">
      <c r="A1781" s="4" t="s">
        <v>83</v>
      </c>
      <c r="B1781" s="4" t="s">
        <v>6</v>
      </c>
      <c r="C1781" s="4" t="s">
        <v>21</v>
      </c>
      <c r="D1781" s="4">
        <v>2020</v>
      </c>
      <c r="E1781" s="4">
        <v>0</v>
      </c>
      <c r="F1781" s="4" t="s">
        <v>29</v>
      </c>
    </row>
    <row r="1782" spans="1:6" x14ac:dyDescent="0.25">
      <c r="A1782" s="4" t="s">
        <v>83</v>
      </c>
      <c r="B1782" s="4" t="s">
        <v>6</v>
      </c>
      <c r="C1782" s="4" t="s">
        <v>21</v>
      </c>
      <c r="D1782" s="4">
        <v>2021</v>
      </c>
      <c r="E1782" s="4">
        <v>0</v>
      </c>
      <c r="F1782" s="4" t="s">
        <v>29</v>
      </c>
    </row>
    <row r="1783" spans="1:6" x14ac:dyDescent="0.25">
      <c r="A1783" s="4" t="s">
        <v>83</v>
      </c>
      <c r="B1783" s="4" t="s">
        <v>6</v>
      </c>
      <c r="C1783" s="4" t="s">
        <v>21</v>
      </c>
      <c r="D1783" s="4">
        <v>2022</v>
      </c>
      <c r="E1783" s="4">
        <v>0</v>
      </c>
      <c r="F1783" s="4" t="s">
        <v>29</v>
      </c>
    </row>
    <row r="1784" spans="1:6" x14ac:dyDescent="0.25">
      <c r="A1784" s="4" t="s">
        <v>83</v>
      </c>
      <c r="B1784" s="4" t="s">
        <v>6</v>
      </c>
      <c r="C1784" s="4" t="s">
        <v>21</v>
      </c>
      <c r="D1784" s="4">
        <v>2023</v>
      </c>
      <c r="E1784" s="4">
        <v>0</v>
      </c>
      <c r="F1784" s="4" t="s">
        <v>29</v>
      </c>
    </row>
    <row r="1785" spans="1:6" x14ac:dyDescent="0.25">
      <c r="A1785" s="4" t="s">
        <v>83</v>
      </c>
      <c r="B1785" s="4" t="s">
        <v>6</v>
      </c>
      <c r="C1785" s="4" t="s">
        <v>21</v>
      </c>
      <c r="D1785" s="4">
        <v>2024</v>
      </c>
      <c r="E1785" s="4">
        <v>0</v>
      </c>
      <c r="F1785" s="4" t="s">
        <v>29</v>
      </c>
    </row>
    <row r="1786" spans="1:6" x14ac:dyDescent="0.25">
      <c r="A1786" s="4" t="s">
        <v>83</v>
      </c>
      <c r="B1786" s="4" t="s">
        <v>6</v>
      </c>
      <c r="C1786" s="4" t="s">
        <v>21</v>
      </c>
      <c r="D1786" s="4">
        <v>2025</v>
      </c>
      <c r="E1786" s="4">
        <v>0</v>
      </c>
      <c r="F1786" s="4" t="s">
        <v>29</v>
      </c>
    </row>
    <row r="1787" spans="1:6" x14ac:dyDescent="0.25">
      <c r="A1787" s="4" t="s">
        <v>83</v>
      </c>
      <c r="B1787" s="4" t="s">
        <v>6</v>
      </c>
      <c r="C1787" s="4" t="s">
        <v>21</v>
      </c>
      <c r="D1787" s="4">
        <v>2026</v>
      </c>
      <c r="E1787" s="4">
        <v>0</v>
      </c>
      <c r="F1787" s="4" t="s">
        <v>29</v>
      </c>
    </row>
    <row r="1788" spans="1:6" x14ac:dyDescent="0.25">
      <c r="A1788" s="4" t="s">
        <v>83</v>
      </c>
      <c r="B1788" s="4" t="s">
        <v>6</v>
      </c>
      <c r="C1788" s="4" t="s">
        <v>21</v>
      </c>
      <c r="D1788" s="4">
        <v>2027</v>
      </c>
      <c r="E1788" s="4">
        <v>0</v>
      </c>
      <c r="F1788" s="4" t="s">
        <v>29</v>
      </c>
    </row>
    <row r="1789" spans="1:6" x14ac:dyDescent="0.25">
      <c r="A1789" s="4" t="s">
        <v>83</v>
      </c>
      <c r="B1789" s="4" t="s">
        <v>6</v>
      </c>
      <c r="C1789" s="4" t="s">
        <v>21</v>
      </c>
      <c r="D1789" s="4">
        <v>2028</v>
      </c>
      <c r="E1789" s="4">
        <v>0</v>
      </c>
      <c r="F1789" s="4" t="s">
        <v>29</v>
      </c>
    </row>
    <row r="1790" spans="1:6" x14ac:dyDescent="0.25">
      <c r="A1790" s="4" t="s">
        <v>83</v>
      </c>
      <c r="B1790" s="4" t="s">
        <v>6</v>
      </c>
      <c r="C1790" s="4" t="s">
        <v>21</v>
      </c>
      <c r="D1790" s="4">
        <v>2029</v>
      </c>
      <c r="E1790" s="4">
        <v>0</v>
      </c>
      <c r="F1790" s="4" t="s">
        <v>29</v>
      </c>
    </row>
    <row r="1791" spans="1:6" x14ac:dyDescent="0.25">
      <c r="A1791" s="4" t="s">
        <v>83</v>
      </c>
      <c r="B1791" s="4" t="s">
        <v>6</v>
      </c>
      <c r="C1791" s="4" t="s">
        <v>21</v>
      </c>
      <c r="D1791" s="4">
        <v>2030</v>
      </c>
      <c r="E1791" s="4">
        <v>0</v>
      </c>
      <c r="F1791" s="4" t="s">
        <v>29</v>
      </c>
    </row>
    <row r="1792" spans="1:6" x14ac:dyDescent="0.25">
      <c r="A1792" s="4" t="s">
        <v>83</v>
      </c>
      <c r="B1792" s="4" t="s">
        <v>6</v>
      </c>
      <c r="C1792" s="4" t="s">
        <v>21</v>
      </c>
      <c r="D1792" s="4">
        <v>2031</v>
      </c>
      <c r="E1792" s="4">
        <v>0</v>
      </c>
      <c r="F1792" s="4" t="s">
        <v>29</v>
      </c>
    </row>
    <row r="1793" spans="1:6" x14ac:dyDescent="0.25">
      <c r="A1793" s="4" t="s">
        <v>83</v>
      </c>
      <c r="B1793" s="4" t="s">
        <v>6</v>
      </c>
      <c r="C1793" s="4" t="s">
        <v>21</v>
      </c>
      <c r="D1793" s="4">
        <v>2032</v>
      </c>
      <c r="E1793" s="4">
        <v>0</v>
      </c>
      <c r="F1793" s="4" t="s">
        <v>29</v>
      </c>
    </row>
    <row r="1794" spans="1:6" x14ac:dyDescent="0.25">
      <c r="A1794" s="4" t="s">
        <v>83</v>
      </c>
      <c r="B1794" s="4" t="s">
        <v>6</v>
      </c>
      <c r="C1794" s="4" t="s">
        <v>21</v>
      </c>
      <c r="D1794" s="4">
        <v>2033</v>
      </c>
      <c r="E1794" s="4">
        <v>0</v>
      </c>
      <c r="F1794" s="4" t="s">
        <v>29</v>
      </c>
    </row>
    <row r="1795" spans="1:6" x14ac:dyDescent="0.25">
      <c r="A1795" s="4" t="s">
        <v>83</v>
      </c>
      <c r="B1795" s="4" t="s">
        <v>6</v>
      </c>
      <c r="C1795" s="4" t="s">
        <v>21</v>
      </c>
      <c r="D1795" s="4">
        <v>2034</v>
      </c>
      <c r="E1795" s="4">
        <v>0</v>
      </c>
      <c r="F1795" s="4" t="s">
        <v>29</v>
      </c>
    </row>
    <row r="1796" spans="1:6" x14ac:dyDescent="0.25">
      <c r="A1796" s="4" t="s">
        <v>83</v>
      </c>
      <c r="B1796" s="4" t="s">
        <v>6</v>
      </c>
      <c r="C1796" s="4" t="s">
        <v>21</v>
      </c>
      <c r="D1796" s="4">
        <v>2035</v>
      </c>
      <c r="E1796" s="4">
        <v>0</v>
      </c>
      <c r="F1796" s="4" t="s">
        <v>29</v>
      </c>
    </row>
    <row r="1797" spans="1:6" x14ac:dyDescent="0.25">
      <c r="A1797" s="4" t="s">
        <v>83</v>
      </c>
      <c r="B1797" s="4" t="s">
        <v>6</v>
      </c>
      <c r="C1797" s="4" t="s">
        <v>21</v>
      </c>
      <c r="D1797" s="4">
        <v>2036</v>
      </c>
      <c r="E1797" s="4">
        <v>0</v>
      </c>
      <c r="F1797" s="4" t="s">
        <v>29</v>
      </c>
    </row>
    <row r="1798" spans="1:6" x14ac:dyDescent="0.25">
      <c r="A1798" s="4" t="s">
        <v>83</v>
      </c>
      <c r="B1798" s="4" t="s">
        <v>6</v>
      </c>
      <c r="C1798" s="4" t="s">
        <v>21</v>
      </c>
      <c r="D1798" s="4">
        <v>2037</v>
      </c>
      <c r="E1798" s="4">
        <v>0</v>
      </c>
      <c r="F1798" s="4" t="s">
        <v>29</v>
      </c>
    </row>
    <row r="1799" spans="1:6" x14ac:dyDescent="0.25">
      <c r="A1799" s="4" t="s">
        <v>83</v>
      </c>
      <c r="B1799" s="4" t="s">
        <v>6</v>
      </c>
      <c r="C1799" s="4" t="s">
        <v>21</v>
      </c>
      <c r="D1799" s="4">
        <v>2038</v>
      </c>
      <c r="E1799" s="4">
        <v>0</v>
      </c>
      <c r="F1799" s="4" t="s">
        <v>29</v>
      </c>
    </row>
    <row r="1800" spans="1:6" x14ac:dyDescent="0.25">
      <c r="A1800" s="4" t="s">
        <v>83</v>
      </c>
      <c r="B1800" s="4" t="s">
        <v>6</v>
      </c>
      <c r="C1800" s="4" t="s">
        <v>21</v>
      </c>
      <c r="D1800" s="4">
        <v>2039</v>
      </c>
      <c r="E1800" s="4">
        <v>0</v>
      </c>
      <c r="F1800" s="4" t="s">
        <v>29</v>
      </c>
    </row>
    <row r="1801" spans="1:6" x14ac:dyDescent="0.25">
      <c r="A1801" s="4" t="s">
        <v>83</v>
      </c>
      <c r="B1801" s="4" t="s">
        <v>6</v>
      </c>
      <c r="C1801" s="4" t="s">
        <v>21</v>
      </c>
      <c r="D1801" s="4">
        <v>2040</v>
      </c>
      <c r="E1801" s="4">
        <v>0</v>
      </c>
      <c r="F1801" s="4" t="s">
        <v>29</v>
      </c>
    </row>
    <row r="1802" spans="1:6" x14ac:dyDescent="0.25">
      <c r="A1802" s="4" t="s">
        <v>83</v>
      </c>
      <c r="B1802" s="4" t="s">
        <v>23</v>
      </c>
      <c r="C1802" s="4" t="s">
        <v>21</v>
      </c>
      <c r="D1802" s="4">
        <v>2005</v>
      </c>
      <c r="E1802" s="4">
        <v>0</v>
      </c>
      <c r="F1802" s="4" t="s">
        <v>29</v>
      </c>
    </row>
    <row r="1803" spans="1:6" x14ac:dyDescent="0.25">
      <c r="A1803" s="4" t="s">
        <v>83</v>
      </c>
      <c r="B1803" s="4" t="s">
        <v>23</v>
      </c>
      <c r="C1803" s="4" t="s">
        <v>21</v>
      </c>
      <c r="D1803" s="4">
        <v>2006</v>
      </c>
      <c r="E1803" s="4">
        <v>0</v>
      </c>
      <c r="F1803" s="4" t="s">
        <v>29</v>
      </c>
    </row>
    <row r="1804" spans="1:6" x14ac:dyDescent="0.25">
      <c r="A1804" s="4" t="s">
        <v>83</v>
      </c>
      <c r="B1804" s="4" t="s">
        <v>23</v>
      </c>
      <c r="C1804" s="4" t="s">
        <v>21</v>
      </c>
      <c r="D1804" s="4">
        <v>2007</v>
      </c>
      <c r="E1804" s="4">
        <v>0</v>
      </c>
      <c r="F1804" s="4" t="s">
        <v>29</v>
      </c>
    </row>
    <row r="1805" spans="1:6" x14ac:dyDescent="0.25">
      <c r="A1805" s="4" t="s">
        <v>83</v>
      </c>
      <c r="B1805" s="4" t="s">
        <v>23</v>
      </c>
      <c r="C1805" s="4" t="s">
        <v>21</v>
      </c>
      <c r="D1805" s="4">
        <v>2008</v>
      </c>
      <c r="E1805" s="4">
        <v>0</v>
      </c>
      <c r="F1805" s="4" t="s">
        <v>29</v>
      </c>
    </row>
    <row r="1806" spans="1:6" x14ac:dyDescent="0.25">
      <c r="A1806" s="4" t="s">
        <v>83</v>
      </c>
      <c r="B1806" s="4" t="s">
        <v>23</v>
      </c>
      <c r="C1806" s="4" t="s">
        <v>21</v>
      </c>
      <c r="D1806" s="4">
        <v>2009</v>
      </c>
      <c r="E1806" s="4">
        <v>0</v>
      </c>
      <c r="F1806" s="4" t="s">
        <v>29</v>
      </c>
    </row>
    <row r="1807" spans="1:6" x14ac:dyDescent="0.25">
      <c r="A1807" s="4" t="s">
        <v>83</v>
      </c>
      <c r="B1807" s="4" t="s">
        <v>23</v>
      </c>
      <c r="C1807" s="4" t="s">
        <v>21</v>
      </c>
      <c r="D1807" s="4">
        <v>2010</v>
      </c>
      <c r="E1807" s="4">
        <v>0</v>
      </c>
      <c r="F1807" s="4" t="s">
        <v>29</v>
      </c>
    </row>
    <row r="1808" spans="1:6" x14ac:dyDescent="0.25">
      <c r="A1808" s="4" t="s">
        <v>83</v>
      </c>
      <c r="B1808" s="4" t="s">
        <v>23</v>
      </c>
      <c r="C1808" s="4" t="s">
        <v>21</v>
      </c>
      <c r="D1808" s="4">
        <v>2011</v>
      </c>
      <c r="E1808" s="4">
        <v>0</v>
      </c>
      <c r="F1808" s="4" t="s">
        <v>29</v>
      </c>
    </row>
    <row r="1809" spans="1:6" x14ac:dyDescent="0.25">
      <c r="A1809" s="4" t="s">
        <v>83</v>
      </c>
      <c r="B1809" s="4" t="s">
        <v>23</v>
      </c>
      <c r="C1809" s="4" t="s">
        <v>21</v>
      </c>
      <c r="D1809" s="4">
        <v>2012</v>
      </c>
      <c r="E1809" s="4">
        <v>0</v>
      </c>
      <c r="F1809" s="4" t="s">
        <v>29</v>
      </c>
    </row>
    <row r="1810" spans="1:6" x14ac:dyDescent="0.25">
      <c r="A1810" s="4" t="s">
        <v>83</v>
      </c>
      <c r="B1810" s="4" t="s">
        <v>23</v>
      </c>
      <c r="C1810" s="4" t="s">
        <v>21</v>
      </c>
      <c r="D1810" s="4">
        <v>2013</v>
      </c>
      <c r="E1810" s="4">
        <v>0</v>
      </c>
      <c r="F1810" s="4" t="s">
        <v>29</v>
      </c>
    </row>
    <row r="1811" spans="1:6" x14ac:dyDescent="0.25">
      <c r="A1811" s="4" t="s">
        <v>83</v>
      </c>
      <c r="B1811" s="4" t="s">
        <v>23</v>
      </c>
      <c r="C1811" s="4" t="s">
        <v>21</v>
      </c>
      <c r="D1811" s="4">
        <v>2014</v>
      </c>
      <c r="E1811" s="4">
        <v>0</v>
      </c>
      <c r="F1811" s="4" t="s">
        <v>29</v>
      </c>
    </row>
    <row r="1812" spans="1:6" x14ac:dyDescent="0.25">
      <c r="A1812" s="4" t="s">
        <v>83</v>
      </c>
      <c r="B1812" s="4" t="s">
        <v>23</v>
      </c>
      <c r="C1812" s="4" t="s">
        <v>21</v>
      </c>
      <c r="D1812" s="4">
        <v>2015</v>
      </c>
      <c r="E1812" s="4">
        <v>0</v>
      </c>
      <c r="F1812" s="4" t="s">
        <v>29</v>
      </c>
    </row>
    <row r="1813" spans="1:6" x14ac:dyDescent="0.25">
      <c r="A1813" s="4" t="s">
        <v>83</v>
      </c>
      <c r="B1813" s="4" t="s">
        <v>23</v>
      </c>
      <c r="C1813" s="4" t="s">
        <v>21</v>
      </c>
      <c r="D1813" s="4">
        <v>2016</v>
      </c>
      <c r="E1813" s="4">
        <v>0</v>
      </c>
      <c r="F1813" s="4" t="s">
        <v>29</v>
      </c>
    </row>
    <row r="1814" spans="1:6" x14ac:dyDescent="0.25">
      <c r="A1814" s="4" t="s">
        <v>83</v>
      </c>
      <c r="B1814" s="4" t="s">
        <v>23</v>
      </c>
      <c r="C1814" s="4" t="s">
        <v>21</v>
      </c>
      <c r="D1814" s="4">
        <v>2017</v>
      </c>
      <c r="E1814" s="4">
        <v>0</v>
      </c>
      <c r="F1814" s="4" t="s">
        <v>29</v>
      </c>
    </row>
    <row r="1815" spans="1:6" x14ac:dyDescent="0.25">
      <c r="A1815" s="4" t="s">
        <v>83</v>
      </c>
      <c r="B1815" s="4" t="s">
        <v>23</v>
      </c>
      <c r="C1815" s="4" t="s">
        <v>21</v>
      </c>
      <c r="D1815" s="4">
        <v>2018</v>
      </c>
      <c r="E1815" s="4">
        <v>0</v>
      </c>
      <c r="F1815" s="4" t="s">
        <v>29</v>
      </c>
    </row>
    <row r="1816" spans="1:6" x14ac:dyDescent="0.25">
      <c r="A1816" s="4" t="s">
        <v>83</v>
      </c>
      <c r="B1816" s="4" t="s">
        <v>23</v>
      </c>
      <c r="C1816" s="4" t="s">
        <v>21</v>
      </c>
      <c r="D1816" s="4">
        <v>2019</v>
      </c>
      <c r="E1816" s="4">
        <v>0</v>
      </c>
      <c r="F1816" s="4" t="s">
        <v>29</v>
      </c>
    </row>
    <row r="1817" spans="1:6" x14ac:dyDescent="0.25">
      <c r="A1817" s="4" t="s">
        <v>83</v>
      </c>
      <c r="B1817" s="4" t="s">
        <v>23</v>
      </c>
      <c r="C1817" s="4" t="s">
        <v>21</v>
      </c>
      <c r="D1817" s="4">
        <v>2020</v>
      </c>
      <c r="E1817" s="4">
        <v>0</v>
      </c>
      <c r="F1817" s="4" t="s">
        <v>29</v>
      </c>
    </row>
    <row r="1818" spans="1:6" x14ac:dyDescent="0.25">
      <c r="A1818" s="4" t="s">
        <v>83</v>
      </c>
      <c r="B1818" s="4" t="s">
        <v>23</v>
      </c>
      <c r="C1818" s="4" t="s">
        <v>21</v>
      </c>
      <c r="D1818" s="4">
        <v>2021</v>
      </c>
      <c r="E1818" s="4">
        <v>0</v>
      </c>
      <c r="F1818" s="4" t="s">
        <v>29</v>
      </c>
    </row>
    <row r="1819" spans="1:6" x14ac:dyDescent="0.25">
      <c r="A1819" s="4" t="s">
        <v>83</v>
      </c>
      <c r="B1819" s="4" t="s">
        <v>23</v>
      </c>
      <c r="C1819" s="4" t="s">
        <v>21</v>
      </c>
      <c r="D1819" s="4">
        <v>2022</v>
      </c>
      <c r="E1819" s="4">
        <v>0</v>
      </c>
      <c r="F1819" s="4" t="s">
        <v>29</v>
      </c>
    </row>
    <row r="1820" spans="1:6" x14ac:dyDescent="0.25">
      <c r="A1820" s="4" t="s">
        <v>83</v>
      </c>
      <c r="B1820" s="4" t="s">
        <v>23</v>
      </c>
      <c r="C1820" s="4" t="s">
        <v>21</v>
      </c>
      <c r="D1820" s="4">
        <v>2023</v>
      </c>
      <c r="E1820" s="4">
        <v>0</v>
      </c>
      <c r="F1820" s="4" t="s">
        <v>29</v>
      </c>
    </row>
    <row r="1821" spans="1:6" x14ac:dyDescent="0.25">
      <c r="A1821" s="4" t="s">
        <v>83</v>
      </c>
      <c r="B1821" s="4" t="s">
        <v>23</v>
      </c>
      <c r="C1821" s="4" t="s">
        <v>21</v>
      </c>
      <c r="D1821" s="4">
        <v>2024</v>
      </c>
      <c r="E1821" s="4">
        <v>0</v>
      </c>
      <c r="F1821" s="4" t="s">
        <v>29</v>
      </c>
    </row>
    <row r="1822" spans="1:6" x14ac:dyDescent="0.25">
      <c r="A1822" s="4" t="s">
        <v>83</v>
      </c>
      <c r="B1822" s="4" t="s">
        <v>23</v>
      </c>
      <c r="C1822" s="4" t="s">
        <v>21</v>
      </c>
      <c r="D1822" s="4">
        <v>2025</v>
      </c>
      <c r="E1822" s="4">
        <v>0</v>
      </c>
      <c r="F1822" s="4" t="s">
        <v>29</v>
      </c>
    </row>
    <row r="1823" spans="1:6" x14ac:dyDescent="0.25">
      <c r="A1823" s="4" t="s">
        <v>83</v>
      </c>
      <c r="B1823" s="4" t="s">
        <v>23</v>
      </c>
      <c r="C1823" s="4" t="s">
        <v>21</v>
      </c>
      <c r="D1823" s="4">
        <v>2026</v>
      </c>
      <c r="E1823" s="4">
        <v>0</v>
      </c>
      <c r="F1823" s="4" t="s">
        <v>29</v>
      </c>
    </row>
    <row r="1824" spans="1:6" x14ac:dyDescent="0.25">
      <c r="A1824" s="4" t="s">
        <v>83</v>
      </c>
      <c r="B1824" s="4" t="s">
        <v>23</v>
      </c>
      <c r="C1824" s="4" t="s">
        <v>21</v>
      </c>
      <c r="D1824" s="4">
        <v>2027</v>
      </c>
      <c r="E1824" s="4">
        <v>0</v>
      </c>
      <c r="F1824" s="4" t="s">
        <v>29</v>
      </c>
    </row>
    <row r="1825" spans="1:6" x14ac:dyDescent="0.25">
      <c r="A1825" s="4" t="s">
        <v>83</v>
      </c>
      <c r="B1825" s="4" t="s">
        <v>23</v>
      </c>
      <c r="C1825" s="4" t="s">
        <v>21</v>
      </c>
      <c r="D1825" s="4">
        <v>2028</v>
      </c>
      <c r="E1825" s="4">
        <v>0</v>
      </c>
      <c r="F1825" s="4" t="s">
        <v>29</v>
      </c>
    </row>
    <row r="1826" spans="1:6" x14ac:dyDescent="0.25">
      <c r="A1826" s="4" t="s">
        <v>83</v>
      </c>
      <c r="B1826" s="4" t="s">
        <v>23</v>
      </c>
      <c r="C1826" s="4" t="s">
        <v>21</v>
      </c>
      <c r="D1826" s="4">
        <v>2029</v>
      </c>
      <c r="E1826" s="4">
        <v>0</v>
      </c>
      <c r="F1826" s="4" t="s">
        <v>29</v>
      </c>
    </row>
    <row r="1827" spans="1:6" x14ac:dyDescent="0.25">
      <c r="A1827" s="4" t="s">
        <v>83</v>
      </c>
      <c r="B1827" s="4" t="s">
        <v>23</v>
      </c>
      <c r="C1827" s="4" t="s">
        <v>21</v>
      </c>
      <c r="D1827" s="4">
        <v>2030</v>
      </c>
      <c r="E1827" s="4">
        <v>0</v>
      </c>
      <c r="F1827" s="4" t="s">
        <v>29</v>
      </c>
    </row>
    <row r="1828" spans="1:6" x14ac:dyDescent="0.25">
      <c r="A1828" s="4" t="s">
        <v>83</v>
      </c>
      <c r="B1828" s="4" t="s">
        <v>23</v>
      </c>
      <c r="C1828" s="4" t="s">
        <v>21</v>
      </c>
      <c r="D1828" s="4">
        <v>2031</v>
      </c>
      <c r="E1828" s="4">
        <v>0</v>
      </c>
      <c r="F1828" s="4" t="s">
        <v>29</v>
      </c>
    </row>
    <row r="1829" spans="1:6" x14ac:dyDescent="0.25">
      <c r="A1829" s="4" t="s">
        <v>83</v>
      </c>
      <c r="B1829" s="4" t="s">
        <v>23</v>
      </c>
      <c r="C1829" s="4" t="s">
        <v>21</v>
      </c>
      <c r="D1829" s="4">
        <v>2032</v>
      </c>
      <c r="E1829" s="4">
        <v>0</v>
      </c>
      <c r="F1829" s="4" t="s">
        <v>29</v>
      </c>
    </row>
    <row r="1830" spans="1:6" x14ac:dyDescent="0.25">
      <c r="A1830" s="4" t="s">
        <v>83</v>
      </c>
      <c r="B1830" s="4" t="s">
        <v>23</v>
      </c>
      <c r="C1830" s="4" t="s">
        <v>21</v>
      </c>
      <c r="D1830" s="4">
        <v>2033</v>
      </c>
      <c r="E1830" s="4">
        <v>0</v>
      </c>
      <c r="F1830" s="4" t="s">
        <v>29</v>
      </c>
    </row>
    <row r="1831" spans="1:6" x14ac:dyDescent="0.25">
      <c r="A1831" s="4" t="s">
        <v>83</v>
      </c>
      <c r="B1831" s="4" t="s">
        <v>23</v>
      </c>
      <c r="C1831" s="4" t="s">
        <v>21</v>
      </c>
      <c r="D1831" s="4">
        <v>2034</v>
      </c>
      <c r="E1831" s="4">
        <v>0</v>
      </c>
      <c r="F1831" s="4" t="s">
        <v>29</v>
      </c>
    </row>
    <row r="1832" spans="1:6" x14ac:dyDescent="0.25">
      <c r="A1832" s="4" t="s">
        <v>83</v>
      </c>
      <c r="B1832" s="4" t="s">
        <v>23</v>
      </c>
      <c r="C1832" s="4" t="s">
        <v>21</v>
      </c>
      <c r="D1832" s="4">
        <v>2035</v>
      </c>
      <c r="E1832" s="4">
        <v>0</v>
      </c>
      <c r="F1832" s="4" t="s">
        <v>29</v>
      </c>
    </row>
    <row r="1833" spans="1:6" x14ac:dyDescent="0.25">
      <c r="A1833" s="4" t="s">
        <v>83</v>
      </c>
      <c r="B1833" s="4" t="s">
        <v>23</v>
      </c>
      <c r="C1833" s="4" t="s">
        <v>21</v>
      </c>
      <c r="D1833" s="4">
        <v>2036</v>
      </c>
      <c r="E1833" s="4">
        <v>0</v>
      </c>
      <c r="F1833" s="4" t="s">
        <v>29</v>
      </c>
    </row>
    <row r="1834" spans="1:6" x14ac:dyDescent="0.25">
      <c r="A1834" s="4" t="s">
        <v>83</v>
      </c>
      <c r="B1834" s="4" t="s">
        <v>23</v>
      </c>
      <c r="C1834" s="4" t="s">
        <v>21</v>
      </c>
      <c r="D1834" s="4">
        <v>2037</v>
      </c>
      <c r="E1834" s="4">
        <v>0</v>
      </c>
      <c r="F1834" s="4" t="s">
        <v>29</v>
      </c>
    </row>
    <row r="1835" spans="1:6" x14ac:dyDescent="0.25">
      <c r="A1835" s="4" t="s">
        <v>83</v>
      </c>
      <c r="B1835" s="4" t="s">
        <v>23</v>
      </c>
      <c r="C1835" s="4" t="s">
        <v>21</v>
      </c>
      <c r="D1835" s="4">
        <v>2038</v>
      </c>
      <c r="E1835" s="4">
        <v>0</v>
      </c>
      <c r="F1835" s="4" t="s">
        <v>29</v>
      </c>
    </row>
    <row r="1836" spans="1:6" x14ac:dyDescent="0.25">
      <c r="A1836" s="4" t="s">
        <v>83</v>
      </c>
      <c r="B1836" s="4" t="s">
        <v>23</v>
      </c>
      <c r="C1836" s="4" t="s">
        <v>21</v>
      </c>
      <c r="D1836" s="4">
        <v>2039</v>
      </c>
      <c r="E1836" s="4">
        <v>0</v>
      </c>
      <c r="F1836" s="4" t="s">
        <v>29</v>
      </c>
    </row>
    <row r="1837" spans="1:6" x14ac:dyDescent="0.25">
      <c r="A1837" s="4" t="s">
        <v>83</v>
      </c>
      <c r="B1837" s="4" t="s">
        <v>23</v>
      </c>
      <c r="C1837" s="4" t="s">
        <v>21</v>
      </c>
      <c r="D1837" s="4">
        <v>2040</v>
      </c>
      <c r="E1837" s="4">
        <v>0</v>
      </c>
      <c r="F1837" s="4" t="s">
        <v>29</v>
      </c>
    </row>
    <row r="1838" spans="1:6" x14ac:dyDescent="0.25">
      <c r="A1838" s="4" t="s">
        <v>84</v>
      </c>
      <c r="B1838" s="4" t="s">
        <v>1</v>
      </c>
      <c r="C1838" s="4" t="s">
        <v>21</v>
      </c>
      <c r="D1838" s="4">
        <v>2005</v>
      </c>
      <c r="E1838" s="4">
        <v>0</v>
      </c>
      <c r="F1838" s="4" t="s">
        <v>29</v>
      </c>
    </row>
    <row r="1839" spans="1:6" x14ac:dyDescent="0.25">
      <c r="A1839" s="4" t="s">
        <v>84</v>
      </c>
      <c r="B1839" s="4" t="s">
        <v>1</v>
      </c>
      <c r="C1839" s="4" t="s">
        <v>21</v>
      </c>
      <c r="D1839" s="4">
        <v>2006</v>
      </c>
      <c r="E1839" s="4">
        <v>0</v>
      </c>
      <c r="F1839" s="4" t="s">
        <v>29</v>
      </c>
    </row>
    <row r="1840" spans="1:6" x14ac:dyDescent="0.25">
      <c r="A1840" s="4" t="s">
        <v>84</v>
      </c>
      <c r="B1840" s="4" t="s">
        <v>1</v>
      </c>
      <c r="C1840" s="4" t="s">
        <v>21</v>
      </c>
      <c r="D1840" s="4">
        <v>2007</v>
      </c>
      <c r="E1840" s="4">
        <v>0</v>
      </c>
      <c r="F1840" s="4" t="s">
        <v>29</v>
      </c>
    </row>
    <row r="1841" spans="1:6" x14ac:dyDescent="0.25">
      <c r="A1841" s="4" t="s">
        <v>84</v>
      </c>
      <c r="B1841" s="4" t="s">
        <v>1</v>
      </c>
      <c r="C1841" s="4" t="s">
        <v>21</v>
      </c>
      <c r="D1841" s="4">
        <v>2008</v>
      </c>
      <c r="E1841" s="4">
        <v>0</v>
      </c>
      <c r="F1841" s="4" t="s">
        <v>29</v>
      </c>
    </row>
    <row r="1842" spans="1:6" x14ac:dyDescent="0.25">
      <c r="A1842" s="4" t="s">
        <v>84</v>
      </c>
      <c r="B1842" s="4" t="s">
        <v>1</v>
      </c>
      <c r="C1842" s="4" t="s">
        <v>21</v>
      </c>
      <c r="D1842" s="4">
        <v>2009</v>
      </c>
      <c r="E1842" s="4">
        <v>0</v>
      </c>
      <c r="F1842" s="4" t="s">
        <v>29</v>
      </c>
    </row>
    <row r="1843" spans="1:6" x14ac:dyDescent="0.25">
      <c r="A1843" s="4" t="s">
        <v>84</v>
      </c>
      <c r="B1843" s="4" t="s">
        <v>1</v>
      </c>
      <c r="C1843" s="4" t="s">
        <v>21</v>
      </c>
      <c r="D1843" s="4">
        <v>2010</v>
      </c>
      <c r="E1843" s="4">
        <v>0</v>
      </c>
      <c r="F1843" s="4" t="s">
        <v>29</v>
      </c>
    </row>
    <row r="1844" spans="1:6" x14ac:dyDescent="0.25">
      <c r="A1844" s="4" t="s">
        <v>84</v>
      </c>
      <c r="B1844" s="4" t="s">
        <v>1</v>
      </c>
      <c r="C1844" s="4" t="s">
        <v>21</v>
      </c>
      <c r="D1844" s="4">
        <v>2011</v>
      </c>
      <c r="E1844" s="4">
        <v>0</v>
      </c>
      <c r="F1844" s="4" t="s">
        <v>29</v>
      </c>
    </row>
    <row r="1845" spans="1:6" x14ac:dyDescent="0.25">
      <c r="A1845" s="4" t="s">
        <v>84</v>
      </c>
      <c r="B1845" s="4" t="s">
        <v>1</v>
      </c>
      <c r="C1845" s="4" t="s">
        <v>21</v>
      </c>
      <c r="D1845" s="4">
        <v>2012</v>
      </c>
      <c r="E1845" s="4">
        <v>0</v>
      </c>
      <c r="F1845" s="4" t="s">
        <v>29</v>
      </c>
    </row>
    <row r="1846" spans="1:6" x14ac:dyDescent="0.25">
      <c r="A1846" s="4" t="s">
        <v>84</v>
      </c>
      <c r="B1846" s="4" t="s">
        <v>1</v>
      </c>
      <c r="C1846" s="4" t="s">
        <v>21</v>
      </c>
      <c r="D1846" s="4">
        <v>2013</v>
      </c>
      <c r="E1846" s="4">
        <v>0</v>
      </c>
      <c r="F1846" s="4" t="s">
        <v>29</v>
      </c>
    </row>
    <row r="1847" spans="1:6" x14ac:dyDescent="0.25">
      <c r="A1847" s="4" t="s">
        <v>84</v>
      </c>
      <c r="B1847" s="4" t="s">
        <v>1</v>
      </c>
      <c r="C1847" s="4" t="s">
        <v>21</v>
      </c>
      <c r="D1847" s="4">
        <v>2014</v>
      </c>
      <c r="E1847" s="4">
        <v>0</v>
      </c>
      <c r="F1847" s="4" t="s">
        <v>29</v>
      </c>
    </row>
    <row r="1848" spans="1:6" x14ac:dyDescent="0.25">
      <c r="A1848" s="4" t="s">
        <v>84</v>
      </c>
      <c r="B1848" s="4" t="s">
        <v>1</v>
      </c>
      <c r="C1848" s="4" t="s">
        <v>21</v>
      </c>
      <c r="D1848" s="4">
        <v>2015</v>
      </c>
      <c r="E1848" s="4">
        <v>0</v>
      </c>
      <c r="F1848" s="4" t="s">
        <v>29</v>
      </c>
    </row>
    <row r="1849" spans="1:6" x14ac:dyDescent="0.25">
      <c r="A1849" s="4" t="s">
        <v>84</v>
      </c>
      <c r="B1849" s="4" t="s">
        <v>1</v>
      </c>
      <c r="C1849" s="4" t="s">
        <v>21</v>
      </c>
      <c r="D1849" s="4">
        <v>2016</v>
      </c>
      <c r="E1849" s="4">
        <v>0</v>
      </c>
      <c r="F1849" s="4" t="s">
        <v>29</v>
      </c>
    </row>
    <row r="1850" spans="1:6" x14ac:dyDescent="0.25">
      <c r="A1850" s="4" t="s">
        <v>84</v>
      </c>
      <c r="B1850" s="4" t="s">
        <v>1</v>
      </c>
      <c r="C1850" s="4" t="s">
        <v>21</v>
      </c>
      <c r="D1850" s="4">
        <v>2017</v>
      </c>
      <c r="E1850" s="4">
        <v>0</v>
      </c>
      <c r="F1850" s="4" t="s">
        <v>29</v>
      </c>
    </row>
    <row r="1851" spans="1:6" x14ac:dyDescent="0.25">
      <c r="A1851" s="4" t="s">
        <v>84</v>
      </c>
      <c r="B1851" s="4" t="s">
        <v>1</v>
      </c>
      <c r="C1851" s="4" t="s">
        <v>21</v>
      </c>
      <c r="D1851" s="4">
        <v>2018</v>
      </c>
      <c r="E1851" s="4">
        <v>0</v>
      </c>
      <c r="F1851" s="4" t="s">
        <v>29</v>
      </c>
    </row>
    <row r="1852" spans="1:6" x14ac:dyDescent="0.25">
      <c r="A1852" s="4" t="s">
        <v>84</v>
      </c>
      <c r="B1852" s="4" t="s">
        <v>1</v>
      </c>
      <c r="C1852" s="4" t="s">
        <v>21</v>
      </c>
      <c r="D1852" s="4">
        <v>2019</v>
      </c>
      <c r="E1852" s="4">
        <v>0</v>
      </c>
      <c r="F1852" s="4" t="s">
        <v>29</v>
      </c>
    </row>
    <row r="1853" spans="1:6" x14ac:dyDescent="0.25">
      <c r="A1853" s="4" t="s">
        <v>84</v>
      </c>
      <c r="B1853" s="4" t="s">
        <v>1</v>
      </c>
      <c r="C1853" s="4" t="s">
        <v>21</v>
      </c>
      <c r="D1853" s="4">
        <v>2020</v>
      </c>
      <c r="E1853" s="4">
        <v>0</v>
      </c>
      <c r="F1853" s="4" t="s">
        <v>29</v>
      </c>
    </row>
    <row r="1854" spans="1:6" x14ac:dyDescent="0.25">
      <c r="A1854" s="4" t="s">
        <v>84</v>
      </c>
      <c r="B1854" s="4" t="s">
        <v>1</v>
      </c>
      <c r="C1854" s="4" t="s">
        <v>21</v>
      </c>
      <c r="D1854" s="4">
        <v>2021</v>
      </c>
      <c r="E1854" s="4">
        <v>0</v>
      </c>
      <c r="F1854" s="4" t="s">
        <v>29</v>
      </c>
    </row>
    <row r="1855" spans="1:6" x14ac:dyDescent="0.25">
      <c r="A1855" s="4" t="s">
        <v>84</v>
      </c>
      <c r="B1855" s="4" t="s">
        <v>1</v>
      </c>
      <c r="C1855" s="4" t="s">
        <v>21</v>
      </c>
      <c r="D1855" s="4">
        <v>2022</v>
      </c>
      <c r="E1855" s="4">
        <v>0</v>
      </c>
      <c r="F1855" s="4" t="s">
        <v>29</v>
      </c>
    </row>
    <row r="1856" spans="1:6" x14ac:dyDescent="0.25">
      <c r="A1856" s="4" t="s">
        <v>84</v>
      </c>
      <c r="B1856" s="4" t="s">
        <v>1</v>
      </c>
      <c r="C1856" s="4" t="s">
        <v>21</v>
      </c>
      <c r="D1856" s="4">
        <v>2023</v>
      </c>
      <c r="E1856" s="4">
        <v>0</v>
      </c>
      <c r="F1856" s="4" t="s">
        <v>29</v>
      </c>
    </row>
    <row r="1857" spans="1:6" x14ac:dyDescent="0.25">
      <c r="A1857" s="4" t="s">
        <v>84</v>
      </c>
      <c r="B1857" s="4" t="s">
        <v>1</v>
      </c>
      <c r="C1857" s="4" t="s">
        <v>21</v>
      </c>
      <c r="D1857" s="4">
        <v>2024</v>
      </c>
      <c r="E1857" s="4">
        <v>0</v>
      </c>
      <c r="F1857" s="4" t="s">
        <v>29</v>
      </c>
    </row>
    <row r="1858" spans="1:6" x14ac:dyDescent="0.25">
      <c r="A1858" s="4" t="s">
        <v>84</v>
      </c>
      <c r="B1858" s="4" t="s">
        <v>1</v>
      </c>
      <c r="C1858" s="4" t="s">
        <v>21</v>
      </c>
      <c r="D1858" s="4">
        <v>2025</v>
      </c>
      <c r="E1858" s="4">
        <v>0</v>
      </c>
      <c r="F1858" s="4" t="s">
        <v>29</v>
      </c>
    </row>
    <row r="1859" spans="1:6" x14ac:dyDescent="0.25">
      <c r="A1859" s="4" t="s">
        <v>84</v>
      </c>
      <c r="B1859" s="4" t="s">
        <v>1</v>
      </c>
      <c r="C1859" s="4" t="s">
        <v>21</v>
      </c>
      <c r="D1859" s="4">
        <v>2026</v>
      </c>
      <c r="E1859" s="4">
        <v>0</v>
      </c>
      <c r="F1859" s="4" t="s">
        <v>29</v>
      </c>
    </row>
    <row r="1860" spans="1:6" x14ac:dyDescent="0.25">
      <c r="A1860" s="4" t="s">
        <v>84</v>
      </c>
      <c r="B1860" s="4" t="s">
        <v>1</v>
      </c>
      <c r="C1860" s="4" t="s">
        <v>21</v>
      </c>
      <c r="D1860" s="4">
        <v>2027</v>
      </c>
      <c r="E1860" s="4">
        <v>0</v>
      </c>
      <c r="F1860" s="4" t="s">
        <v>29</v>
      </c>
    </row>
    <row r="1861" spans="1:6" x14ac:dyDescent="0.25">
      <c r="A1861" s="4" t="s">
        <v>84</v>
      </c>
      <c r="B1861" s="4" t="s">
        <v>1</v>
      </c>
      <c r="C1861" s="4" t="s">
        <v>21</v>
      </c>
      <c r="D1861" s="4">
        <v>2028</v>
      </c>
      <c r="E1861" s="4">
        <v>0</v>
      </c>
      <c r="F1861" s="4" t="s">
        <v>29</v>
      </c>
    </row>
    <row r="1862" spans="1:6" x14ac:dyDescent="0.25">
      <c r="A1862" s="4" t="s">
        <v>84</v>
      </c>
      <c r="B1862" s="4" t="s">
        <v>1</v>
      </c>
      <c r="C1862" s="4" t="s">
        <v>21</v>
      </c>
      <c r="D1862" s="4">
        <v>2029</v>
      </c>
      <c r="E1862" s="4">
        <v>0</v>
      </c>
      <c r="F1862" s="4" t="s">
        <v>29</v>
      </c>
    </row>
    <row r="1863" spans="1:6" x14ac:dyDescent="0.25">
      <c r="A1863" s="4" t="s">
        <v>84</v>
      </c>
      <c r="B1863" s="4" t="s">
        <v>1</v>
      </c>
      <c r="C1863" s="4" t="s">
        <v>21</v>
      </c>
      <c r="D1863" s="4">
        <v>2030</v>
      </c>
      <c r="E1863" s="4">
        <v>0</v>
      </c>
      <c r="F1863" s="4" t="s">
        <v>29</v>
      </c>
    </row>
    <row r="1864" spans="1:6" x14ac:dyDescent="0.25">
      <c r="A1864" s="4" t="s">
        <v>84</v>
      </c>
      <c r="B1864" s="4" t="s">
        <v>1</v>
      </c>
      <c r="C1864" s="4" t="s">
        <v>21</v>
      </c>
      <c r="D1864" s="4">
        <v>2031</v>
      </c>
      <c r="E1864" s="4">
        <v>0</v>
      </c>
      <c r="F1864" s="4" t="s">
        <v>29</v>
      </c>
    </row>
    <row r="1865" spans="1:6" x14ac:dyDescent="0.25">
      <c r="A1865" s="4" t="s">
        <v>84</v>
      </c>
      <c r="B1865" s="4" t="s">
        <v>1</v>
      </c>
      <c r="C1865" s="4" t="s">
        <v>21</v>
      </c>
      <c r="D1865" s="4">
        <v>2032</v>
      </c>
      <c r="E1865" s="4">
        <v>0</v>
      </c>
      <c r="F1865" s="4" t="s">
        <v>29</v>
      </c>
    </row>
    <row r="1866" spans="1:6" x14ac:dyDescent="0.25">
      <c r="A1866" s="4" t="s">
        <v>84</v>
      </c>
      <c r="B1866" s="4" t="s">
        <v>1</v>
      </c>
      <c r="C1866" s="4" t="s">
        <v>21</v>
      </c>
      <c r="D1866" s="4">
        <v>2033</v>
      </c>
      <c r="E1866" s="4">
        <v>0</v>
      </c>
      <c r="F1866" s="4" t="s">
        <v>29</v>
      </c>
    </row>
    <row r="1867" spans="1:6" x14ac:dyDescent="0.25">
      <c r="A1867" s="4" t="s">
        <v>84</v>
      </c>
      <c r="B1867" s="4" t="s">
        <v>1</v>
      </c>
      <c r="C1867" s="4" t="s">
        <v>21</v>
      </c>
      <c r="D1867" s="4">
        <v>2034</v>
      </c>
      <c r="E1867" s="4">
        <v>0</v>
      </c>
      <c r="F1867" s="4" t="s">
        <v>29</v>
      </c>
    </row>
    <row r="1868" spans="1:6" x14ac:dyDescent="0.25">
      <c r="A1868" s="4" t="s">
        <v>84</v>
      </c>
      <c r="B1868" s="4" t="s">
        <v>1</v>
      </c>
      <c r="C1868" s="4" t="s">
        <v>21</v>
      </c>
      <c r="D1868" s="4">
        <v>2035</v>
      </c>
      <c r="E1868" s="4">
        <v>0</v>
      </c>
      <c r="F1868" s="4" t="s">
        <v>29</v>
      </c>
    </row>
    <row r="1869" spans="1:6" x14ac:dyDescent="0.25">
      <c r="A1869" s="4" t="s">
        <v>84</v>
      </c>
      <c r="B1869" s="4" t="s">
        <v>1</v>
      </c>
      <c r="C1869" s="4" t="s">
        <v>21</v>
      </c>
      <c r="D1869" s="4">
        <v>2036</v>
      </c>
      <c r="E1869" s="4">
        <v>0</v>
      </c>
      <c r="F1869" s="4" t="s">
        <v>29</v>
      </c>
    </row>
    <row r="1870" spans="1:6" x14ac:dyDescent="0.25">
      <c r="A1870" s="4" t="s">
        <v>84</v>
      </c>
      <c r="B1870" s="4" t="s">
        <v>1</v>
      </c>
      <c r="C1870" s="4" t="s">
        <v>21</v>
      </c>
      <c r="D1870" s="4">
        <v>2037</v>
      </c>
      <c r="E1870" s="4">
        <v>0</v>
      </c>
      <c r="F1870" s="4" t="s">
        <v>29</v>
      </c>
    </row>
    <row r="1871" spans="1:6" x14ac:dyDescent="0.25">
      <c r="A1871" s="4" t="s">
        <v>84</v>
      </c>
      <c r="B1871" s="4" t="s">
        <v>1</v>
      </c>
      <c r="C1871" s="4" t="s">
        <v>21</v>
      </c>
      <c r="D1871" s="4">
        <v>2038</v>
      </c>
      <c r="E1871" s="4">
        <v>0</v>
      </c>
      <c r="F1871" s="4" t="s">
        <v>29</v>
      </c>
    </row>
    <row r="1872" spans="1:6" x14ac:dyDescent="0.25">
      <c r="A1872" s="4" t="s">
        <v>84</v>
      </c>
      <c r="B1872" s="4" t="s">
        <v>1</v>
      </c>
      <c r="C1872" s="4" t="s">
        <v>21</v>
      </c>
      <c r="D1872" s="4">
        <v>2039</v>
      </c>
      <c r="E1872" s="4">
        <v>0</v>
      </c>
      <c r="F1872" s="4" t="s">
        <v>29</v>
      </c>
    </row>
    <row r="1873" spans="1:6" x14ac:dyDescent="0.25">
      <c r="A1873" s="4" t="s">
        <v>84</v>
      </c>
      <c r="B1873" s="4" t="s">
        <v>1</v>
      </c>
      <c r="C1873" s="4" t="s">
        <v>21</v>
      </c>
      <c r="D1873" s="4">
        <v>2040</v>
      </c>
      <c r="E1873" s="4">
        <v>0</v>
      </c>
      <c r="F1873" s="4" t="s">
        <v>29</v>
      </c>
    </row>
    <row r="1874" spans="1:6" x14ac:dyDescent="0.25">
      <c r="A1874" s="4" t="s">
        <v>84</v>
      </c>
      <c r="B1874" s="4" t="s">
        <v>2</v>
      </c>
      <c r="C1874" s="4" t="s">
        <v>21</v>
      </c>
      <c r="D1874" s="4">
        <v>2005</v>
      </c>
      <c r="E1874" s="4">
        <v>0</v>
      </c>
      <c r="F1874" s="4" t="s">
        <v>29</v>
      </c>
    </row>
    <row r="1875" spans="1:6" x14ac:dyDescent="0.25">
      <c r="A1875" s="4" t="s">
        <v>84</v>
      </c>
      <c r="B1875" s="4" t="s">
        <v>2</v>
      </c>
      <c r="C1875" s="4" t="s">
        <v>21</v>
      </c>
      <c r="D1875" s="4">
        <v>2006</v>
      </c>
      <c r="E1875" s="4">
        <v>0</v>
      </c>
      <c r="F1875" s="4" t="s">
        <v>29</v>
      </c>
    </row>
    <row r="1876" spans="1:6" x14ac:dyDescent="0.25">
      <c r="A1876" s="4" t="s">
        <v>84</v>
      </c>
      <c r="B1876" s="4" t="s">
        <v>2</v>
      </c>
      <c r="C1876" s="4" t="s">
        <v>21</v>
      </c>
      <c r="D1876" s="4">
        <v>2007</v>
      </c>
      <c r="E1876" s="4">
        <v>0</v>
      </c>
      <c r="F1876" s="4" t="s">
        <v>29</v>
      </c>
    </row>
    <row r="1877" spans="1:6" x14ac:dyDescent="0.25">
      <c r="A1877" s="4" t="s">
        <v>84</v>
      </c>
      <c r="B1877" s="4" t="s">
        <v>2</v>
      </c>
      <c r="C1877" s="4" t="s">
        <v>21</v>
      </c>
      <c r="D1877" s="4">
        <v>2008</v>
      </c>
      <c r="E1877" s="4">
        <v>0</v>
      </c>
      <c r="F1877" s="4" t="s">
        <v>29</v>
      </c>
    </row>
    <row r="1878" spans="1:6" x14ac:dyDescent="0.25">
      <c r="A1878" s="4" t="s">
        <v>84</v>
      </c>
      <c r="B1878" s="4" t="s">
        <v>2</v>
      </c>
      <c r="C1878" s="4" t="s">
        <v>21</v>
      </c>
      <c r="D1878" s="4">
        <v>2009</v>
      </c>
      <c r="E1878" s="4">
        <v>0</v>
      </c>
      <c r="F1878" s="4" t="s">
        <v>29</v>
      </c>
    </row>
    <row r="1879" spans="1:6" x14ac:dyDescent="0.25">
      <c r="A1879" s="4" t="s">
        <v>84</v>
      </c>
      <c r="B1879" s="4" t="s">
        <v>2</v>
      </c>
      <c r="C1879" s="4" t="s">
        <v>21</v>
      </c>
      <c r="D1879" s="4">
        <v>2010</v>
      </c>
      <c r="E1879" s="4">
        <v>0</v>
      </c>
      <c r="F1879" s="4" t="s">
        <v>29</v>
      </c>
    </row>
    <row r="1880" spans="1:6" x14ac:dyDescent="0.25">
      <c r="A1880" s="4" t="s">
        <v>84</v>
      </c>
      <c r="B1880" s="4" t="s">
        <v>2</v>
      </c>
      <c r="C1880" s="4" t="s">
        <v>21</v>
      </c>
      <c r="D1880" s="4">
        <v>2011</v>
      </c>
      <c r="E1880" s="4">
        <v>0</v>
      </c>
      <c r="F1880" s="4" t="s">
        <v>29</v>
      </c>
    </row>
    <row r="1881" spans="1:6" x14ac:dyDescent="0.25">
      <c r="A1881" s="4" t="s">
        <v>84</v>
      </c>
      <c r="B1881" s="4" t="s">
        <v>2</v>
      </c>
      <c r="C1881" s="4" t="s">
        <v>21</v>
      </c>
      <c r="D1881" s="4">
        <v>2012</v>
      </c>
      <c r="E1881" s="4">
        <v>0</v>
      </c>
      <c r="F1881" s="4" t="s">
        <v>29</v>
      </c>
    </row>
    <row r="1882" spans="1:6" x14ac:dyDescent="0.25">
      <c r="A1882" s="4" t="s">
        <v>84</v>
      </c>
      <c r="B1882" s="4" t="s">
        <v>2</v>
      </c>
      <c r="C1882" s="4" t="s">
        <v>21</v>
      </c>
      <c r="D1882" s="4">
        <v>2013</v>
      </c>
      <c r="E1882" s="4">
        <v>0</v>
      </c>
      <c r="F1882" s="4" t="s">
        <v>29</v>
      </c>
    </row>
    <row r="1883" spans="1:6" x14ac:dyDescent="0.25">
      <c r="A1883" s="4" t="s">
        <v>84</v>
      </c>
      <c r="B1883" s="4" t="s">
        <v>2</v>
      </c>
      <c r="C1883" s="4" t="s">
        <v>21</v>
      </c>
      <c r="D1883" s="4">
        <v>2014</v>
      </c>
      <c r="E1883" s="4">
        <v>0</v>
      </c>
      <c r="F1883" s="4" t="s">
        <v>29</v>
      </c>
    </row>
    <row r="1884" spans="1:6" x14ac:dyDescent="0.25">
      <c r="A1884" s="4" t="s">
        <v>84</v>
      </c>
      <c r="B1884" s="4" t="s">
        <v>2</v>
      </c>
      <c r="C1884" s="4" t="s">
        <v>21</v>
      </c>
      <c r="D1884" s="4">
        <v>2015</v>
      </c>
      <c r="E1884" s="4">
        <v>0</v>
      </c>
      <c r="F1884" s="4" t="s">
        <v>29</v>
      </c>
    </row>
    <row r="1885" spans="1:6" x14ac:dyDescent="0.25">
      <c r="A1885" s="4" t="s">
        <v>84</v>
      </c>
      <c r="B1885" s="4" t="s">
        <v>2</v>
      </c>
      <c r="C1885" s="4" t="s">
        <v>21</v>
      </c>
      <c r="D1885" s="4">
        <v>2016</v>
      </c>
      <c r="E1885" s="4">
        <v>0</v>
      </c>
      <c r="F1885" s="4" t="s">
        <v>29</v>
      </c>
    </row>
    <row r="1886" spans="1:6" x14ac:dyDescent="0.25">
      <c r="A1886" s="4" t="s">
        <v>84</v>
      </c>
      <c r="B1886" s="4" t="s">
        <v>2</v>
      </c>
      <c r="C1886" s="4" t="s">
        <v>21</v>
      </c>
      <c r="D1886" s="4">
        <v>2017</v>
      </c>
      <c r="E1886" s="4">
        <v>0</v>
      </c>
      <c r="F1886" s="4" t="s">
        <v>29</v>
      </c>
    </row>
    <row r="1887" spans="1:6" x14ac:dyDescent="0.25">
      <c r="A1887" s="4" t="s">
        <v>84</v>
      </c>
      <c r="B1887" s="4" t="s">
        <v>2</v>
      </c>
      <c r="C1887" s="4" t="s">
        <v>21</v>
      </c>
      <c r="D1887" s="4">
        <v>2018</v>
      </c>
      <c r="E1887" s="4">
        <v>0</v>
      </c>
      <c r="F1887" s="4" t="s">
        <v>29</v>
      </c>
    </row>
    <row r="1888" spans="1:6" x14ac:dyDescent="0.25">
      <c r="A1888" s="4" t="s">
        <v>84</v>
      </c>
      <c r="B1888" s="4" t="s">
        <v>2</v>
      </c>
      <c r="C1888" s="4" t="s">
        <v>21</v>
      </c>
      <c r="D1888" s="4">
        <v>2019</v>
      </c>
      <c r="E1888" s="4">
        <v>0</v>
      </c>
      <c r="F1888" s="4" t="s">
        <v>29</v>
      </c>
    </row>
    <row r="1889" spans="1:6" x14ac:dyDescent="0.25">
      <c r="A1889" s="4" t="s">
        <v>84</v>
      </c>
      <c r="B1889" s="4" t="s">
        <v>2</v>
      </c>
      <c r="C1889" s="4" t="s">
        <v>21</v>
      </c>
      <c r="D1889" s="4">
        <v>2020</v>
      </c>
      <c r="E1889" s="4">
        <v>0</v>
      </c>
      <c r="F1889" s="4" t="s">
        <v>29</v>
      </c>
    </row>
    <row r="1890" spans="1:6" x14ac:dyDescent="0.25">
      <c r="A1890" s="4" t="s">
        <v>84</v>
      </c>
      <c r="B1890" s="4" t="s">
        <v>2</v>
      </c>
      <c r="C1890" s="4" t="s">
        <v>21</v>
      </c>
      <c r="D1890" s="4">
        <v>2021</v>
      </c>
      <c r="E1890" s="4">
        <v>0</v>
      </c>
      <c r="F1890" s="4" t="s">
        <v>29</v>
      </c>
    </row>
    <row r="1891" spans="1:6" x14ac:dyDescent="0.25">
      <c r="A1891" s="4" t="s">
        <v>84</v>
      </c>
      <c r="B1891" s="4" t="s">
        <v>2</v>
      </c>
      <c r="C1891" s="4" t="s">
        <v>21</v>
      </c>
      <c r="D1891" s="4">
        <v>2022</v>
      </c>
      <c r="E1891" s="4">
        <v>0</v>
      </c>
      <c r="F1891" s="4" t="s">
        <v>29</v>
      </c>
    </row>
    <row r="1892" spans="1:6" x14ac:dyDescent="0.25">
      <c r="A1892" s="4" t="s">
        <v>84</v>
      </c>
      <c r="B1892" s="4" t="s">
        <v>2</v>
      </c>
      <c r="C1892" s="4" t="s">
        <v>21</v>
      </c>
      <c r="D1892" s="4">
        <v>2023</v>
      </c>
      <c r="E1892" s="4">
        <v>0</v>
      </c>
      <c r="F1892" s="4" t="s">
        <v>29</v>
      </c>
    </row>
    <row r="1893" spans="1:6" x14ac:dyDescent="0.25">
      <c r="A1893" s="4" t="s">
        <v>84</v>
      </c>
      <c r="B1893" s="4" t="s">
        <v>2</v>
      </c>
      <c r="C1893" s="4" t="s">
        <v>21</v>
      </c>
      <c r="D1893" s="4">
        <v>2024</v>
      </c>
      <c r="E1893" s="4">
        <v>0</v>
      </c>
      <c r="F1893" s="4" t="s">
        <v>29</v>
      </c>
    </row>
    <row r="1894" spans="1:6" x14ac:dyDescent="0.25">
      <c r="A1894" s="4" t="s">
        <v>84</v>
      </c>
      <c r="B1894" s="4" t="s">
        <v>2</v>
      </c>
      <c r="C1894" s="4" t="s">
        <v>21</v>
      </c>
      <c r="D1894" s="4">
        <v>2025</v>
      </c>
      <c r="E1894" s="4">
        <v>0</v>
      </c>
      <c r="F1894" s="4" t="s">
        <v>29</v>
      </c>
    </row>
    <row r="1895" spans="1:6" x14ac:dyDescent="0.25">
      <c r="A1895" s="4" t="s">
        <v>84</v>
      </c>
      <c r="B1895" s="4" t="s">
        <v>2</v>
      </c>
      <c r="C1895" s="4" t="s">
        <v>21</v>
      </c>
      <c r="D1895" s="4">
        <v>2026</v>
      </c>
      <c r="E1895" s="4">
        <v>0</v>
      </c>
      <c r="F1895" s="4" t="s">
        <v>29</v>
      </c>
    </row>
    <row r="1896" spans="1:6" x14ac:dyDescent="0.25">
      <c r="A1896" s="4" t="s">
        <v>84</v>
      </c>
      <c r="B1896" s="4" t="s">
        <v>2</v>
      </c>
      <c r="C1896" s="4" t="s">
        <v>21</v>
      </c>
      <c r="D1896" s="4">
        <v>2027</v>
      </c>
      <c r="E1896" s="4">
        <v>0</v>
      </c>
      <c r="F1896" s="4" t="s">
        <v>29</v>
      </c>
    </row>
    <row r="1897" spans="1:6" x14ac:dyDescent="0.25">
      <c r="A1897" s="4" t="s">
        <v>84</v>
      </c>
      <c r="B1897" s="4" t="s">
        <v>2</v>
      </c>
      <c r="C1897" s="4" t="s">
        <v>21</v>
      </c>
      <c r="D1897" s="4">
        <v>2028</v>
      </c>
      <c r="E1897" s="4">
        <v>0</v>
      </c>
      <c r="F1897" s="4" t="s">
        <v>29</v>
      </c>
    </row>
    <row r="1898" spans="1:6" x14ac:dyDescent="0.25">
      <c r="A1898" s="4" t="s">
        <v>84</v>
      </c>
      <c r="B1898" s="4" t="s">
        <v>2</v>
      </c>
      <c r="C1898" s="4" t="s">
        <v>21</v>
      </c>
      <c r="D1898" s="4">
        <v>2029</v>
      </c>
      <c r="E1898" s="4">
        <v>0</v>
      </c>
      <c r="F1898" s="4" t="s">
        <v>29</v>
      </c>
    </row>
    <row r="1899" spans="1:6" x14ac:dyDescent="0.25">
      <c r="A1899" s="4" t="s">
        <v>84</v>
      </c>
      <c r="B1899" s="4" t="s">
        <v>2</v>
      </c>
      <c r="C1899" s="4" t="s">
        <v>21</v>
      </c>
      <c r="D1899" s="4">
        <v>2030</v>
      </c>
      <c r="E1899" s="4">
        <v>0</v>
      </c>
      <c r="F1899" s="4" t="s">
        <v>29</v>
      </c>
    </row>
    <row r="1900" spans="1:6" x14ac:dyDescent="0.25">
      <c r="A1900" s="4" t="s">
        <v>84</v>
      </c>
      <c r="B1900" s="4" t="s">
        <v>2</v>
      </c>
      <c r="C1900" s="4" t="s">
        <v>21</v>
      </c>
      <c r="D1900" s="4">
        <v>2031</v>
      </c>
      <c r="E1900" s="4">
        <v>0</v>
      </c>
      <c r="F1900" s="4" t="s">
        <v>29</v>
      </c>
    </row>
    <row r="1901" spans="1:6" x14ac:dyDescent="0.25">
      <c r="A1901" s="4" t="s">
        <v>84</v>
      </c>
      <c r="B1901" s="4" t="s">
        <v>2</v>
      </c>
      <c r="C1901" s="4" t="s">
        <v>21</v>
      </c>
      <c r="D1901" s="4">
        <v>2032</v>
      </c>
      <c r="E1901" s="4">
        <v>0</v>
      </c>
      <c r="F1901" s="4" t="s">
        <v>29</v>
      </c>
    </row>
    <row r="1902" spans="1:6" x14ac:dyDescent="0.25">
      <c r="A1902" s="4" t="s">
        <v>84</v>
      </c>
      <c r="B1902" s="4" t="s">
        <v>2</v>
      </c>
      <c r="C1902" s="4" t="s">
        <v>21</v>
      </c>
      <c r="D1902" s="4">
        <v>2033</v>
      </c>
      <c r="E1902" s="4">
        <v>0</v>
      </c>
      <c r="F1902" s="4" t="s">
        <v>29</v>
      </c>
    </row>
    <row r="1903" spans="1:6" x14ac:dyDescent="0.25">
      <c r="A1903" s="4" t="s">
        <v>84</v>
      </c>
      <c r="B1903" s="4" t="s">
        <v>2</v>
      </c>
      <c r="C1903" s="4" t="s">
        <v>21</v>
      </c>
      <c r="D1903" s="4">
        <v>2034</v>
      </c>
      <c r="E1903" s="4">
        <v>0</v>
      </c>
      <c r="F1903" s="4" t="s">
        <v>29</v>
      </c>
    </row>
    <row r="1904" spans="1:6" x14ac:dyDescent="0.25">
      <c r="A1904" s="4" t="s">
        <v>84</v>
      </c>
      <c r="B1904" s="4" t="s">
        <v>2</v>
      </c>
      <c r="C1904" s="4" t="s">
        <v>21</v>
      </c>
      <c r="D1904" s="4">
        <v>2035</v>
      </c>
      <c r="E1904" s="4">
        <v>0</v>
      </c>
      <c r="F1904" s="4" t="s">
        <v>29</v>
      </c>
    </row>
    <row r="1905" spans="1:6" x14ac:dyDescent="0.25">
      <c r="A1905" s="4" t="s">
        <v>84</v>
      </c>
      <c r="B1905" s="4" t="s">
        <v>2</v>
      </c>
      <c r="C1905" s="4" t="s">
        <v>21</v>
      </c>
      <c r="D1905" s="4">
        <v>2036</v>
      </c>
      <c r="E1905" s="4">
        <v>0</v>
      </c>
      <c r="F1905" s="4" t="s">
        <v>29</v>
      </c>
    </row>
    <row r="1906" spans="1:6" x14ac:dyDescent="0.25">
      <c r="A1906" s="4" t="s">
        <v>84</v>
      </c>
      <c r="B1906" s="4" t="s">
        <v>2</v>
      </c>
      <c r="C1906" s="4" t="s">
        <v>21</v>
      </c>
      <c r="D1906" s="4">
        <v>2037</v>
      </c>
      <c r="E1906" s="4">
        <v>0</v>
      </c>
      <c r="F1906" s="4" t="s">
        <v>29</v>
      </c>
    </row>
    <row r="1907" spans="1:6" x14ac:dyDescent="0.25">
      <c r="A1907" s="4" t="s">
        <v>84</v>
      </c>
      <c r="B1907" s="4" t="s">
        <v>2</v>
      </c>
      <c r="C1907" s="4" t="s">
        <v>21</v>
      </c>
      <c r="D1907" s="4">
        <v>2038</v>
      </c>
      <c r="E1907" s="4">
        <v>0</v>
      </c>
      <c r="F1907" s="4" t="s">
        <v>29</v>
      </c>
    </row>
    <row r="1908" spans="1:6" x14ac:dyDescent="0.25">
      <c r="A1908" s="4" t="s">
        <v>84</v>
      </c>
      <c r="B1908" s="4" t="s">
        <v>2</v>
      </c>
      <c r="C1908" s="4" t="s">
        <v>21</v>
      </c>
      <c r="D1908" s="4">
        <v>2039</v>
      </c>
      <c r="E1908" s="4">
        <v>0</v>
      </c>
      <c r="F1908" s="4" t="s">
        <v>29</v>
      </c>
    </row>
    <row r="1909" spans="1:6" x14ac:dyDescent="0.25">
      <c r="A1909" s="4" t="s">
        <v>84</v>
      </c>
      <c r="B1909" s="4" t="s">
        <v>2</v>
      </c>
      <c r="C1909" s="4" t="s">
        <v>21</v>
      </c>
      <c r="D1909" s="4">
        <v>2040</v>
      </c>
      <c r="E1909" s="4">
        <v>0</v>
      </c>
      <c r="F1909" s="4" t="s">
        <v>29</v>
      </c>
    </row>
    <row r="1910" spans="1:6" x14ac:dyDescent="0.25">
      <c r="A1910" s="4" t="s">
        <v>84</v>
      </c>
      <c r="B1910" s="4" t="s">
        <v>3</v>
      </c>
      <c r="C1910" s="4" t="s">
        <v>21</v>
      </c>
      <c r="D1910" s="4">
        <v>2005</v>
      </c>
      <c r="E1910" s="4">
        <v>0</v>
      </c>
      <c r="F1910" s="4" t="s">
        <v>29</v>
      </c>
    </row>
    <row r="1911" spans="1:6" x14ac:dyDescent="0.25">
      <c r="A1911" s="4" t="s">
        <v>84</v>
      </c>
      <c r="B1911" s="4" t="s">
        <v>3</v>
      </c>
      <c r="C1911" s="4" t="s">
        <v>21</v>
      </c>
      <c r="D1911" s="4">
        <v>2006</v>
      </c>
      <c r="E1911" s="4">
        <v>0</v>
      </c>
      <c r="F1911" s="4" t="s">
        <v>29</v>
      </c>
    </row>
    <row r="1912" spans="1:6" x14ac:dyDescent="0.25">
      <c r="A1912" s="4" t="s">
        <v>84</v>
      </c>
      <c r="B1912" s="4" t="s">
        <v>3</v>
      </c>
      <c r="C1912" s="4" t="s">
        <v>21</v>
      </c>
      <c r="D1912" s="4">
        <v>2007</v>
      </c>
      <c r="E1912" s="4">
        <v>0</v>
      </c>
      <c r="F1912" s="4" t="s">
        <v>29</v>
      </c>
    </row>
    <row r="1913" spans="1:6" x14ac:dyDescent="0.25">
      <c r="A1913" s="4" t="s">
        <v>84</v>
      </c>
      <c r="B1913" s="4" t="s">
        <v>3</v>
      </c>
      <c r="C1913" s="4" t="s">
        <v>21</v>
      </c>
      <c r="D1913" s="4">
        <v>2008</v>
      </c>
      <c r="E1913" s="4">
        <v>0</v>
      </c>
      <c r="F1913" s="4" t="s">
        <v>29</v>
      </c>
    </row>
    <row r="1914" spans="1:6" x14ac:dyDescent="0.25">
      <c r="A1914" s="4" t="s">
        <v>84</v>
      </c>
      <c r="B1914" s="4" t="s">
        <v>3</v>
      </c>
      <c r="C1914" s="4" t="s">
        <v>21</v>
      </c>
      <c r="D1914" s="4">
        <v>2009</v>
      </c>
      <c r="E1914" s="4">
        <v>0</v>
      </c>
      <c r="F1914" s="4" t="s">
        <v>29</v>
      </c>
    </row>
    <row r="1915" spans="1:6" x14ac:dyDescent="0.25">
      <c r="A1915" s="4" t="s">
        <v>84</v>
      </c>
      <c r="B1915" s="4" t="s">
        <v>3</v>
      </c>
      <c r="C1915" s="4" t="s">
        <v>21</v>
      </c>
      <c r="D1915" s="4">
        <v>2010</v>
      </c>
      <c r="E1915" s="4">
        <v>0</v>
      </c>
      <c r="F1915" s="4" t="s">
        <v>29</v>
      </c>
    </row>
    <row r="1916" spans="1:6" x14ac:dyDescent="0.25">
      <c r="A1916" s="4" t="s">
        <v>84</v>
      </c>
      <c r="B1916" s="4" t="s">
        <v>3</v>
      </c>
      <c r="C1916" s="4" t="s">
        <v>21</v>
      </c>
      <c r="D1916" s="4">
        <v>2011</v>
      </c>
      <c r="E1916" s="4">
        <v>0</v>
      </c>
      <c r="F1916" s="4" t="s">
        <v>29</v>
      </c>
    </row>
    <row r="1917" spans="1:6" x14ac:dyDescent="0.25">
      <c r="A1917" s="4" t="s">
        <v>84</v>
      </c>
      <c r="B1917" s="4" t="s">
        <v>3</v>
      </c>
      <c r="C1917" s="4" t="s">
        <v>21</v>
      </c>
      <c r="D1917" s="4">
        <v>2012</v>
      </c>
      <c r="E1917" s="4">
        <v>0</v>
      </c>
      <c r="F1917" s="4" t="s">
        <v>29</v>
      </c>
    </row>
    <row r="1918" spans="1:6" x14ac:dyDescent="0.25">
      <c r="A1918" s="4" t="s">
        <v>84</v>
      </c>
      <c r="B1918" s="4" t="s">
        <v>3</v>
      </c>
      <c r="C1918" s="4" t="s">
        <v>21</v>
      </c>
      <c r="D1918" s="4">
        <v>2013</v>
      </c>
      <c r="E1918" s="4">
        <v>0</v>
      </c>
      <c r="F1918" s="4" t="s">
        <v>29</v>
      </c>
    </row>
    <row r="1919" spans="1:6" x14ac:dyDescent="0.25">
      <c r="A1919" s="4" t="s">
        <v>84</v>
      </c>
      <c r="B1919" s="4" t="s">
        <v>3</v>
      </c>
      <c r="C1919" s="4" t="s">
        <v>21</v>
      </c>
      <c r="D1919" s="4">
        <v>2014</v>
      </c>
      <c r="E1919" s="4">
        <v>0</v>
      </c>
      <c r="F1919" s="4" t="s">
        <v>29</v>
      </c>
    </row>
    <row r="1920" spans="1:6" x14ac:dyDescent="0.25">
      <c r="A1920" s="4" t="s">
        <v>84</v>
      </c>
      <c r="B1920" s="4" t="s">
        <v>3</v>
      </c>
      <c r="C1920" s="4" t="s">
        <v>21</v>
      </c>
      <c r="D1920" s="4">
        <v>2015</v>
      </c>
      <c r="E1920" s="4">
        <v>0</v>
      </c>
      <c r="F1920" s="4" t="s">
        <v>29</v>
      </c>
    </row>
    <row r="1921" spans="1:6" x14ac:dyDescent="0.25">
      <c r="A1921" s="4" t="s">
        <v>84</v>
      </c>
      <c r="B1921" s="4" t="s">
        <v>3</v>
      </c>
      <c r="C1921" s="4" t="s">
        <v>21</v>
      </c>
      <c r="D1921" s="4">
        <v>2016</v>
      </c>
      <c r="E1921" s="4">
        <v>0</v>
      </c>
      <c r="F1921" s="4" t="s">
        <v>29</v>
      </c>
    </row>
    <row r="1922" spans="1:6" x14ac:dyDescent="0.25">
      <c r="A1922" s="4" t="s">
        <v>84</v>
      </c>
      <c r="B1922" s="4" t="s">
        <v>3</v>
      </c>
      <c r="C1922" s="4" t="s">
        <v>21</v>
      </c>
      <c r="D1922" s="4">
        <v>2017</v>
      </c>
      <c r="E1922" s="4">
        <v>0</v>
      </c>
      <c r="F1922" s="4" t="s">
        <v>29</v>
      </c>
    </row>
    <row r="1923" spans="1:6" x14ac:dyDescent="0.25">
      <c r="A1923" s="4" t="s">
        <v>84</v>
      </c>
      <c r="B1923" s="4" t="s">
        <v>3</v>
      </c>
      <c r="C1923" s="4" t="s">
        <v>21</v>
      </c>
      <c r="D1923" s="4">
        <v>2018</v>
      </c>
      <c r="E1923" s="4">
        <v>0</v>
      </c>
      <c r="F1923" s="4" t="s">
        <v>29</v>
      </c>
    </row>
    <row r="1924" spans="1:6" x14ac:dyDescent="0.25">
      <c r="A1924" s="4" t="s">
        <v>84</v>
      </c>
      <c r="B1924" s="4" t="s">
        <v>3</v>
      </c>
      <c r="C1924" s="4" t="s">
        <v>21</v>
      </c>
      <c r="D1924" s="4">
        <v>2019</v>
      </c>
      <c r="E1924" s="4">
        <v>0</v>
      </c>
      <c r="F1924" s="4" t="s">
        <v>29</v>
      </c>
    </row>
    <row r="1925" spans="1:6" x14ac:dyDescent="0.25">
      <c r="A1925" s="4" t="s">
        <v>84</v>
      </c>
      <c r="B1925" s="4" t="s">
        <v>3</v>
      </c>
      <c r="C1925" s="4" t="s">
        <v>21</v>
      </c>
      <c r="D1925" s="4">
        <v>2020</v>
      </c>
      <c r="E1925" s="4">
        <v>0</v>
      </c>
      <c r="F1925" s="4" t="s">
        <v>29</v>
      </c>
    </row>
    <row r="1926" spans="1:6" x14ac:dyDescent="0.25">
      <c r="A1926" s="4" t="s">
        <v>84</v>
      </c>
      <c r="B1926" s="4" t="s">
        <v>3</v>
      </c>
      <c r="C1926" s="4" t="s">
        <v>21</v>
      </c>
      <c r="D1926" s="4">
        <v>2021</v>
      </c>
      <c r="E1926" s="4">
        <v>0</v>
      </c>
      <c r="F1926" s="4" t="s">
        <v>29</v>
      </c>
    </row>
    <row r="1927" spans="1:6" x14ac:dyDescent="0.25">
      <c r="A1927" s="4" t="s">
        <v>84</v>
      </c>
      <c r="B1927" s="4" t="s">
        <v>3</v>
      </c>
      <c r="C1927" s="4" t="s">
        <v>21</v>
      </c>
      <c r="D1927" s="4">
        <v>2022</v>
      </c>
      <c r="E1927" s="4">
        <v>0</v>
      </c>
      <c r="F1927" s="4" t="s">
        <v>29</v>
      </c>
    </row>
    <row r="1928" spans="1:6" x14ac:dyDescent="0.25">
      <c r="A1928" s="4" t="s">
        <v>84</v>
      </c>
      <c r="B1928" s="4" t="s">
        <v>3</v>
      </c>
      <c r="C1928" s="4" t="s">
        <v>21</v>
      </c>
      <c r="D1928" s="4">
        <v>2023</v>
      </c>
      <c r="E1928" s="4">
        <v>0</v>
      </c>
      <c r="F1928" s="4" t="s">
        <v>29</v>
      </c>
    </row>
    <row r="1929" spans="1:6" x14ac:dyDescent="0.25">
      <c r="A1929" s="4" t="s">
        <v>84</v>
      </c>
      <c r="B1929" s="4" t="s">
        <v>3</v>
      </c>
      <c r="C1929" s="4" t="s">
        <v>21</v>
      </c>
      <c r="D1929" s="4">
        <v>2024</v>
      </c>
      <c r="E1929" s="4">
        <v>0</v>
      </c>
      <c r="F1929" s="4" t="s">
        <v>29</v>
      </c>
    </row>
    <row r="1930" spans="1:6" x14ac:dyDescent="0.25">
      <c r="A1930" s="4" t="s">
        <v>84</v>
      </c>
      <c r="B1930" s="4" t="s">
        <v>3</v>
      </c>
      <c r="C1930" s="4" t="s">
        <v>21</v>
      </c>
      <c r="D1930" s="4">
        <v>2025</v>
      </c>
      <c r="E1930" s="4">
        <v>0</v>
      </c>
      <c r="F1930" s="4" t="s">
        <v>29</v>
      </c>
    </row>
    <row r="1931" spans="1:6" x14ac:dyDescent="0.25">
      <c r="A1931" s="4" t="s">
        <v>84</v>
      </c>
      <c r="B1931" s="4" t="s">
        <v>3</v>
      </c>
      <c r="C1931" s="4" t="s">
        <v>21</v>
      </c>
      <c r="D1931" s="4">
        <v>2026</v>
      </c>
      <c r="E1931" s="4">
        <v>0</v>
      </c>
      <c r="F1931" s="4" t="s">
        <v>29</v>
      </c>
    </row>
    <row r="1932" spans="1:6" x14ac:dyDescent="0.25">
      <c r="A1932" s="4" t="s">
        <v>84</v>
      </c>
      <c r="B1932" s="4" t="s">
        <v>3</v>
      </c>
      <c r="C1932" s="4" t="s">
        <v>21</v>
      </c>
      <c r="D1932" s="4">
        <v>2027</v>
      </c>
      <c r="E1932" s="4">
        <v>0</v>
      </c>
      <c r="F1932" s="4" t="s">
        <v>29</v>
      </c>
    </row>
    <row r="1933" spans="1:6" x14ac:dyDescent="0.25">
      <c r="A1933" s="4" t="s">
        <v>84</v>
      </c>
      <c r="B1933" s="4" t="s">
        <v>3</v>
      </c>
      <c r="C1933" s="4" t="s">
        <v>21</v>
      </c>
      <c r="D1933" s="4">
        <v>2028</v>
      </c>
      <c r="E1933" s="4">
        <v>0</v>
      </c>
      <c r="F1933" s="4" t="s">
        <v>29</v>
      </c>
    </row>
    <row r="1934" spans="1:6" x14ac:dyDescent="0.25">
      <c r="A1934" s="4" t="s">
        <v>84</v>
      </c>
      <c r="B1934" s="4" t="s">
        <v>3</v>
      </c>
      <c r="C1934" s="4" t="s">
        <v>21</v>
      </c>
      <c r="D1934" s="4">
        <v>2029</v>
      </c>
      <c r="E1934" s="4">
        <v>0</v>
      </c>
      <c r="F1934" s="4" t="s">
        <v>29</v>
      </c>
    </row>
    <row r="1935" spans="1:6" x14ac:dyDescent="0.25">
      <c r="A1935" s="4" t="s">
        <v>84</v>
      </c>
      <c r="B1935" s="4" t="s">
        <v>3</v>
      </c>
      <c r="C1935" s="4" t="s">
        <v>21</v>
      </c>
      <c r="D1935" s="4">
        <v>2030</v>
      </c>
      <c r="E1935" s="4">
        <v>0</v>
      </c>
      <c r="F1935" s="4" t="s">
        <v>29</v>
      </c>
    </row>
    <row r="1936" spans="1:6" x14ac:dyDescent="0.25">
      <c r="A1936" s="4" t="s">
        <v>84</v>
      </c>
      <c r="B1936" s="4" t="s">
        <v>3</v>
      </c>
      <c r="C1936" s="4" t="s">
        <v>21</v>
      </c>
      <c r="D1936" s="4">
        <v>2031</v>
      </c>
      <c r="E1936" s="4">
        <v>0</v>
      </c>
      <c r="F1936" s="4" t="s">
        <v>29</v>
      </c>
    </row>
    <row r="1937" spans="1:6" x14ac:dyDescent="0.25">
      <c r="A1937" s="4" t="s">
        <v>84</v>
      </c>
      <c r="B1937" s="4" t="s">
        <v>3</v>
      </c>
      <c r="C1937" s="4" t="s">
        <v>21</v>
      </c>
      <c r="D1937" s="4">
        <v>2032</v>
      </c>
      <c r="E1937" s="4">
        <v>0</v>
      </c>
      <c r="F1937" s="4" t="s">
        <v>29</v>
      </c>
    </row>
    <row r="1938" spans="1:6" x14ac:dyDescent="0.25">
      <c r="A1938" s="4" t="s">
        <v>84</v>
      </c>
      <c r="B1938" s="4" t="s">
        <v>3</v>
      </c>
      <c r="C1938" s="4" t="s">
        <v>21</v>
      </c>
      <c r="D1938" s="4">
        <v>2033</v>
      </c>
      <c r="E1938" s="4">
        <v>0</v>
      </c>
      <c r="F1938" s="4" t="s">
        <v>29</v>
      </c>
    </row>
    <row r="1939" spans="1:6" x14ac:dyDescent="0.25">
      <c r="A1939" s="4" t="s">
        <v>84</v>
      </c>
      <c r="B1939" s="4" t="s">
        <v>3</v>
      </c>
      <c r="C1939" s="4" t="s">
        <v>21</v>
      </c>
      <c r="D1939" s="4">
        <v>2034</v>
      </c>
      <c r="E1939" s="4">
        <v>0</v>
      </c>
      <c r="F1939" s="4" t="s">
        <v>29</v>
      </c>
    </row>
    <row r="1940" spans="1:6" x14ac:dyDescent="0.25">
      <c r="A1940" s="4" t="s">
        <v>84</v>
      </c>
      <c r="B1940" s="4" t="s">
        <v>3</v>
      </c>
      <c r="C1940" s="4" t="s">
        <v>21</v>
      </c>
      <c r="D1940" s="4">
        <v>2035</v>
      </c>
      <c r="E1940" s="4">
        <v>0</v>
      </c>
      <c r="F1940" s="4" t="s">
        <v>29</v>
      </c>
    </row>
    <row r="1941" spans="1:6" x14ac:dyDescent="0.25">
      <c r="A1941" s="4" t="s">
        <v>84</v>
      </c>
      <c r="B1941" s="4" t="s">
        <v>3</v>
      </c>
      <c r="C1941" s="4" t="s">
        <v>21</v>
      </c>
      <c r="D1941" s="4">
        <v>2036</v>
      </c>
      <c r="E1941" s="4">
        <v>0</v>
      </c>
      <c r="F1941" s="4" t="s">
        <v>29</v>
      </c>
    </row>
    <row r="1942" spans="1:6" x14ac:dyDescent="0.25">
      <c r="A1942" s="4" t="s">
        <v>84</v>
      </c>
      <c r="B1942" s="4" t="s">
        <v>3</v>
      </c>
      <c r="C1942" s="4" t="s">
        <v>21</v>
      </c>
      <c r="D1942" s="4">
        <v>2037</v>
      </c>
      <c r="E1942" s="4">
        <v>0</v>
      </c>
      <c r="F1942" s="4" t="s">
        <v>29</v>
      </c>
    </row>
    <row r="1943" spans="1:6" x14ac:dyDescent="0.25">
      <c r="A1943" s="4" t="s">
        <v>84</v>
      </c>
      <c r="B1943" s="4" t="s">
        <v>3</v>
      </c>
      <c r="C1943" s="4" t="s">
        <v>21</v>
      </c>
      <c r="D1943" s="4">
        <v>2038</v>
      </c>
      <c r="E1943" s="4">
        <v>0</v>
      </c>
      <c r="F1943" s="4" t="s">
        <v>29</v>
      </c>
    </row>
    <row r="1944" spans="1:6" x14ac:dyDescent="0.25">
      <c r="A1944" s="4" t="s">
        <v>84</v>
      </c>
      <c r="B1944" s="4" t="s">
        <v>3</v>
      </c>
      <c r="C1944" s="4" t="s">
        <v>21</v>
      </c>
      <c r="D1944" s="4">
        <v>2039</v>
      </c>
      <c r="E1944" s="4">
        <v>0</v>
      </c>
      <c r="F1944" s="4" t="s">
        <v>29</v>
      </c>
    </row>
    <row r="1945" spans="1:6" x14ac:dyDescent="0.25">
      <c r="A1945" s="4" t="s">
        <v>84</v>
      </c>
      <c r="B1945" s="4" t="s">
        <v>3</v>
      </c>
      <c r="C1945" s="4" t="s">
        <v>21</v>
      </c>
      <c r="D1945" s="4">
        <v>2040</v>
      </c>
      <c r="E1945" s="4">
        <v>0</v>
      </c>
      <c r="F1945" s="4" t="s">
        <v>29</v>
      </c>
    </row>
    <row r="1946" spans="1:6" x14ac:dyDescent="0.25">
      <c r="A1946" s="4" t="s">
        <v>84</v>
      </c>
      <c r="B1946" s="4" t="s">
        <v>4</v>
      </c>
      <c r="C1946" s="4" t="s">
        <v>21</v>
      </c>
      <c r="D1946" s="4">
        <v>2005</v>
      </c>
      <c r="E1946" s="4">
        <v>0</v>
      </c>
      <c r="F1946" s="4" t="s">
        <v>29</v>
      </c>
    </row>
    <row r="1947" spans="1:6" x14ac:dyDescent="0.25">
      <c r="A1947" s="4" t="s">
        <v>84</v>
      </c>
      <c r="B1947" s="4" t="s">
        <v>4</v>
      </c>
      <c r="C1947" s="4" t="s">
        <v>21</v>
      </c>
      <c r="D1947" s="4">
        <v>2006</v>
      </c>
      <c r="E1947" s="4">
        <v>0</v>
      </c>
      <c r="F1947" s="4" t="s">
        <v>29</v>
      </c>
    </row>
    <row r="1948" spans="1:6" x14ac:dyDescent="0.25">
      <c r="A1948" s="4" t="s">
        <v>84</v>
      </c>
      <c r="B1948" s="4" t="s">
        <v>4</v>
      </c>
      <c r="C1948" s="4" t="s">
        <v>21</v>
      </c>
      <c r="D1948" s="4">
        <v>2007</v>
      </c>
      <c r="E1948" s="4">
        <v>0</v>
      </c>
      <c r="F1948" s="4" t="s">
        <v>29</v>
      </c>
    </row>
    <row r="1949" spans="1:6" x14ac:dyDescent="0.25">
      <c r="A1949" s="4" t="s">
        <v>84</v>
      </c>
      <c r="B1949" s="4" t="s">
        <v>4</v>
      </c>
      <c r="C1949" s="4" t="s">
        <v>21</v>
      </c>
      <c r="D1949" s="4">
        <v>2008</v>
      </c>
      <c r="E1949" s="4">
        <v>0</v>
      </c>
      <c r="F1949" s="4" t="s">
        <v>29</v>
      </c>
    </row>
    <row r="1950" spans="1:6" x14ac:dyDescent="0.25">
      <c r="A1950" s="4" t="s">
        <v>84</v>
      </c>
      <c r="B1950" s="4" t="s">
        <v>4</v>
      </c>
      <c r="C1950" s="4" t="s">
        <v>21</v>
      </c>
      <c r="D1950" s="4">
        <v>2009</v>
      </c>
      <c r="E1950" s="4">
        <v>0</v>
      </c>
      <c r="F1950" s="4" t="s">
        <v>29</v>
      </c>
    </row>
    <row r="1951" spans="1:6" x14ac:dyDescent="0.25">
      <c r="A1951" s="4" t="s">
        <v>84</v>
      </c>
      <c r="B1951" s="4" t="s">
        <v>4</v>
      </c>
      <c r="C1951" s="4" t="s">
        <v>21</v>
      </c>
      <c r="D1951" s="4">
        <v>2010</v>
      </c>
      <c r="E1951" s="4">
        <v>0</v>
      </c>
      <c r="F1951" s="4" t="s">
        <v>29</v>
      </c>
    </row>
    <row r="1952" spans="1:6" x14ac:dyDescent="0.25">
      <c r="A1952" s="4" t="s">
        <v>84</v>
      </c>
      <c r="B1952" s="4" t="s">
        <v>4</v>
      </c>
      <c r="C1952" s="4" t="s">
        <v>21</v>
      </c>
      <c r="D1952" s="4">
        <v>2011</v>
      </c>
      <c r="E1952" s="4">
        <v>0</v>
      </c>
      <c r="F1952" s="4" t="s">
        <v>29</v>
      </c>
    </row>
    <row r="1953" spans="1:6" x14ac:dyDescent="0.25">
      <c r="A1953" s="4" t="s">
        <v>84</v>
      </c>
      <c r="B1953" s="4" t="s">
        <v>4</v>
      </c>
      <c r="C1953" s="4" t="s">
        <v>21</v>
      </c>
      <c r="D1953" s="4">
        <v>2012</v>
      </c>
      <c r="E1953" s="4">
        <v>0</v>
      </c>
      <c r="F1953" s="4" t="s">
        <v>29</v>
      </c>
    </row>
    <row r="1954" spans="1:6" x14ac:dyDescent="0.25">
      <c r="A1954" s="4" t="s">
        <v>84</v>
      </c>
      <c r="B1954" s="4" t="s">
        <v>4</v>
      </c>
      <c r="C1954" s="4" t="s">
        <v>21</v>
      </c>
      <c r="D1954" s="4">
        <v>2013</v>
      </c>
      <c r="E1954" s="4">
        <v>0</v>
      </c>
      <c r="F1954" s="4" t="s">
        <v>29</v>
      </c>
    </row>
    <row r="1955" spans="1:6" x14ac:dyDescent="0.25">
      <c r="A1955" s="4" t="s">
        <v>84</v>
      </c>
      <c r="B1955" s="4" t="s">
        <v>4</v>
      </c>
      <c r="C1955" s="4" t="s">
        <v>21</v>
      </c>
      <c r="D1955" s="4">
        <v>2014</v>
      </c>
      <c r="E1955" s="4">
        <v>0</v>
      </c>
      <c r="F1955" s="4" t="s">
        <v>29</v>
      </c>
    </row>
    <row r="1956" spans="1:6" x14ac:dyDescent="0.25">
      <c r="A1956" s="4" t="s">
        <v>84</v>
      </c>
      <c r="B1956" s="4" t="s">
        <v>4</v>
      </c>
      <c r="C1956" s="4" t="s">
        <v>21</v>
      </c>
      <c r="D1956" s="4">
        <v>2015</v>
      </c>
      <c r="E1956" s="4">
        <v>0</v>
      </c>
      <c r="F1956" s="4" t="s">
        <v>29</v>
      </c>
    </row>
    <row r="1957" spans="1:6" x14ac:dyDescent="0.25">
      <c r="A1957" s="4" t="s">
        <v>84</v>
      </c>
      <c r="B1957" s="4" t="s">
        <v>4</v>
      </c>
      <c r="C1957" s="4" t="s">
        <v>21</v>
      </c>
      <c r="D1957" s="4">
        <v>2016</v>
      </c>
      <c r="E1957" s="4">
        <v>0</v>
      </c>
      <c r="F1957" s="4" t="s">
        <v>29</v>
      </c>
    </row>
    <row r="1958" spans="1:6" x14ac:dyDescent="0.25">
      <c r="A1958" s="4" t="s">
        <v>84</v>
      </c>
      <c r="B1958" s="4" t="s">
        <v>4</v>
      </c>
      <c r="C1958" s="4" t="s">
        <v>21</v>
      </c>
      <c r="D1958" s="4">
        <v>2017</v>
      </c>
      <c r="E1958" s="4">
        <v>0</v>
      </c>
      <c r="F1958" s="4" t="s">
        <v>29</v>
      </c>
    </row>
    <row r="1959" spans="1:6" x14ac:dyDescent="0.25">
      <c r="A1959" s="4" t="s">
        <v>84</v>
      </c>
      <c r="B1959" s="4" t="s">
        <v>4</v>
      </c>
      <c r="C1959" s="4" t="s">
        <v>21</v>
      </c>
      <c r="D1959" s="4">
        <v>2018</v>
      </c>
      <c r="E1959" s="4">
        <v>0</v>
      </c>
      <c r="F1959" s="4" t="s">
        <v>29</v>
      </c>
    </row>
    <row r="1960" spans="1:6" x14ac:dyDescent="0.25">
      <c r="A1960" s="4" t="s">
        <v>84</v>
      </c>
      <c r="B1960" s="4" t="s">
        <v>4</v>
      </c>
      <c r="C1960" s="4" t="s">
        <v>21</v>
      </c>
      <c r="D1960" s="4">
        <v>2019</v>
      </c>
      <c r="E1960" s="4">
        <v>0</v>
      </c>
      <c r="F1960" s="4" t="s">
        <v>29</v>
      </c>
    </row>
    <row r="1961" spans="1:6" x14ac:dyDescent="0.25">
      <c r="A1961" s="4" t="s">
        <v>84</v>
      </c>
      <c r="B1961" s="4" t="s">
        <v>4</v>
      </c>
      <c r="C1961" s="4" t="s">
        <v>21</v>
      </c>
      <c r="D1961" s="4">
        <v>2020</v>
      </c>
      <c r="E1961" s="4">
        <v>0</v>
      </c>
      <c r="F1961" s="4" t="s">
        <v>29</v>
      </c>
    </row>
    <row r="1962" spans="1:6" x14ac:dyDescent="0.25">
      <c r="A1962" s="4" t="s">
        <v>84</v>
      </c>
      <c r="B1962" s="4" t="s">
        <v>4</v>
      </c>
      <c r="C1962" s="4" t="s">
        <v>21</v>
      </c>
      <c r="D1962" s="4">
        <v>2021</v>
      </c>
      <c r="E1962" s="4">
        <v>0</v>
      </c>
      <c r="F1962" s="4" t="s">
        <v>29</v>
      </c>
    </row>
    <row r="1963" spans="1:6" x14ac:dyDescent="0.25">
      <c r="A1963" s="4" t="s">
        <v>84</v>
      </c>
      <c r="B1963" s="4" t="s">
        <v>4</v>
      </c>
      <c r="C1963" s="4" t="s">
        <v>21</v>
      </c>
      <c r="D1963" s="4">
        <v>2022</v>
      </c>
      <c r="E1963" s="4">
        <v>0</v>
      </c>
      <c r="F1963" s="4" t="s">
        <v>29</v>
      </c>
    </row>
    <row r="1964" spans="1:6" x14ac:dyDescent="0.25">
      <c r="A1964" s="4" t="s">
        <v>84</v>
      </c>
      <c r="B1964" s="4" t="s">
        <v>4</v>
      </c>
      <c r="C1964" s="4" t="s">
        <v>21</v>
      </c>
      <c r="D1964" s="4">
        <v>2023</v>
      </c>
      <c r="E1964" s="4">
        <v>0</v>
      </c>
      <c r="F1964" s="4" t="s">
        <v>29</v>
      </c>
    </row>
    <row r="1965" spans="1:6" x14ac:dyDescent="0.25">
      <c r="A1965" s="4" t="s">
        <v>84</v>
      </c>
      <c r="B1965" s="4" t="s">
        <v>4</v>
      </c>
      <c r="C1965" s="4" t="s">
        <v>21</v>
      </c>
      <c r="D1965" s="4">
        <v>2024</v>
      </c>
      <c r="E1965" s="4">
        <v>0</v>
      </c>
      <c r="F1965" s="4" t="s">
        <v>29</v>
      </c>
    </row>
    <row r="1966" spans="1:6" x14ac:dyDescent="0.25">
      <c r="A1966" s="4" t="s">
        <v>84</v>
      </c>
      <c r="B1966" s="4" t="s">
        <v>4</v>
      </c>
      <c r="C1966" s="4" t="s">
        <v>21</v>
      </c>
      <c r="D1966" s="4">
        <v>2025</v>
      </c>
      <c r="E1966" s="4">
        <v>0</v>
      </c>
      <c r="F1966" s="4" t="s">
        <v>29</v>
      </c>
    </row>
    <row r="1967" spans="1:6" x14ac:dyDescent="0.25">
      <c r="A1967" s="4" t="s">
        <v>84</v>
      </c>
      <c r="B1967" s="4" t="s">
        <v>4</v>
      </c>
      <c r="C1967" s="4" t="s">
        <v>21</v>
      </c>
      <c r="D1967" s="4">
        <v>2026</v>
      </c>
      <c r="E1967" s="4">
        <v>0</v>
      </c>
      <c r="F1967" s="4" t="s">
        <v>29</v>
      </c>
    </row>
    <row r="1968" spans="1:6" x14ac:dyDescent="0.25">
      <c r="A1968" s="4" t="s">
        <v>84</v>
      </c>
      <c r="B1968" s="4" t="s">
        <v>4</v>
      </c>
      <c r="C1968" s="4" t="s">
        <v>21</v>
      </c>
      <c r="D1968" s="4">
        <v>2027</v>
      </c>
      <c r="E1968" s="4">
        <v>0</v>
      </c>
      <c r="F1968" s="4" t="s">
        <v>29</v>
      </c>
    </row>
    <row r="1969" spans="1:6" x14ac:dyDescent="0.25">
      <c r="A1969" s="4" t="s">
        <v>84</v>
      </c>
      <c r="B1969" s="4" t="s">
        <v>4</v>
      </c>
      <c r="C1969" s="4" t="s">
        <v>21</v>
      </c>
      <c r="D1969" s="4">
        <v>2028</v>
      </c>
      <c r="E1969" s="4">
        <v>0</v>
      </c>
      <c r="F1969" s="4" t="s">
        <v>29</v>
      </c>
    </row>
    <row r="1970" spans="1:6" x14ac:dyDescent="0.25">
      <c r="A1970" s="4" t="s">
        <v>84</v>
      </c>
      <c r="B1970" s="4" t="s">
        <v>4</v>
      </c>
      <c r="C1970" s="4" t="s">
        <v>21</v>
      </c>
      <c r="D1970" s="4">
        <v>2029</v>
      </c>
      <c r="E1970" s="4">
        <v>0</v>
      </c>
      <c r="F1970" s="4" t="s">
        <v>29</v>
      </c>
    </row>
    <row r="1971" spans="1:6" x14ac:dyDescent="0.25">
      <c r="A1971" s="4" t="s">
        <v>84</v>
      </c>
      <c r="B1971" s="4" t="s">
        <v>4</v>
      </c>
      <c r="C1971" s="4" t="s">
        <v>21</v>
      </c>
      <c r="D1971" s="4">
        <v>2030</v>
      </c>
      <c r="E1971" s="4">
        <v>0</v>
      </c>
      <c r="F1971" s="4" t="s">
        <v>29</v>
      </c>
    </row>
    <row r="1972" spans="1:6" x14ac:dyDescent="0.25">
      <c r="A1972" s="4" t="s">
        <v>84</v>
      </c>
      <c r="B1972" s="4" t="s">
        <v>4</v>
      </c>
      <c r="C1972" s="4" t="s">
        <v>21</v>
      </c>
      <c r="D1972" s="4">
        <v>2031</v>
      </c>
      <c r="E1972" s="4">
        <v>0</v>
      </c>
      <c r="F1972" s="4" t="s">
        <v>29</v>
      </c>
    </row>
    <row r="1973" spans="1:6" x14ac:dyDescent="0.25">
      <c r="A1973" s="4" t="s">
        <v>84</v>
      </c>
      <c r="B1973" s="4" t="s">
        <v>4</v>
      </c>
      <c r="C1973" s="4" t="s">
        <v>21</v>
      </c>
      <c r="D1973" s="4">
        <v>2032</v>
      </c>
      <c r="E1973" s="4">
        <v>0</v>
      </c>
      <c r="F1973" s="4" t="s">
        <v>29</v>
      </c>
    </row>
    <row r="1974" spans="1:6" x14ac:dyDescent="0.25">
      <c r="A1974" s="4" t="s">
        <v>84</v>
      </c>
      <c r="B1974" s="4" t="s">
        <v>4</v>
      </c>
      <c r="C1974" s="4" t="s">
        <v>21</v>
      </c>
      <c r="D1974" s="4">
        <v>2033</v>
      </c>
      <c r="E1974" s="4">
        <v>0</v>
      </c>
      <c r="F1974" s="4" t="s">
        <v>29</v>
      </c>
    </row>
    <row r="1975" spans="1:6" x14ac:dyDescent="0.25">
      <c r="A1975" s="4" t="s">
        <v>84</v>
      </c>
      <c r="B1975" s="4" t="s">
        <v>4</v>
      </c>
      <c r="C1975" s="4" t="s">
        <v>21</v>
      </c>
      <c r="D1975" s="4">
        <v>2034</v>
      </c>
      <c r="E1975" s="4">
        <v>0</v>
      </c>
      <c r="F1975" s="4" t="s">
        <v>29</v>
      </c>
    </row>
    <row r="1976" spans="1:6" x14ac:dyDescent="0.25">
      <c r="A1976" s="4" t="s">
        <v>84</v>
      </c>
      <c r="B1976" s="4" t="s">
        <v>4</v>
      </c>
      <c r="C1976" s="4" t="s">
        <v>21</v>
      </c>
      <c r="D1976" s="4">
        <v>2035</v>
      </c>
      <c r="E1976" s="4">
        <v>0</v>
      </c>
      <c r="F1976" s="4" t="s">
        <v>29</v>
      </c>
    </row>
    <row r="1977" spans="1:6" x14ac:dyDescent="0.25">
      <c r="A1977" s="4" t="s">
        <v>84</v>
      </c>
      <c r="B1977" s="4" t="s">
        <v>4</v>
      </c>
      <c r="C1977" s="4" t="s">
        <v>21</v>
      </c>
      <c r="D1977" s="4">
        <v>2036</v>
      </c>
      <c r="E1977" s="4">
        <v>0</v>
      </c>
      <c r="F1977" s="4" t="s">
        <v>29</v>
      </c>
    </row>
    <row r="1978" spans="1:6" x14ac:dyDescent="0.25">
      <c r="A1978" s="4" t="s">
        <v>84</v>
      </c>
      <c r="B1978" s="4" t="s">
        <v>4</v>
      </c>
      <c r="C1978" s="4" t="s">
        <v>21</v>
      </c>
      <c r="D1978" s="4">
        <v>2037</v>
      </c>
      <c r="E1978" s="4">
        <v>0</v>
      </c>
      <c r="F1978" s="4" t="s">
        <v>29</v>
      </c>
    </row>
    <row r="1979" spans="1:6" x14ac:dyDescent="0.25">
      <c r="A1979" s="4" t="s">
        <v>84</v>
      </c>
      <c r="B1979" s="4" t="s">
        <v>4</v>
      </c>
      <c r="C1979" s="4" t="s">
        <v>21</v>
      </c>
      <c r="D1979" s="4">
        <v>2038</v>
      </c>
      <c r="E1979" s="4">
        <v>0</v>
      </c>
      <c r="F1979" s="4" t="s">
        <v>29</v>
      </c>
    </row>
    <row r="1980" spans="1:6" x14ac:dyDescent="0.25">
      <c r="A1980" s="4" t="s">
        <v>84</v>
      </c>
      <c r="B1980" s="4" t="s">
        <v>4</v>
      </c>
      <c r="C1980" s="4" t="s">
        <v>21</v>
      </c>
      <c r="D1980" s="4">
        <v>2039</v>
      </c>
      <c r="E1980" s="4">
        <v>0</v>
      </c>
      <c r="F1980" s="4" t="s">
        <v>29</v>
      </c>
    </row>
    <row r="1981" spans="1:6" x14ac:dyDescent="0.25">
      <c r="A1981" s="4" t="s">
        <v>84</v>
      </c>
      <c r="B1981" s="4" t="s">
        <v>4</v>
      </c>
      <c r="C1981" s="4" t="s">
        <v>21</v>
      </c>
      <c r="D1981" s="4">
        <v>2040</v>
      </c>
      <c r="E1981" s="4">
        <v>0</v>
      </c>
      <c r="F1981" s="4" t="s">
        <v>29</v>
      </c>
    </row>
    <row r="1982" spans="1:6" x14ac:dyDescent="0.25">
      <c r="A1982" s="4" t="s">
        <v>84</v>
      </c>
      <c r="B1982" s="4" t="s">
        <v>5</v>
      </c>
      <c r="C1982" s="4" t="s">
        <v>21</v>
      </c>
      <c r="D1982" s="4">
        <v>2005</v>
      </c>
      <c r="E1982" s="4">
        <v>0</v>
      </c>
      <c r="F1982" s="4" t="s">
        <v>29</v>
      </c>
    </row>
    <row r="1983" spans="1:6" x14ac:dyDescent="0.25">
      <c r="A1983" s="4" t="s">
        <v>84</v>
      </c>
      <c r="B1983" s="4" t="s">
        <v>5</v>
      </c>
      <c r="C1983" s="4" t="s">
        <v>21</v>
      </c>
      <c r="D1983" s="4">
        <v>2006</v>
      </c>
      <c r="E1983" s="4">
        <v>0</v>
      </c>
      <c r="F1983" s="4" t="s">
        <v>29</v>
      </c>
    </row>
    <row r="1984" spans="1:6" x14ac:dyDescent="0.25">
      <c r="A1984" s="4" t="s">
        <v>84</v>
      </c>
      <c r="B1984" s="4" t="s">
        <v>5</v>
      </c>
      <c r="C1984" s="4" t="s">
        <v>21</v>
      </c>
      <c r="D1984" s="4">
        <v>2007</v>
      </c>
      <c r="E1984" s="4">
        <v>0</v>
      </c>
      <c r="F1984" s="4" t="s">
        <v>29</v>
      </c>
    </row>
    <row r="1985" spans="1:6" x14ac:dyDescent="0.25">
      <c r="A1985" s="4" t="s">
        <v>84</v>
      </c>
      <c r="B1985" s="4" t="s">
        <v>5</v>
      </c>
      <c r="C1985" s="4" t="s">
        <v>21</v>
      </c>
      <c r="D1985" s="4">
        <v>2008</v>
      </c>
      <c r="E1985" s="4">
        <v>0</v>
      </c>
      <c r="F1985" s="4" t="s">
        <v>29</v>
      </c>
    </row>
    <row r="1986" spans="1:6" x14ac:dyDescent="0.25">
      <c r="A1986" s="4" t="s">
        <v>84</v>
      </c>
      <c r="B1986" s="4" t="s">
        <v>5</v>
      </c>
      <c r="C1986" s="4" t="s">
        <v>21</v>
      </c>
      <c r="D1986" s="4">
        <v>2009</v>
      </c>
      <c r="E1986" s="4">
        <v>0</v>
      </c>
      <c r="F1986" s="4" t="s">
        <v>29</v>
      </c>
    </row>
    <row r="1987" spans="1:6" x14ac:dyDescent="0.25">
      <c r="A1987" s="4" t="s">
        <v>84</v>
      </c>
      <c r="B1987" s="4" t="s">
        <v>5</v>
      </c>
      <c r="C1987" s="4" t="s">
        <v>21</v>
      </c>
      <c r="D1987" s="4">
        <v>2010</v>
      </c>
      <c r="E1987" s="4">
        <v>0</v>
      </c>
      <c r="F1987" s="4" t="s">
        <v>29</v>
      </c>
    </row>
    <row r="1988" spans="1:6" x14ac:dyDescent="0.25">
      <c r="A1988" s="4" t="s">
        <v>84</v>
      </c>
      <c r="B1988" s="4" t="s">
        <v>5</v>
      </c>
      <c r="C1988" s="4" t="s">
        <v>21</v>
      </c>
      <c r="D1988" s="4">
        <v>2011</v>
      </c>
      <c r="E1988" s="4">
        <v>0</v>
      </c>
      <c r="F1988" s="4" t="s">
        <v>29</v>
      </c>
    </row>
    <row r="1989" spans="1:6" x14ac:dyDescent="0.25">
      <c r="A1989" s="4" t="s">
        <v>84</v>
      </c>
      <c r="B1989" s="4" t="s">
        <v>5</v>
      </c>
      <c r="C1989" s="4" t="s">
        <v>21</v>
      </c>
      <c r="D1989" s="4">
        <v>2012</v>
      </c>
      <c r="E1989" s="4">
        <v>0</v>
      </c>
      <c r="F1989" s="4" t="s">
        <v>29</v>
      </c>
    </row>
    <row r="1990" spans="1:6" x14ac:dyDescent="0.25">
      <c r="A1990" s="4" t="s">
        <v>84</v>
      </c>
      <c r="B1990" s="4" t="s">
        <v>5</v>
      </c>
      <c r="C1990" s="4" t="s">
        <v>21</v>
      </c>
      <c r="D1990" s="4">
        <v>2013</v>
      </c>
      <c r="E1990" s="4">
        <v>0</v>
      </c>
      <c r="F1990" s="4" t="s">
        <v>29</v>
      </c>
    </row>
    <row r="1991" spans="1:6" x14ac:dyDescent="0.25">
      <c r="A1991" s="4" t="s">
        <v>84</v>
      </c>
      <c r="B1991" s="4" t="s">
        <v>5</v>
      </c>
      <c r="C1991" s="4" t="s">
        <v>21</v>
      </c>
      <c r="D1991" s="4">
        <v>2014</v>
      </c>
      <c r="E1991" s="4">
        <v>0</v>
      </c>
      <c r="F1991" s="4" t="s">
        <v>29</v>
      </c>
    </row>
    <row r="1992" spans="1:6" x14ac:dyDescent="0.25">
      <c r="A1992" s="4" t="s">
        <v>84</v>
      </c>
      <c r="B1992" s="4" t="s">
        <v>5</v>
      </c>
      <c r="C1992" s="4" t="s">
        <v>21</v>
      </c>
      <c r="D1992" s="4">
        <v>2015</v>
      </c>
      <c r="E1992" s="4">
        <v>0</v>
      </c>
      <c r="F1992" s="4" t="s">
        <v>29</v>
      </c>
    </row>
    <row r="1993" spans="1:6" x14ac:dyDescent="0.25">
      <c r="A1993" s="4" t="s">
        <v>84</v>
      </c>
      <c r="B1993" s="4" t="s">
        <v>5</v>
      </c>
      <c r="C1993" s="4" t="s">
        <v>21</v>
      </c>
      <c r="D1993" s="4">
        <v>2016</v>
      </c>
      <c r="E1993" s="4">
        <v>0</v>
      </c>
      <c r="F1993" s="4" t="s">
        <v>29</v>
      </c>
    </row>
    <row r="1994" spans="1:6" x14ac:dyDescent="0.25">
      <c r="A1994" s="4" t="s">
        <v>84</v>
      </c>
      <c r="B1994" s="4" t="s">
        <v>5</v>
      </c>
      <c r="C1994" s="4" t="s">
        <v>21</v>
      </c>
      <c r="D1994" s="4">
        <v>2017</v>
      </c>
      <c r="E1994" s="4">
        <v>0</v>
      </c>
      <c r="F1994" s="4" t="s">
        <v>29</v>
      </c>
    </row>
    <row r="1995" spans="1:6" x14ac:dyDescent="0.25">
      <c r="A1995" s="4" t="s">
        <v>84</v>
      </c>
      <c r="B1995" s="4" t="s">
        <v>5</v>
      </c>
      <c r="C1995" s="4" t="s">
        <v>21</v>
      </c>
      <c r="D1995" s="4">
        <v>2018</v>
      </c>
      <c r="E1995" s="4">
        <v>0</v>
      </c>
      <c r="F1995" s="4" t="s">
        <v>29</v>
      </c>
    </row>
    <row r="1996" spans="1:6" x14ac:dyDescent="0.25">
      <c r="A1996" s="4" t="s">
        <v>84</v>
      </c>
      <c r="B1996" s="4" t="s">
        <v>5</v>
      </c>
      <c r="C1996" s="4" t="s">
        <v>21</v>
      </c>
      <c r="D1996" s="4">
        <v>2019</v>
      </c>
      <c r="E1996" s="4">
        <v>0</v>
      </c>
      <c r="F1996" s="4" t="s">
        <v>29</v>
      </c>
    </row>
    <row r="1997" spans="1:6" x14ac:dyDescent="0.25">
      <c r="A1997" s="4" t="s">
        <v>84</v>
      </c>
      <c r="B1997" s="4" t="s">
        <v>5</v>
      </c>
      <c r="C1997" s="4" t="s">
        <v>21</v>
      </c>
      <c r="D1997" s="4">
        <v>2020</v>
      </c>
      <c r="E1997" s="4">
        <v>0</v>
      </c>
      <c r="F1997" s="4" t="s">
        <v>29</v>
      </c>
    </row>
    <row r="1998" spans="1:6" x14ac:dyDescent="0.25">
      <c r="A1998" s="4" t="s">
        <v>84</v>
      </c>
      <c r="B1998" s="4" t="s">
        <v>5</v>
      </c>
      <c r="C1998" s="4" t="s">
        <v>21</v>
      </c>
      <c r="D1998" s="4">
        <v>2021</v>
      </c>
      <c r="E1998" s="4">
        <v>0</v>
      </c>
      <c r="F1998" s="4" t="s">
        <v>29</v>
      </c>
    </row>
    <row r="1999" spans="1:6" x14ac:dyDescent="0.25">
      <c r="A1999" s="4" t="s">
        <v>84</v>
      </c>
      <c r="B1999" s="4" t="s">
        <v>5</v>
      </c>
      <c r="C1999" s="4" t="s">
        <v>21</v>
      </c>
      <c r="D1999" s="4">
        <v>2022</v>
      </c>
      <c r="E1999" s="4">
        <v>0</v>
      </c>
      <c r="F1999" s="4" t="s">
        <v>29</v>
      </c>
    </row>
    <row r="2000" spans="1:6" x14ac:dyDescent="0.25">
      <c r="A2000" s="4" t="s">
        <v>84</v>
      </c>
      <c r="B2000" s="4" t="s">
        <v>5</v>
      </c>
      <c r="C2000" s="4" t="s">
        <v>21</v>
      </c>
      <c r="D2000" s="4">
        <v>2023</v>
      </c>
      <c r="E2000" s="4">
        <v>0</v>
      </c>
      <c r="F2000" s="4" t="s">
        <v>29</v>
      </c>
    </row>
    <row r="2001" spans="1:6" x14ac:dyDescent="0.25">
      <c r="A2001" s="4" t="s">
        <v>84</v>
      </c>
      <c r="B2001" s="4" t="s">
        <v>5</v>
      </c>
      <c r="C2001" s="4" t="s">
        <v>21</v>
      </c>
      <c r="D2001" s="4">
        <v>2024</v>
      </c>
      <c r="E2001" s="4">
        <v>0</v>
      </c>
      <c r="F2001" s="4" t="s">
        <v>29</v>
      </c>
    </row>
    <row r="2002" spans="1:6" x14ac:dyDescent="0.25">
      <c r="A2002" s="4" t="s">
        <v>84</v>
      </c>
      <c r="B2002" s="4" t="s">
        <v>5</v>
      </c>
      <c r="C2002" s="4" t="s">
        <v>21</v>
      </c>
      <c r="D2002" s="4">
        <v>2025</v>
      </c>
      <c r="E2002" s="4">
        <v>0</v>
      </c>
      <c r="F2002" s="4" t="s">
        <v>29</v>
      </c>
    </row>
    <row r="2003" spans="1:6" x14ac:dyDescent="0.25">
      <c r="A2003" s="4" t="s">
        <v>84</v>
      </c>
      <c r="B2003" s="4" t="s">
        <v>5</v>
      </c>
      <c r="C2003" s="4" t="s">
        <v>21</v>
      </c>
      <c r="D2003" s="4">
        <v>2026</v>
      </c>
      <c r="E2003" s="4">
        <v>0</v>
      </c>
      <c r="F2003" s="4" t="s">
        <v>29</v>
      </c>
    </row>
    <row r="2004" spans="1:6" x14ac:dyDescent="0.25">
      <c r="A2004" s="4" t="s">
        <v>84</v>
      </c>
      <c r="B2004" s="4" t="s">
        <v>5</v>
      </c>
      <c r="C2004" s="4" t="s">
        <v>21</v>
      </c>
      <c r="D2004" s="4">
        <v>2027</v>
      </c>
      <c r="E2004" s="4">
        <v>0</v>
      </c>
      <c r="F2004" s="4" t="s">
        <v>29</v>
      </c>
    </row>
    <row r="2005" spans="1:6" x14ac:dyDescent="0.25">
      <c r="A2005" s="4" t="s">
        <v>84</v>
      </c>
      <c r="B2005" s="4" t="s">
        <v>5</v>
      </c>
      <c r="C2005" s="4" t="s">
        <v>21</v>
      </c>
      <c r="D2005" s="4">
        <v>2028</v>
      </c>
      <c r="E2005" s="4">
        <v>0</v>
      </c>
      <c r="F2005" s="4" t="s">
        <v>29</v>
      </c>
    </row>
    <row r="2006" spans="1:6" x14ac:dyDescent="0.25">
      <c r="A2006" s="4" t="s">
        <v>84</v>
      </c>
      <c r="B2006" s="4" t="s">
        <v>5</v>
      </c>
      <c r="C2006" s="4" t="s">
        <v>21</v>
      </c>
      <c r="D2006" s="4">
        <v>2029</v>
      </c>
      <c r="E2006" s="4">
        <v>0</v>
      </c>
      <c r="F2006" s="4" t="s">
        <v>29</v>
      </c>
    </row>
    <row r="2007" spans="1:6" x14ac:dyDescent="0.25">
      <c r="A2007" s="4" t="s">
        <v>84</v>
      </c>
      <c r="B2007" s="4" t="s">
        <v>5</v>
      </c>
      <c r="C2007" s="4" t="s">
        <v>21</v>
      </c>
      <c r="D2007" s="4">
        <v>2030</v>
      </c>
      <c r="E2007" s="4">
        <v>0</v>
      </c>
      <c r="F2007" s="4" t="s">
        <v>29</v>
      </c>
    </row>
    <row r="2008" spans="1:6" x14ac:dyDescent="0.25">
      <c r="A2008" s="4" t="s">
        <v>84</v>
      </c>
      <c r="B2008" s="4" t="s">
        <v>5</v>
      </c>
      <c r="C2008" s="4" t="s">
        <v>21</v>
      </c>
      <c r="D2008" s="4">
        <v>2031</v>
      </c>
      <c r="E2008" s="4">
        <v>0</v>
      </c>
      <c r="F2008" s="4" t="s">
        <v>29</v>
      </c>
    </row>
    <row r="2009" spans="1:6" x14ac:dyDescent="0.25">
      <c r="A2009" s="4" t="s">
        <v>84</v>
      </c>
      <c r="B2009" s="4" t="s">
        <v>5</v>
      </c>
      <c r="C2009" s="4" t="s">
        <v>21</v>
      </c>
      <c r="D2009" s="4">
        <v>2032</v>
      </c>
      <c r="E2009" s="4">
        <v>0</v>
      </c>
      <c r="F2009" s="4" t="s">
        <v>29</v>
      </c>
    </row>
    <row r="2010" spans="1:6" x14ac:dyDescent="0.25">
      <c r="A2010" s="4" t="s">
        <v>84</v>
      </c>
      <c r="B2010" s="4" t="s">
        <v>5</v>
      </c>
      <c r="C2010" s="4" t="s">
        <v>21</v>
      </c>
      <c r="D2010" s="4">
        <v>2033</v>
      </c>
      <c r="E2010" s="4">
        <v>0</v>
      </c>
      <c r="F2010" s="4" t="s">
        <v>29</v>
      </c>
    </row>
    <row r="2011" spans="1:6" x14ac:dyDescent="0.25">
      <c r="A2011" s="4" t="s">
        <v>84</v>
      </c>
      <c r="B2011" s="4" t="s">
        <v>5</v>
      </c>
      <c r="C2011" s="4" t="s">
        <v>21</v>
      </c>
      <c r="D2011" s="4">
        <v>2034</v>
      </c>
      <c r="E2011" s="4">
        <v>0</v>
      </c>
      <c r="F2011" s="4" t="s">
        <v>29</v>
      </c>
    </row>
    <row r="2012" spans="1:6" x14ac:dyDescent="0.25">
      <c r="A2012" s="4" t="s">
        <v>84</v>
      </c>
      <c r="B2012" s="4" t="s">
        <v>5</v>
      </c>
      <c r="C2012" s="4" t="s">
        <v>21</v>
      </c>
      <c r="D2012" s="4">
        <v>2035</v>
      </c>
      <c r="E2012" s="4">
        <v>0</v>
      </c>
      <c r="F2012" s="4" t="s">
        <v>29</v>
      </c>
    </row>
    <row r="2013" spans="1:6" x14ac:dyDescent="0.25">
      <c r="A2013" s="4" t="s">
        <v>84</v>
      </c>
      <c r="B2013" s="4" t="s">
        <v>5</v>
      </c>
      <c r="C2013" s="4" t="s">
        <v>21</v>
      </c>
      <c r="D2013" s="4">
        <v>2036</v>
      </c>
      <c r="E2013" s="4">
        <v>0</v>
      </c>
      <c r="F2013" s="4" t="s">
        <v>29</v>
      </c>
    </row>
    <row r="2014" spans="1:6" x14ac:dyDescent="0.25">
      <c r="A2014" s="4" t="s">
        <v>84</v>
      </c>
      <c r="B2014" s="4" t="s">
        <v>5</v>
      </c>
      <c r="C2014" s="4" t="s">
        <v>21</v>
      </c>
      <c r="D2014" s="4">
        <v>2037</v>
      </c>
      <c r="E2014" s="4">
        <v>0</v>
      </c>
      <c r="F2014" s="4" t="s">
        <v>29</v>
      </c>
    </row>
    <row r="2015" spans="1:6" x14ac:dyDescent="0.25">
      <c r="A2015" s="4" t="s">
        <v>84</v>
      </c>
      <c r="B2015" s="4" t="s">
        <v>5</v>
      </c>
      <c r="C2015" s="4" t="s">
        <v>21</v>
      </c>
      <c r="D2015" s="4">
        <v>2038</v>
      </c>
      <c r="E2015" s="4">
        <v>0</v>
      </c>
      <c r="F2015" s="4" t="s">
        <v>29</v>
      </c>
    </row>
    <row r="2016" spans="1:6" x14ac:dyDescent="0.25">
      <c r="A2016" s="4" t="s">
        <v>84</v>
      </c>
      <c r="B2016" s="4" t="s">
        <v>5</v>
      </c>
      <c r="C2016" s="4" t="s">
        <v>21</v>
      </c>
      <c r="D2016" s="4">
        <v>2039</v>
      </c>
      <c r="E2016" s="4">
        <v>0</v>
      </c>
      <c r="F2016" s="4" t="s">
        <v>29</v>
      </c>
    </row>
    <row r="2017" spans="1:6" x14ac:dyDescent="0.25">
      <c r="A2017" s="4" t="s">
        <v>84</v>
      </c>
      <c r="B2017" s="4" t="s">
        <v>5</v>
      </c>
      <c r="C2017" s="4" t="s">
        <v>21</v>
      </c>
      <c r="D2017" s="4">
        <v>2040</v>
      </c>
      <c r="E2017" s="4">
        <v>0</v>
      </c>
      <c r="F2017" s="4" t="s">
        <v>29</v>
      </c>
    </row>
    <row r="2018" spans="1:6" x14ac:dyDescent="0.25">
      <c r="A2018" s="4" t="s">
        <v>84</v>
      </c>
      <c r="B2018" s="4" t="s">
        <v>6</v>
      </c>
      <c r="C2018" s="4" t="s">
        <v>21</v>
      </c>
      <c r="D2018" s="4">
        <v>2005</v>
      </c>
      <c r="E2018" s="4">
        <v>0</v>
      </c>
      <c r="F2018" s="4" t="s">
        <v>29</v>
      </c>
    </row>
    <row r="2019" spans="1:6" x14ac:dyDescent="0.25">
      <c r="A2019" s="4" t="s">
        <v>84</v>
      </c>
      <c r="B2019" s="4" t="s">
        <v>6</v>
      </c>
      <c r="C2019" s="4" t="s">
        <v>21</v>
      </c>
      <c r="D2019" s="4">
        <v>2006</v>
      </c>
      <c r="E2019" s="4">
        <v>0</v>
      </c>
      <c r="F2019" s="4" t="s">
        <v>29</v>
      </c>
    </row>
    <row r="2020" spans="1:6" x14ac:dyDescent="0.25">
      <c r="A2020" s="4" t="s">
        <v>84</v>
      </c>
      <c r="B2020" s="4" t="s">
        <v>6</v>
      </c>
      <c r="C2020" s="4" t="s">
        <v>21</v>
      </c>
      <c r="D2020" s="4">
        <v>2007</v>
      </c>
      <c r="E2020" s="4">
        <v>0</v>
      </c>
      <c r="F2020" s="4" t="s">
        <v>29</v>
      </c>
    </row>
    <row r="2021" spans="1:6" x14ac:dyDescent="0.25">
      <c r="A2021" s="4" t="s">
        <v>84</v>
      </c>
      <c r="B2021" s="4" t="s">
        <v>6</v>
      </c>
      <c r="C2021" s="4" t="s">
        <v>21</v>
      </c>
      <c r="D2021" s="4">
        <v>2008</v>
      </c>
      <c r="E2021" s="4">
        <v>0</v>
      </c>
      <c r="F2021" s="4" t="s">
        <v>29</v>
      </c>
    </row>
    <row r="2022" spans="1:6" x14ac:dyDescent="0.25">
      <c r="A2022" s="4" t="s">
        <v>84</v>
      </c>
      <c r="B2022" s="4" t="s">
        <v>6</v>
      </c>
      <c r="C2022" s="4" t="s">
        <v>21</v>
      </c>
      <c r="D2022" s="4">
        <v>2009</v>
      </c>
      <c r="E2022" s="4">
        <v>0</v>
      </c>
      <c r="F2022" s="4" t="s">
        <v>29</v>
      </c>
    </row>
    <row r="2023" spans="1:6" x14ac:dyDescent="0.25">
      <c r="A2023" s="4" t="s">
        <v>84</v>
      </c>
      <c r="B2023" s="4" t="s">
        <v>6</v>
      </c>
      <c r="C2023" s="4" t="s">
        <v>21</v>
      </c>
      <c r="D2023" s="4">
        <v>2010</v>
      </c>
      <c r="E2023" s="4">
        <v>0</v>
      </c>
      <c r="F2023" s="4" t="s">
        <v>29</v>
      </c>
    </row>
    <row r="2024" spans="1:6" x14ac:dyDescent="0.25">
      <c r="A2024" s="4" t="s">
        <v>84</v>
      </c>
      <c r="B2024" s="4" t="s">
        <v>6</v>
      </c>
      <c r="C2024" s="4" t="s">
        <v>21</v>
      </c>
      <c r="D2024" s="4">
        <v>2011</v>
      </c>
      <c r="E2024" s="4">
        <v>0</v>
      </c>
      <c r="F2024" s="4" t="s">
        <v>29</v>
      </c>
    </row>
    <row r="2025" spans="1:6" x14ac:dyDescent="0.25">
      <c r="A2025" s="4" t="s">
        <v>84</v>
      </c>
      <c r="B2025" s="4" t="s">
        <v>6</v>
      </c>
      <c r="C2025" s="4" t="s">
        <v>21</v>
      </c>
      <c r="D2025" s="4">
        <v>2012</v>
      </c>
      <c r="E2025" s="4">
        <v>0</v>
      </c>
      <c r="F2025" s="4" t="s">
        <v>29</v>
      </c>
    </row>
    <row r="2026" spans="1:6" x14ac:dyDescent="0.25">
      <c r="A2026" s="4" t="s">
        <v>84</v>
      </c>
      <c r="B2026" s="4" t="s">
        <v>6</v>
      </c>
      <c r="C2026" s="4" t="s">
        <v>21</v>
      </c>
      <c r="D2026" s="4">
        <v>2013</v>
      </c>
      <c r="E2026" s="4">
        <v>0</v>
      </c>
      <c r="F2026" s="4" t="s">
        <v>29</v>
      </c>
    </row>
    <row r="2027" spans="1:6" x14ac:dyDescent="0.25">
      <c r="A2027" s="4" t="s">
        <v>84</v>
      </c>
      <c r="B2027" s="4" t="s">
        <v>6</v>
      </c>
      <c r="C2027" s="4" t="s">
        <v>21</v>
      </c>
      <c r="D2027" s="4">
        <v>2014</v>
      </c>
      <c r="E2027" s="4">
        <v>0</v>
      </c>
      <c r="F2027" s="4" t="s">
        <v>29</v>
      </c>
    </row>
    <row r="2028" spans="1:6" x14ac:dyDescent="0.25">
      <c r="A2028" s="4" t="s">
        <v>84</v>
      </c>
      <c r="B2028" s="4" t="s">
        <v>6</v>
      </c>
      <c r="C2028" s="4" t="s">
        <v>21</v>
      </c>
      <c r="D2028" s="4">
        <v>2015</v>
      </c>
      <c r="E2028" s="4">
        <v>0</v>
      </c>
      <c r="F2028" s="4" t="s">
        <v>29</v>
      </c>
    </row>
    <row r="2029" spans="1:6" x14ac:dyDescent="0.25">
      <c r="A2029" s="4" t="s">
        <v>84</v>
      </c>
      <c r="B2029" s="4" t="s">
        <v>6</v>
      </c>
      <c r="C2029" s="4" t="s">
        <v>21</v>
      </c>
      <c r="D2029" s="4">
        <v>2016</v>
      </c>
      <c r="E2029" s="4">
        <v>0</v>
      </c>
      <c r="F2029" s="4" t="s">
        <v>29</v>
      </c>
    </row>
    <row r="2030" spans="1:6" x14ac:dyDescent="0.25">
      <c r="A2030" s="4" t="s">
        <v>84</v>
      </c>
      <c r="B2030" s="4" t="s">
        <v>6</v>
      </c>
      <c r="C2030" s="4" t="s">
        <v>21</v>
      </c>
      <c r="D2030" s="4">
        <v>2017</v>
      </c>
      <c r="E2030" s="4">
        <v>0</v>
      </c>
      <c r="F2030" s="4" t="s">
        <v>29</v>
      </c>
    </row>
    <row r="2031" spans="1:6" x14ac:dyDescent="0.25">
      <c r="A2031" s="4" t="s">
        <v>84</v>
      </c>
      <c r="B2031" s="4" t="s">
        <v>6</v>
      </c>
      <c r="C2031" s="4" t="s">
        <v>21</v>
      </c>
      <c r="D2031" s="4">
        <v>2018</v>
      </c>
      <c r="E2031" s="4">
        <v>0</v>
      </c>
      <c r="F2031" s="4" t="s">
        <v>29</v>
      </c>
    </row>
    <row r="2032" spans="1:6" x14ac:dyDescent="0.25">
      <c r="A2032" s="4" t="s">
        <v>84</v>
      </c>
      <c r="B2032" s="4" t="s">
        <v>6</v>
      </c>
      <c r="C2032" s="4" t="s">
        <v>21</v>
      </c>
      <c r="D2032" s="4">
        <v>2019</v>
      </c>
      <c r="E2032" s="4">
        <v>0</v>
      </c>
      <c r="F2032" s="4" t="s">
        <v>29</v>
      </c>
    </row>
    <row r="2033" spans="1:6" x14ac:dyDescent="0.25">
      <c r="A2033" s="4" t="s">
        <v>84</v>
      </c>
      <c r="B2033" s="4" t="s">
        <v>6</v>
      </c>
      <c r="C2033" s="4" t="s">
        <v>21</v>
      </c>
      <c r="D2033" s="4">
        <v>2020</v>
      </c>
      <c r="E2033" s="4">
        <v>0</v>
      </c>
      <c r="F2033" s="4" t="s">
        <v>29</v>
      </c>
    </row>
    <row r="2034" spans="1:6" x14ac:dyDescent="0.25">
      <c r="A2034" s="4" t="s">
        <v>84</v>
      </c>
      <c r="B2034" s="4" t="s">
        <v>6</v>
      </c>
      <c r="C2034" s="4" t="s">
        <v>21</v>
      </c>
      <c r="D2034" s="4">
        <v>2021</v>
      </c>
      <c r="E2034" s="4">
        <v>0</v>
      </c>
      <c r="F2034" s="4" t="s">
        <v>29</v>
      </c>
    </row>
    <row r="2035" spans="1:6" x14ac:dyDescent="0.25">
      <c r="A2035" s="4" t="s">
        <v>84</v>
      </c>
      <c r="B2035" s="4" t="s">
        <v>6</v>
      </c>
      <c r="C2035" s="4" t="s">
        <v>21</v>
      </c>
      <c r="D2035" s="4">
        <v>2022</v>
      </c>
      <c r="E2035" s="4">
        <v>0</v>
      </c>
      <c r="F2035" s="4" t="s">
        <v>29</v>
      </c>
    </row>
    <row r="2036" spans="1:6" x14ac:dyDescent="0.25">
      <c r="A2036" s="4" t="s">
        <v>84</v>
      </c>
      <c r="B2036" s="4" t="s">
        <v>6</v>
      </c>
      <c r="C2036" s="4" t="s">
        <v>21</v>
      </c>
      <c r="D2036" s="4">
        <v>2023</v>
      </c>
      <c r="E2036" s="4">
        <v>0</v>
      </c>
      <c r="F2036" s="4" t="s">
        <v>29</v>
      </c>
    </row>
    <row r="2037" spans="1:6" x14ac:dyDescent="0.25">
      <c r="A2037" s="4" t="s">
        <v>84</v>
      </c>
      <c r="B2037" s="4" t="s">
        <v>6</v>
      </c>
      <c r="C2037" s="4" t="s">
        <v>21</v>
      </c>
      <c r="D2037" s="4">
        <v>2024</v>
      </c>
      <c r="E2037" s="4">
        <v>0</v>
      </c>
      <c r="F2037" s="4" t="s">
        <v>29</v>
      </c>
    </row>
    <row r="2038" spans="1:6" x14ac:dyDescent="0.25">
      <c r="A2038" s="4" t="s">
        <v>84</v>
      </c>
      <c r="B2038" s="4" t="s">
        <v>6</v>
      </c>
      <c r="C2038" s="4" t="s">
        <v>21</v>
      </c>
      <c r="D2038" s="4">
        <v>2025</v>
      </c>
      <c r="E2038" s="4">
        <v>0</v>
      </c>
      <c r="F2038" s="4" t="s">
        <v>29</v>
      </c>
    </row>
    <row r="2039" spans="1:6" x14ac:dyDescent="0.25">
      <c r="A2039" s="4" t="s">
        <v>84</v>
      </c>
      <c r="B2039" s="4" t="s">
        <v>6</v>
      </c>
      <c r="C2039" s="4" t="s">
        <v>21</v>
      </c>
      <c r="D2039" s="4">
        <v>2026</v>
      </c>
      <c r="E2039" s="4">
        <v>0</v>
      </c>
      <c r="F2039" s="4" t="s">
        <v>29</v>
      </c>
    </row>
    <row r="2040" spans="1:6" x14ac:dyDescent="0.25">
      <c r="A2040" s="4" t="s">
        <v>84</v>
      </c>
      <c r="B2040" s="4" t="s">
        <v>6</v>
      </c>
      <c r="C2040" s="4" t="s">
        <v>21</v>
      </c>
      <c r="D2040" s="4">
        <v>2027</v>
      </c>
      <c r="E2040" s="4">
        <v>0</v>
      </c>
      <c r="F2040" s="4" t="s">
        <v>29</v>
      </c>
    </row>
    <row r="2041" spans="1:6" x14ac:dyDescent="0.25">
      <c r="A2041" s="4" t="s">
        <v>84</v>
      </c>
      <c r="B2041" s="4" t="s">
        <v>6</v>
      </c>
      <c r="C2041" s="4" t="s">
        <v>21</v>
      </c>
      <c r="D2041" s="4">
        <v>2028</v>
      </c>
      <c r="E2041" s="4">
        <v>0</v>
      </c>
      <c r="F2041" s="4" t="s">
        <v>29</v>
      </c>
    </row>
    <row r="2042" spans="1:6" x14ac:dyDescent="0.25">
      <c r="A2042" s="4" t="s">
        <v>84</v>
      </c>
      <c r="B2042" s="4" t="s">
        <v>6</v>
      </c>
      <c r="C2042" s="4" t="s">
        <v>21</v>
      </c>
      <c r="D2042" s="4">
        <v>2029</v>
      </c>
      <c r="E2042" s="4">
        <v>0</v>
      </c>
      <c r="F2042" s="4" t="s">
        <v>29</v>
      </c>
    </row>
    <row r="2043" spans="1:6" x14ac:dyDescent="0.25">
      <c r="A2043" s="4" t="s">
        <v>84</v>
      </c>
      <c r="B2043" s="4" t="s">
        <v>6</v>
      </c>
      <c r="C2043" s="4" t="s">
        <v>21</v>
      </c>
      <c r="D2043" s="4">
        <v>2030</v>
      </c>
      <c r="E2043" s="4">
        <v>0</v>
      </c>
      <c r="F2043" s="4" t="s">
        <v>29</v>
      </c>
    </row>
    <row r="2044" spans="1:6" x14ac:dyDescent="0.25">
      <c r="A2044" s="4" t="s">
        <v>84</v>
      </c>
      <c r="B2044" s="4" t="s">
        <v>6</v>
      </c>
      <c r="C2044" s="4" t="s">
        <v>21</v>
      </c>
      <c r="D2044" s="4">
        <v>2031</v>
      </c>
      <c r="E2044" s="4">
        <v>0</v>
      </c>
      <c r="F2044" s="4" t="s">
        <v>29</v>
      </c>
    </row>
    <row r="2045" spans="1:6" x14ac:dyDescent="0.25">
      <c r="A2045" s="4" t="s">
        <v>84</v>
      </c>
      <c r="B2045" s="4" t="s">
        <v>6</v>
      </c>
      <c r="C2045" s="4" t="s">
        <v>21</v>
      </c>
      <c r="D2045" s="4">
        <v>2032</v>
      </c>
      <c r="E2045" s="4">
        <v>0</v>
      </c>
      <c r="F2045" s="4" t="s">
        <v>29</v>
      </c>
    </row>
    <row r="2046" spans="1:6" x14ac:dyDescent="0.25">
      <c r="A2046" s="4" t="s">
        <v>84</v>
      </c>
      <c r="B2046" s="4" t="s">
        <v>6</v>
      </c>
      <c r="C2046" s="4" t="s">
        <v>21</v>
      </c>
      <c r="D2046" s="4">
        <v>2033</v>
      </c>
      <c r="E2046" s="4">
        <v>0</v>
      </c>
      <c r="F2046" s="4" t="s">
        <v>29</v>
      </c>
    </row>
    <row r="2047" spans="1:6" x14ac:dyDescent="0.25">
      <c r="A2047" s="4" t="s">
        <v>84</v>
      </c>
      <c r="B2047" s="4" t="s">
        <v>6</v>
      </c>
      <c r="C2047" s="4" t="s">
        <v>21</v>
      </c>
      <c r="D2047" s="4">
        <v>2034</v>
      </c>
      <c r="E2047" s="4">
        <v>0</v>
      </c>
      <c r="F2047" s="4" t="s">
        <v>29</v>
      </c>
    </row>
    <row r="2048" spans="1:6" x14ac:dyDescent="0.25">
      <c r="A2048" s="4" t="s">
        <v>84</v>
      </c>
      <c r="B2048" s="4" t="s">
        <v>6</v>
      </c>
      <c r="C2048" s="4" t="s">
        <v>21</v>
      </c>
      <c r="D2048" s="4">
        <v>2035</v>
      </c>
      <c r="E2048" s="4">
        <v>0</v>
      </c>
      <c r="F2048" s="4" t="s">
        <v>29</v>
      </c>
    </row>
    <row r="2049" spans="1:6" x14ac:dyDescent="0.25">
      <c r="A2049" s="4" t="s">
        <v>84</v>
      </c>
      <c r="B2049" s="4" t="s">
        <v>6</v>
      </c>
      <c r="C2049" s="4" t="s">
        <v>21</v>
      </c>
      <c r="D2049" s="4">
        <v>2036</v>
      </c>
      <c r="E2049" s="4">
        <v>0</v>
      </c>
      <c r="F2049" s="4" t="s">
        <v>29</v>
      </c>
    </row>
    <row r="2050" spans="1:6" x14ac:dyDescent="0.25">
      <c r="A2050" s="4" t="s">
        <v>84</v>
      </c>
      <c r="B2050" s="4" t="s">
        <v>6</v>
      </c>
      <c r="C2050" s="4" t="s">
        <v>21</v>
      </c>
      <c r="D2050" s="4">
        <v>2037</v>
      </c>
      <c r="E2050" s="4">
        <v>0</v>
      </c>
      <c r="F2050" s="4" t="s">
        <v>29</v>
      </c>
    </row>
    <row r="2051" spans="1:6" x14ac:dyDescent="0.25">
      <c r="A2051" s="4" t="s">
        <v>84</v>
      </c>
      <c r="B2051" s="4" t="s">
        <v>6</v>
      </c>
      <c r="C2051" s="4" t="s">
        <v>21</v>
      </c>
      <c r="D2051" s="4">
        <v>2038</v>
      </c>
      <c r="E2051" s="4">
        <v>0</v>
      </c>
      <c r="F2051" s="4" t="s">
        <v>29</v>
      </c>
    </row>
    <row r="2052" spans="1:6" x14ac:dyDescent="0.25">
      <c r="A2052" s="4" t="s">
        <v>84</v>
      </c>
      <c r="B2052" s="4" t="s">
        <v>6</v>
      </c>
      <c r="C2052" s="4" t="s">
        <v>21</v>
      </c>
      <c r="D2052" s="4">
        <v>2039</v>
      </c>
      <c r="E2052" s="4">
        <v>0</v>
      </c>
      <c r="F2052" s="4" t="s">
        <v>29</v>
      </c>
    </row>
    <row r="2053" spans="1:6" x14ac:dyDescent="0.25">
      <c r="A2053" s="4" t="s">
        <v>84</v>
      </c>
      <c r="B2053" s="4" t="s">
        <v>6</v>
      </c>
      <c r="C2053" s="4" t="s">
        <v>21</v>
      </c>
      <c r="D2053" s="4">
        <v>2040</v>
      </c>
      <c r="E2053" s="4">
        <v>0</v>
      </c>
      <c r="F2053" s="4" t="s">
        <v>29</v>
      </c>
    </row>
    <row r="2054" spans="1:6" x14ac:dyDescent="0.25">
      <c r="A2054" s="4" t="s">
        <v>84</v>
      </c>
      <c r="B2054" s="4" t="s">
        <v>23</v>
      </c>
      <c r="C2054" s="4" t="s">
        <v>21</v>
      </c>
      <c r="D2054" s="4">
        <v>2005</v>
      </c>
      <c r="E2054" s="4">
        <v>0</v>
      </c>
      <c r="F2054" s="4" t="s">
        <v>29</v>
      </c>
    </row>
    <row r="2055" spans="1:6" x14ac:dyDescent="0.25">
      <c r="A2055" s="4" t="s">
        <v>84</v>
      </c>
      <c r="B2055" s="4" t="s">
        <v>23</v>
      </c>
      <c r="C2055" s="4" t="s">
        <v>21</v>
      </c>
      <c r="D2055" s="4">
        <v>2006</v>
      </c>
      <c r="E2055" s="4">
        <v>0</v>
      </c>
      <c r="F2055" s="4" t="s">
        <v>29</v>
      </c>
    </row>
    <row r="2056" spans="1:6" x14ac:dyDescent="0.25">
      <c r="A2056" s="4" t="s">
        <v>84</v>
      </c>
      <c r="B2056" s="4" t="s">
        <v>23</v>
      </c>
      <c r="C2056" s="4" t="s">
        <v>21</v>
      </c>
      <c r="D2056" s="4">
        <v>2007</v>
      </c>
      <c r="E2056" s="4">
        <v>0</v>
      </c>
      <c r="F2056" s="4" t="s">
        <v>29</v>
      </c>
    </row>
    <row r="2057" spans="1:6" x14ac:dyDescent="0.25">
      <c r="A2057" s="4" t="s">
        <v>84</v>
      </c>
      <c r="B2057" s="4" t="s">
        <v>23</v>
      </c>
      <c r="C2057" s="4" t="s">
        <v>21</v>
      </c>
      <c r="D2057" s="4">
        <v>2008</v>
      </c>
      <c r="E2057" s="4">
        <v>0</v>
      </c>
      <c r="F2057" s="4" t="s">
        <v>29</v>
      </c>
    </row>
    <row r="2058" spans="1:6" x14ac:dyDescent="0.25">
      <c r="A2058" s="4" t="s">
        <v>84</v>
      </c>
      <c r="B2058" s="4" t="s">
        <v>23</v>
      </c>
      <c r="C2058" s="4" t="s">
        <v>21</v>
      </c>
      <c r="D2058" s="4">
        <v>2009</v>
      </c>
      <c r="E2058" s="4">
        <v>0</v>
      </c>
      <c r="F2058" s="4" t="s">
        <v>29</v>
      </c>
    </row>
    <row r="2059" spans="1:6" x14ac:dyDescent="0.25">
      <c r="A2059" s="4" t="s">
        <v>84</v>
      </c>
      <c r="B2059" s="4" t="s">
        <v>23</v>
      </c>
      <c r="C2059" s="4" t="s">
        <v>21</v>
      </c>
      <c r="D2059" s="4">
        <v>2010</v>
      </c>
      <c r="E2059" s="4">
        <v>0</v>
      </c>
      <c r="F2059" s="4" t="s">
        <v>29</v>
      </c>
    </row>
    <row r="2060" spans="1:6" x14ac:dyDescent="0.25">
      <c r="A2060" s="4" t="s">
        <v>84</v>
      </c>
      <c r="B2060" s="4" t="s">
        <v>23</v>
      </c>
      <c r="C2060" s="4" t="s">
        <v>21</v>
      </c>
      <c r="D2060" s="4">
        <v>2011</v>
      </c>
      <c r="E2060" s="4">
        <v>0</v>
      </c>
      <c r="F2060" s="4" t="s">
        <v>29</v>
      </c>
    </row>
    <row r="2061" spans="1:6" x14ac:dyDescent="0.25">
      <c r="A2061" s="4" t="s">
        <v>84</v>
      </c>
      <c r="B2061" s="4" t="s">
        <v>23</v>
      </c>
      <c r="C2061" s="4" t="s">
        <v>21</v>
      </c>
      <c r="D2061" s="4">
        <v>2012</v>
      </c>
      <c r="E2061" s="4">
        <v>0</v>
      </c>
      <c r="F2061" s="4" t="s">
        <v>29</v>
      </c>
    </row>
    <row r="2062" spans="1:6" x14ac:dyDescent="0.25">
      <c r="A2062" s="4" t="s">
        <v>84</v>
      </c>
      <c r="B2062" s="4" t="s">
        <v>23</v>
      </c>
      <c r="C2062" s="4" t="s">
        <v>21</v>
      </c>
      <c r="D2062" s="4">
        <v>2013</v>
      </c>
      <c r="E2062" s="4">
        <v>0</v>
      </c>
      <c r="F2062" s="4" t="s">
        <v>29</v>
      </c>
    </row>
    <row r="2063" spans="1:6" x14ac:dyDescent="0.25">
      <c r="A2063" s="4" t="s">
        <v>84</v>
      </c>
      <c r="B2063" s="4" t="s">
        <v>23</v>
      </c>
      <c r="C2063" s="4" t="s">
        <v>21</v>
      </c>
      <c r="D2063" s="4">
        <v>2014</v>
      </c>
      <c r="E2063" s="4">
        <v>0</v>
      </c>
      <c r="F2063" s="4" t="s">
        <v>29</v>
      </c>
    </row>
    <row r="2064" spans="1:6" x14ac:dyDescent="0.25">
      <c r="A2064" s="4" t="s">
        <v>84</v>
      </c>
      <c r="B2064" s="4" t="s">
        <v>23</v>
      </c>
      <c r="C2064" s="4" t="s">
        <v>21</v>
      </c>
      <c r="D2064" s="4">
        <v>2015</v>
      </c>
      <c r="E2064" s="4">
        <v>0</v>
      </c>
      <c r="F2064" s="4" t="s">
        <v>29</v>
      </c>
    </row>
    <row r="2065" spans="1:6" x14ac:dyDescent="0.25">
      <c r="A2065" s="4" t="s">
        <v>84</v>
      </c>
      <c r="B2065" s="4" t="s">
        <v>23</v>
      </c>
      <c r="C2065" s="4" t="s">
        <v>21</v>
      </c>
      <c r="D2065" s="4">
        <v>2016</v>
      </c>
      <c r="E2065" s="4">
        <v>0</v>
      </c>
      <c r="F2065" s="4" t="s">
        <v>29</v>
      </c>
    </row>
    <row r="2066" spans="1:6" x14ac:dyDescent="0.25">
      <c r="A2066" s="4" t="s">
        <v>84</v>
      </c>
      <c r="B2066" s="4" t="s">
        <v>23</v>
      </c>
      <c r="C2066" s="4" t="s">
        <v>21</v>
      </c>
      <c r="D2066" s="4">
        <v>2017</v>
      </c>
      <c r="E2066" s="4">
        <v>0</v>
      </c>
      <c r="F2066" s="4" t="s">
        <v>29</v>
      </c>
    </row>
    <row r="2067" spans="1:6" x14ac:dyDescent="0.25">
      <c r="A2067" s="4" t="s">
        <v>84</v>
      </c>
      <c r="B2067" s="4" t="s">
        <v>23</v>
      </c>
      <c r="C2067" s="4" t="s">
        <v>21</v>
      </c>
      <c r="D2067" s="4">
        <v>2018</v>
      </c>
      <c r="E2067" s="4">
        <v>0</v>
      </c>
      <c r="F2067" s="4" t="s">
        <v>29</v>
      </c>
    </row>
    <row r="2068" spans="1:6" x14ac:dyDescent="0.25">
      <c r="A2068" s="4" t="s">
        <v>84</v>
      </c>
      <c r="B2068" s="4" t="s">
        <v>23</v>
      </c>
      <c r="C2068" s="4" t="s">
        <v>21</v>
      </c>
      <c r="D2068" s="4">
        <v>2019</v>
      </c>
      <c r="E2068" s="4">
        <v>0</v>
      </c>
      <c r="F2068" s="4" t="s">
        <v>29</v>
      </c>
    </row>
    <row r="2069" spans="1:6" x14ac:dyDescent="0.25">
      <c r="A2069" s="4" t="s">
        <v>84</v>
      </c>
      <c r="B2069" s="4" t="s">
        <v>23</v>
      </c>
      <c r="C2069" s="4" t="s">
        <v>21</v>
      </c>
      <c r="D2069" s="4">
        <v>2020</v>
      </c>
      <c r="E2069" s="4">
        <v>0</v>
      </c>
      <c r="F2069" s="4" t="s">
        <v>29</v>
      </c>
    </row>
    <row r="2070" spans="1:6" x14ac:dyDescent="0.25">
      <c r="A2070" s="4" t="s">
        <v>84</v>
      </c>
      <c r="B2070" s="4" t="s">
        <v>23</v>
      </c>
      <c r="C2070" s="4" t="s">
        <v>21</v>
      </c>
      <c r="D2070" s="4">
        <v>2021</v>
      </c>
      <c r="E2070" s="4">
        <v>0</v>
      </c>
      <c r="F2070" s="4" t="s">
        <v>29</v>
      </c>
    </row>
    <row r="2071" spans="1:6" x14ac:dyDescent="0.25">
      <c r="A2071" s="4" t="s">
        <v>84</v>
      </c>
      <c r="B2071" s="4" t="s">
        <v>23</v>
      </c>
      <c r="C2071" s="4" t="s">
        <v>21</v>
      </c>
      <c r="D2071" s="4">
        <v>2022</v>
      </c>
      <c r="E2071" s="4">
        <v>0</v>
      </c>
      <c r="F2071" s="4" t="s">
        <v>29</v>
      </c>
    </row>
    <row r="2072" spans="1:6" x14ac:dyDescent="0.25">
      <c r="A2072" s="4" t="s">
        <v>84</v>
      </c>
      <c r="B2072" s="4" t="s">
        <v>23</v>
      </c>
      <c r="C2072" s="4" t="s">
        <v>21</v>
      </c>
      <c r="D2072" s="4">
        <v>2023</v>
      </c>
      <c r="E2072" s="4">
        <v>0</v>
      </c>
      <c r="F2072" s="4" t="s">
        <v>29</v>
      </c>
    </row>
    <row r="2073" spans="1:6" x14ac:dyDescent="0.25">
      <c r="A2073" s="4" t="s">
        <v>84</v>
      </c>
      <c r="B2073" s="4" t="s">
        <v>23</v>
      </c>
      <c r="C2073" s="4" t="s">
        <v>21</v>
      </c>
      <c r="D2073" s="4">
        <v>2024</v>
      </c>
      <c r="E2073" s="4">
        <v>0</v>
      </c>
      <c r="F2073" s="4" t="s">
        <v>29</v>
      </c>
    </row>
    <row r="2074" spans="1:6" x14ac:dyDescent="0.25">
      <c r="A2074" s="4" t="s">
        <v>84</v>
      </c>
      <c r="B2074" s="4" t="s">
        <v>23</v>
      </c>
      <c r="C2074" s="4" t="s">
        <v>21</v>
      </c>
      <c r="D2074" s="4">
        <v>2025</v>
      </c>
      <c r="E2074" s="4">
        <v>0</v>
      </c>
      <c r="F2074" s="4" t="s">
        <v>29</v>
      </c>
    </row>
    <row r="2075" spans="1:6" x14ac:dyDescent="0.25">
      <c r="A2075" s="4" t="s">
        <v>84</v>
      </c>
      <c r="B2075" s="4" t="s">
        <v>23</v>
      </c>
      <c r="C2075" s="4" t="s">
        <v>21</v>
      </c>
      <c r="D2075" s="4">
        <v>2026</v>
      </c>
      <c r="E2075" s="4">
        <v>0</v>
      </c>
      <c r="F2075" s="4" t="s">
        <v>29</v>
      </c>
    </row>
    <row r="2076" spans="1:6" x14ac:dyDescent="0.25">
      <c r="A2076" s="4" t="s">
        <v>84</v>
      </c>
      <c r="B2076" s="4" t="s">
        <v>23</v>
      </c>
      <c r="C2076" s="4" t="s">
        <v>21</v>
      </c>
      <c r="D2076" s="4">
        <v>2027</v>
      </c>
      <c r="E2076" s="4">
        <v>0</v>
      </c>
      <c r="F2076" s="4" t="s">
        <v>29</v>
      </c>
    </row>
    <row r="2077" spans="1:6" x14ac:dyDescent="0.25">
      <c r="A2077" s="4" t="s">
        <v>84</v>
      </c>
      <c r="B2077" s="4" t="s">
        <v>23</v>
      </c>
      <c r="C2077" s="4" t="s">
        <v>21</v>
      </c>
      <c r="D2077" s="4">
        <v>2028</v>
      </c>
      <c r="E2077" s="4">
        <v>0</v>
      </c>
      <c r="F2077" s="4" t="s">
        <v>29</v>
      </c>
    </row>
    <row r="2078" spans="1:6" x14ac:dyDescent="0.25">
      <c r="A2078" s="4" t="s">
        <v>84</v>
      </c>
      <c r="B2078" s="4" t="s">
        <v>23</v>
      </c>
      <c r="C2078" s="4" t="s">
        <v>21</v>
      </c>
      <c r="D2078" s="4">
        <v>2029</v>
      </c>
      <c r="E2078" s="4">
        <v>0</v>
      </c>
      <c r="F2078" s="4" t="s">
        <v>29</v>
      </c>
    </row>
    <row r="2079" spans="1:6" x14ac:dyDescent="0.25">
      <c r="A2079" s="4" t="s">
        <v>84</v>
      </c>
      <c r="B2079" s="4" t="s">
        <v>23</v>
      </c>
      <c r="C2079" s="4" t="s">
        <v>21</v>
      </c>
      <c r="D2079" s="4">
        <v>2030</v>
      </c>
      <c r="E2079" s="4">
        <v>0</v>
      </c>
      <c r="F2079" s="4" t="s">
        <v>29</v>
      </c>
    </row>
    <row r="2080" spans="1:6" x14ac:dyDescent="0.25">
      <c r="A2080" s="4" t="s">
        <v>84</v>
      </c>
      <c r="B2080" s="4" t="s">
        <v>23</v>
      </c>
      <c r="C2080" s="4" t="s">
        <v>21</v>
      </c>
      <c r="D2080" s="4">
        <v>2031</v>
      </c>
      <c r="E2080" s="4">
        <v>0</v>
      </c>
      <c r="F2080" s="4" t="s">
        <v>29</v>
      </c>
    </row>
    <row r="2081" spans="1:6" x14ac:dyDescent="0.25">
      <c r="A2081" s="4" t="s">
        <v>84</v>
      </c>
      <c r="B2081" s="4" t="s">
        <v>23</v>
      </c>
      <c r="C2081" s="4" t="s">
        <v>21</v>
      </c>
      <c r="D2081" s="4">
        <v>2032</v>
      </c>
      <c r="E2081" s="4">
        <v>0</v>
      </c>
      <c r="F2081" s="4" t="s">
        <v>29</v>
      </c>
    </row>
    <row r="2082" spans="1:6" x14ac:dyDescent="0.25">
      <c r="A2082" s="4" t="s">
        <v>84</v>
      </c>
      <c r="B2082" s="4" t="s">
        <v>23</v>
      </c>
      <c r="C2082" s="4" t="s">
        <v>21</v>
      </c>
      <c r="D2082" s="4">
        <v>2033</v>
      </c>
      <c r="E2082" s="4">
        <v>0</v>
      </c>
      <c r="F2082" s="4" t="s">
        <v>29</v>
      </c>
    </row>
    <row r="2083" spans="1:6" x14ac:dyDescent="0.25">
      <c r="A2083" s="4" t="s">
        <v>84</v>
      </c>
      <c r="B2083" s="4" t="s">
        <v>23</v>
      </c>
      <c r="C2083" s="4" t="s">
        <v>21</v>
      </c>
      <c r="D2083" s="4">
        <v>2034</v>
      </c>
      <c r="E2083" s="4">
        <v>0</v>
      </c>
      <c r="F2083" s="4" t="s">
        <v>29</v>
      </c>
    </row>
    <row r="2084" spans="1:6" x14ac:dyDescent="0.25">
      <c r="A2084" s="4" t="s">
        <v>84</v>
      </c>
      <c r="B2084" s="4" t="s">
        <v>23</v>
      </c>
      <c r="C2084" s="4" t="s">
        <v>21</v>
      </c>
      <c r="D2084" s="4">
        <v>2035</v>
      </c>
      <c r="E2084" s="4">
        <v>0</v>
      </c>
      <c r="F2084" s="4" t="s">
        <v>29</v>
      </c>
    </row>
    <row r="2085" spans="1:6" x14ac:dyDescent="0.25">
      <c r="A2085" s="4" t="s">
        <v>84</v>
      </c>
      <c r="B2085" s="4" t="s">
        <v>23</v>
      </c>
      <c r="C2085" s="4" t="s">
        <v>21</v>
      </c>
      <c r="D2085" s="4">
        <v>2036</v>
      </c>
      <c r="E2085" s="4">
        <v>0</v>
      </c>
      <c r="F2085" s="4" t="s">
        <v>29</v>
      </c>
    </row>
    <row r="2086" spans="1:6" x14ac:dyDescent="0.25">
      <c r="A2086" s="4" t="s">
        <v>84</v>
      </c>
      <c r="B2086" s="4" t="s">
        <v>23</v>
      </c>
      <c r="C2086" s="4" t="s">
        <v>21</v>
      </c>
      <c r="D2086" s="4">
        <v>2037</v>
      </c>
      <c r="E2086" s="4">
        <v>0</v>
      </c>
      <c r="F2086" s="4" t="s">
        <v>29</v>
      </c>
    </row>
    <row r="2087" spans="1:6" x14ac:dyDescent="0.25">
      <c r="A2087" s="4" t="s">
        <v>84</v>
      </c>
      <c r="B2087" s="4" t="s">
        <v>23</v>
      </c>
      <c r="C2087" s="4" t="s">
        <v>21</v>
      </c>
      <c r="D2087" s="4">
        <v>2038</v>
      </c>
      <c r="E2087" s="4">
        <v>0</v>
      </c>
      <c r="F2087" s="4" t="s">
        <v>29</v>
      </c>
    </row>
    <row r="2088" spans="1:6" x14ac:dyDescent="0.25">
      <c r="A2088" s="4" t="s">
        <v>84</v>
      </c>
      <c r="B2088" s="4" t="s">
        <v>23</v>
      </c>
      <c r="C2088" s="4" t="s">
        <v>21</v>
      </c>
      <c r="D2088" s="4">
        <v>2039</v>
      </c>
      <c r="E2088" s="4">
        <v>0</v>
      </c>
      <c r="F2088" s="4" t="s">
        <v>29</v>
      </c>
    </row>
    <row r="2089" spans="1:6" x14ac:dyDescent="0.25">
      <c r="A2089" s="4" t="s">
        <v>84</v>
      </c>
      <c r="B2089" s="4" t="s">
        <v>23</v>
      </c>
      <c r="C2089" s="4" t="s">
        <v>21</v>
      </c>
      <c r="D2089" s="4">
        <v>2040</v>
      </c>
      <c r="E2089" s="4">
        <v>0</v>
      </c>
      <c r="F2089" s="4" t="s">
        <v>29</v>
      </c>
    </row>
    <row r="2090" spans="1:6" x14ac:dyDescent="0.25">
      <c r="A2090" s="4" t="s">
        <v>85</v>
      </c>
      <c r="B2090" s="4" t="s">
        <v>1</v>
      </c>
      <c r="C2090" s="4" t="s">
        <v>21</v>
      </c>
      <c r="D2090" s="4">
        <v>2005</v>
      </c>
      <c r="E2090" s="4">
        <v>0</v>
      </c>
      <c r="F2090" s="4" t="s">
        <v>29</v>
      </c>
    </row>
    <row r="2091" spans="1:6" x14ac:dyDescent="0.25">
      <c r="A2091" s="4" t="s">
        <v>85</v>
      </c>
      <c r="B2091" s="4" t="s">
        <v>1</v>
      </c>
      <c r="C2091" s="4" t="s">
        <v>21</v>
      </c>
      <c r="D2091" s="4">
        <v>2006</v>
      </c>
      <c r="E2091" s="4">
        <v>0</v>
      </c>
      <c r="F2091" s="4" t="s">
        <v>29</v>
      </c>
    </row>
    <row r="2092" spans="1:6" x14ac:dyDescent="0.25">
      <c r="A2092" s="4" t="s">
        <v>85</v>
      </c>
      <c r="B2092" s="4" t="s">
        <v>1</v>
      </c>
      <c r="C2092" s="4" t="s">
        <v>21</v>
      </c>
      <c r="D2092" s="4">
        <v>2007</v>
      </c>
      <c r="E2092" s="4">
        <v>0</v>
      </c>
      <c r="F2092" s="4" t="s">
        <v>29</v>
      </c>
    </row>
    <row r="2093" spans="1:6" x14ac:dyDescent="0.25">
      <c r="A2093" s="4" t="s">
        <v>85</v>
      </c>
      <c r="B2093" s="4" t="s">
        <v>1</v>
      </c>
      <c r="C2093" s="4" t="s">
        <v>21</v>
      </c>
      <c r="D2093" s="4">
        <v>2008</v>
      </c>
      <c r="E2093" s="4">
        <v>0</v>
      </c>
      <c r="F2093" s="4" t="s">
        <v>29</v>
      </c>
    </row>
    <row r="2094" spans="1:6" x14ac:dyDescent="0.25">
      <c r="A2094" s="4" t="s">
        <v>85</v>
      </c>
      <c r="B2094" s="4" t="s">
        <v>1</v>
      </c>
      <c r="C2094" s="4" t="s">
        <v>21</v>
      </c>
      <c r="D2094" s="4">
        <v>2009</v>
      </c>
      <c r="E2094" s="4">
        <v>0</v>
      </c>
      <c r="F2094" s="4" t="s">
        <v>29</v>
      </c>
    </row>
    <row r="2095" spans="1:6" x14ac:dyDescent="0.25">
      <c r="A2095" s="4" t="s">
        <v>85</v>
      </c>
      <c r="B2095" s="4" t="s">
        <v>1</v>
      </c>
      <c r="C2095" s="4" t="s">
        <v>21</v>
      </c>
      <c r="D2095" s="4">
        <v>2010</v>
      </c>
      <c r="E2095" s="4">
        <v>0</v>
      </c>
      <c r="F2095" s="4" t="s">
        <v>29</v>
      </c>
    </row>
    <row r="2096" spans="1:6" x14ac:dyDescent="0.25">
      <c r="A2096" s="4" t="s">
        <v>85</v>
      </c>
      <c r="B2096" s="4" t="s">
        <v>1</v>
      </c>
      <c r="C2096" s="4" t="s">
        <v>21</v>
      </c>
      <c r="D2096" s="4">
        <v>2011</v>
      </c>
      <c r="E2096" s="4">
        <v>0</v>
      </c>
      <c r="F2096" s="4" t="s">
        <v>29</v>
      </c>
    </row>
    <row r="2097" spans="1:6" x14ac:dyDescent="0.25">
      <c r="A2097" s="4" t="s">
        <v>85</v>
      </c>
      <c r="B2097" s="4" t="s">
        <v>1</v>
      </c>
      <c r="C2097" s="4" t="s">
        <v>21</v>
      </c>
      <c r="D2097" s="4">
        <v>2012</v>
      </c>
      <c r="E2097" s="4">
        <v>0</v>
      </c>
      <c r="F2097" s="4" t="s">
        <v>29</v>
      </c>
    </row>
    <row r="2098" spans="1:6" x14ac:dyDescent="0.25">
      <c r="A2098" s="4" t="s">
        <v>85</v>
      </c>
      <c r="B2098" s="4" t="s">
        <v>1</v>
      </c>
      <c r="C2098" s="4" t="s">
        <v>21</v>
      </c>
      <c r="D2098" s="4">
        <v>2013</v>
      </c>
      <c r="E2098" s="4">
        <v>0</v>
      </c>
      <c r="F2098" s="4" t="s">
        <v>29</v>
      </c>
    </row>
    <row r="2099" spans="1:6" x14ac:dyDescent="0.25">
      <c r="A2099" s="4" t="s">
        <v>85</v>
      </c>
      <c r="B2099" s="4" t="s">
        <v>1</v>
      </c>
      <c r="C2099" s="4" t="s">
        <v>21</v>
      </c>
      <c r="D2099" s="4">
        <v>2014</v>
      </c>
      <c r="E2099" s="4">
        <v>0</v>
      </c>
      <c r="F2099" s="4" t="s">
        <v>29</v>
      </c>
    </row>
    <row r="2100" spans="1:6" x14ac:dyDescent="0.25">
      <c r="A2100" s="4" t="s">
        <v>85</v>
      </c>
      <c r="B2100" s="4" t="s">
        <v>1</v>
      </c>
      <c r="C2100" s="4" t="s">
        <v>21</v>
      </c>
      <c r="D2100" s="4">
        <v>2015</v>
      </c>
      <c r="E2100" s="4">
        <v>0</v>
      </c>
      <c r="F2100" s="4" t="s">
        <v>29</v>
      </c>
    </row>
    <row r="2101" spans="1:6" x14ac:dyDescent="0.25">
      <c r="A2101" s="4" t="s">
        <v>85</v>
      </c>
      <c r="B2101" s="4" t="s">
        <v>1</v>
      </c>
      <c r="C2101" s="4" t="s">
        <v>21</v>
      </c>
      <c r="D2101" s="4">
        <v>2016</v>
      </c>
      <c r="E2101" s="4">
        <v>0</v>
      </c>
      <c r="F2101" s="4" t="s">
        <v>29</v>
      </c>
    </row>
    <row r="2102" spans="1:6" x14ac:dyDescent="0.25">
      <c r="A2102" s="4" t="s">
        <v>85</v>
      </c>
      <c r="B2102" s="4" t="s">
        <v>1</v>
      </c>
      <c r="C2102" s="4" t="s">
        <v>21</v>
      </c>
      <c r="D2102" s="4">
        <v>2017</v>
      </c>
      <c r="E2102" s="4">
        <v>0</v>
      </c>
      <c r="F2102" s="4" t="s">
        <v>29</v>
      </c>
    </row>
    <row r="2103" spans="1:6" x14ac:dyDescent="0.25">
      <c r="A2103" s="4" t="s">
        <v>85</v>
      </c>
      <c r="B2103" s="4" t="s">
        <v>1</v>
      </c>
      <c r="C2103" s="4" t="s">
        <v>21</v>
      </c>
      <c r="D2103" s="4">
        <v>2018</v>
      </c>
      <c r="E2103" s="4">
        <v>0</v>
      </c>
      <c r="F2103" s="4" t="s">
        <v>29</v>
      </c>
    </row>
    <row r="2104" spans="1:6" x14ac:dyDescent="0.25">
      <c r="A2104" s="4" t="s">
        <v>85</v>
      </c>
      <c r="B2104" s="4" t="s">
        <v>1</v>
      </c>
      <c r="C2104" s="4" t="s">
        <v>21</v>
      </c>
      <c r="D2104" s="4">
        <v>2019</v>
      </c>
      <c r="E2104" s="4">
        <v>0</v>
      </c>
      <c r="F2104" s="4" t="s">
        <v>29</v>
      </c>
    </row>
    <row r="2105" spans="1:6" x14ac:dyDescent="0.25">
      <c r="A2105" s="4" t="s">
        <v>85</v>
      </c>
      <c r="B2105" s="4" t="s">
        <v>1</v>
      </c>
      <c r="C2105" s="4" t="s">
        <v>21</v>
      </c>
      <c r="D2105" s="4">
        <v>2020</v>
      </c>
      <c r="E2105" s="4">
        <v>0</v>
      </c>
      <c r="F2105" s="4" t="s">
        <v>29</v>
      </c>
    </row>
    <row r="2106" spans="1:6" x14ac:dyDescent="0.25">
      <c r="A2106" s="4" t="s">
        <v>85</v>
      </c>
      <c r="B2106" s="4" t="s">
        <v>1</v>
      </c>
      <c r="C2106" s="4" t="s">
        <v>21</v>
      </c>
      <c r="D2106" s="4">
        <v>2021</v>
      </c>
      <c r="E2106" s="4">
        <v>0</v>
      </c>
      <c r="F2106" s="4" t="s">
        <v>29</v>
      </c>
    </row>
    <row r="2107" spans="1:6" x14ac:dyDescent="0.25">
      <c r="A2107" s="4" t="s">
        <v>85</v>
      </c>
      <c r="B2107" s="4" t="s">
        <v>1</v>
      </c>
      <c r="C2107" s="4" t="s">
        <v>21</v>
      </c>
      <c r="D2107" s="4">
        <v>2022</v>
      </c>
      <c r="E2107" s="4">
        <v>0</v>
      </c>
      <c r="F2107" s="4" t="s">
        <v>29</v>
      </c>
    </row>
    <row r="2108" spans="1:6" x14ac:dyDescent="0.25">
      <c r="A2108" s="4" t="s">
        <v>85</v>
      </c>
      <c r="B2108" s="4" t="s">
        <v>1</v>
      </c>
      <c r="C2108" s="4" t="s">
        <v>21</v>
      </c>
      <c r="D2108" s="4">
        <v>2023</v>
      </c>
      <c r="E2108" s="4">
        <v>0</v>
      </c>
      <c r="F2108" s="4" t="s">
        <v>29</v>
      </c>
    </row>
    <row r="2109" spans="1:6" x14ac:dyDescent="0.25">
      <c r="A2109" s="4" t="s">
        <v>85</v>
      </c>
      <c r="B2109" s="4" t="s">
        <v>1</v>
      </c>
      <c r="C2109" s="4" t="s">
        <v>21</v>
      </c>
      <c r="D2109" s="4">
        <v>2024</v>
      </c>
      <c r="E2109" s="4">
        <v>0</v>
      </c>
      <c r="F2109" s="4" t="s">
        <v>29</v>
      </c>
    </row>
    <row r="2110" spans="1:6" x14ac:dyDescent="0.25">
      <c r="A2110" s="4" t="s">
        <v>85</v>
      </c>
      <c r="B2110" s="4" t="s">
        <v>1</v>
      </c>
      <c r="C2110" s="4" t="s">
        <v>21</v>
      </c>
      <c r="D2110" s="4">
        <v>2025</v>
      </c>
      <c r="E2110" s="4">
        <v>0</v>
      </c>
      <c r="F2110" s="4" t="s">
        <v>29</v>
      </c>
    </row>
    <row r="2111" spans="1:6" x14ac:dyDescent="0.25">
      <c r="A2111" s="4" t="s">
        <v>85</v>
      </c>
      <c r="B2111" s="4" t="s">
        <v>1</v>
      </c>
      <c r="C2111" s="4" t="s">
        <v>21</v>
      </c>
      <c r="D2111" s="4">
        <v>2026</v>
      </c>
      <c r="E2111" s="4">
        <v>0</v>
      </c>
      <c r="F2111" s="4" t="s">
        <v>29</v>
      </c>
    </row>
    <row r="2112" spans="1:6" x14ac:dyDescent="0.25">
      <c r="A2112" s="4" t="s">
        <v>85</v>
      </c>
      <c r="B2112" s="4" t="s">
        <v>1</v>
      </c>
      <c r="C2112" s="4" t="s">
        <v>21</v>
      </c>
      <c r="D2112" s="4">
        <v>2027</v>
      </c>
      <c r="E2112" s="4">
        <v>0</v>
      </c>
      <c r="F2112" s="4" t="s">
        <v>29</v>
      </c>
    </row>
    <row r="2113" spans="1:6" x14ac:dyDescent="0.25">
      <c r="A2113" s="4" t="s">
        <v>85</v>
      </c>
      <c r="B2113" s="4" t="s">
        <v>1</v>
      </c>
      <c r="C2113" s="4" t="s">
        <v>21</v>
      </c>
      <c r="D2113" s="4">
        <v>2028</v>
      </c>
      <c r="E2113" s="4">
        <v>0</v>
      </c>
      <c r="F2113" s="4" t="s">
        <v>29</v>
      </c>
    </row>
    <row r="2114" spans="1:6" x14ac:dyDescent="0.25">
      <c r="A2114" s="4" t="s">
        <v>85</v>
      </c>
      <c r="B2114" s="4" t="s">
        <v>1</v>
      </c>
      <c r="C2114" s="4" t="s">
        <v>21</v>
      </c>
      <c r="D2114" s="4">
        <v>2029</v>
      </c>
      <c r="E2114" s="4">
        <v>0</v>
      </c>
      <c r="F2114" s="4" t="s">
        <v>29</v>
      </c>
    </row>
    <row r="2115" spans="1:6" x14ac:dyDescent="0.25">
      <c r="A2115" s="4" t="s">
        <v>85</v>
      </c>
      <c r="B2115" s="4" t="s">
        <v>1</v>
      </c>
      <c r="C2115" s="4" t="s">
        <v>21</v>
      </c>
      <c r="D2115" s="4">
        <v>2030</v>
      </c>
      <c r="E2115" s="4">
        <v>0</v>
      </c>
      <c r="F2115" s="4" t="s">
        <v>29</v>
      </c>
    </row>
    <row r="2116" spans="1:6" x14ac:dyDescent="0.25">
      <c r="A2116" s="4" t="s">
        <v>85</v>
      </c>
      <c r="B2116" s="4" t="s">
        <v>1</v>
      </c>
      <c r="C2116" s="4" t="s">
        <v>21</v>
      </c>
      <c r="D2116" s="4">
        <v>2031</v>
      </c>
      <c r="E2116" s="4">
        <v>0</v>
      </c>
      <c r="F2116" s="4" t="s">
        <v>29</v>
      </c>
    </row>
    <row r="2117" spans="1:6" x14ac:dyDescent="0.25">
      <c r="A2117" s="4" t="s">
        <v>85</v>
      </c>
      <c r="B2117" s="4" t="s">
        <v>1</v>
      </c>
      <c r="C2117" s="4" t="s">
        <v>21</v>
      </c>
      <c r="D2117" s="4">
        <v>2032</v>
      </c>
      <c r="E2117" s="4">
        <v>0</v>
      </c>
      <c r="F2117" s="4" t="s">
        <v>29</v>
      </c>
    </row>
    <row r="2118" spans="1:6" x14ac:dyDescent="0.25">
      <c r="A2118" s="4" t="s">
        <v>85</v>
      </c>
      <c r="B2118" s="4" t="s">
        <v>1</v>
      </c>
      <c r="C2118" s="4" t="s">
        <v>21</v>
      </c>
      <c r="D2118" s="4">
        <v>2033</v>
      </c>
      <c r="E2118" s="4">
        <v>0</v>
      </c>
      <c r="F2118" s="4" t="s">
        <v>29</v>
      </c>
    </row>
    <row r="2119" spans="1:6" x14ac:dyDescent="0.25">
      <c r="A2119" s="4" t="s">
        <v>85</v>
      </c>
      <c r="B2119" s="4" t="s">
        <v>1</v>
      </c>
      <c r="C2119" s="4" t="s">
        <v>21</v>
      </c>
      <c r="D2119" s="4">
        <v>2034</v>
      </c>
      <c r="E2119" s="4">
        <v>0</v>
      </c>
      <c r="F2119" s="4" t="s">
        <v>29</v>
      </c>
    </row>
    <row r="2120" spans="1:6" x14ac:dyDescent="0.25">
      <c r="A2120" s="4" t="s">
        <v>85</v>
      </c>
      <c r="B2120" s="4" t="s">
        <v>1</v>
      </c>
      <c r="C2120" s="4" t="s">
        <v>21</v>
      </c>
      <c r="D2120" s="4">
        <v>2035</v>
      </c>
      <c r="E2120" s="4">
        <v>0</v>
      </c>
      <c r="F2120" s="4" t="s">
        <v>29</v>
      </c>
    </row>
    <row r="2121" spans="1:6" x14ac:dyDescent="0.25">
      <c r="A2121" s="4" t="s">
        <v>85</v>
      </c>
      <c r="B2121" s="4" t="s">
        <v>1</v>
      </c>
      <c r="C2121" s="4" t="s">
        <v>21</v>
      </c>
      <c r="D2121" s="4">
        <v>2036</v>
      </c>
      <c r="E2121" s="4">
        <v>0</v>
      </c>
      <c r="F2121" s="4" t="s">
        <v>29</v>
      </c>
    </row>
    <row r="2122" spans="1:6" x14ac:dyDescent="0.25">
      <c r="A2122" s="4" t="s">
        <v>85</v>
      </c>
      <c r="B2122" s="4" t="s">
        <v>1</v>
      </c>
      <c r="C2122" s="4" t="s">
        <v>21</v>
      </c>
      <c r="D2122" s="4">
        <v>2037</v>
      </c>
      <c r="E2122" s="4">
        <v>0</v>
      </c>
      <c r="F2122" s="4" t="s">
        <v>29</v>
      </c>
    </row>
    <row r="2123" spans="1:6" x14ac:dyDescent="0.25">
      <c r="A2123" s="4" t="s">
        <v>85</v>
      </c>
      <c r="B2123" s="4" t="s">
        <v>1</v>
      </c>
      <c r="C2123" s="4" t="s">
        <v>21</v>
      </c>
      <c r="D2123" s="4">
        <v>2038</v>
      </c>
      <c r="E2123" s="4">
        <v>0</v>
      </c>
      <c r="F2123" s="4" t="s">
        <v>29</v>
      </c>
    </row>
    <row r="2124" spans="1:6" x14ac:dyDescent="0.25">
      <c r="A2124" s="4" t="s">
        <v>85</v>
      </c>
      <c r="B2124" s="4" t="s">
        <v>1</v>
      </c>
      <c r="C2124" s="4" t="s">
        <v>21</v>
      </c>
      <c r="D2124" s="4">
        <v>2039</v>
      </c>
      <c r="E2124" s="4">
        <v>0</v>
      </c>
      <c r="F2124" s="4" t="s">
        <v>29</v>
      </c>
    </row>
    <row r="2125" spans="1:6" x14ac:dyDescent="0.25">
      <c r="A2125" s="4" t="s">
        <v>85</v>
      </c>
      <c r="B2125" s="4" t="s">
        <v>1</v>
      </c>
      <c r="C2125" s="4" t="s">
        <v>21</v>
      </c>
      <c r="D2125" s="4">
        <v>2040</v>
      </c>
      <c r="E2125" s="4">
        <v>0</v>
      </c>
      <c r="F2125" s="4" t="s">
        <v>29</v>
      </c>
    </row>
    <row r="2126" spans="1:6" x14ac:dyDescent="0.25">
      <c r="A2126" s="4" t="s">
        <v>85</v>
      </c>
      <c r="B2126" s="4" t="s">
        <v>2</v>
      </c>
      <c r="C2126" s="4" t="s">
        <v>21</v>
      </c>
      <c r="D2126" s="4">
        <v>2005</v>
      </c>
      <c r="E2126" s="4">
        <v>0</v>
      </c>
      <c r="F2126" s="4" t="s">
        <v>29</v>
      </c>
    </row>
    <row r="2127" spans="1:6" x14ac:dyDescent="0.25">
      <c r="A2127" s="4" t="s">
        <v>85</v>
      </c>
      <c r="B2127" s="4" t="s">
        <v>2</v>
      </c>
      <c r="C2127" s="4" t="s">
        <v>21</v>
      </c>
      <c r="D2127" s="4">
        <v>2006</v>
      </c>
      <c r="E2127" s="4">
        <v>0</v>
      </c>
      <c r="F2127" s="4" t="s">
        <v>29</v>
      </c>
    </row>
    <row r="2128" spans="1:6" x14ac:dyDescent="0.25">
      <c r="A2128" s="4" t="s">
        <v>85</v>
      </c>
      <c r="B2128" s="4" t="s">
        <v>2</v>
      </c>
      <c r="C2128" s="4" t="s">
        <v>21</v>
      </c>
      <c r="D2128" s="4">
        <v>2007</v>
      </c>
      <c r="E2128" s="4">
        <v>0</v>
      </c>
      <c r="F2128" s="4" t="s">
        <v>29</v>
      </c>
    </row>
    <row r="2129" spans="1:6" x14ac:dyDescent="0.25">
      <c r="A2129" s="4" t="s">
        <v>85</v>
      </c>
      <c r="B2129" s="4" t="s">
        <v>2</v>
      </c>
      <c r="C2129" s="4" t="s">
        <v>21</v>
      </c>
      <c r="D2129" s="4">
        <v>2008</v>
      </c>
      <c r="E2129" s="4">
        <v>0</v>
      </c>
      <c r="F2129" s="4" t="s">
        <v>29</v>
      </c>
    </row>
    <row r="2130" spans="1:6" x14ac:dyDescent="0.25">
      <c r="A2130" s="4" t="s">
        <v>85</v>
      </c>
      <c r="B2130" s="4" t="s">
        <v>2</v>
      </c>
      <c r="C2130" s="4" t="s">
        <v>21</v>
      </c>
      <c r="D2130" s="4">
        <v>2009</v>
      </c>
      <c r="E2130" s="4">
        <v>0</v>
      </c>
      <c r="F2130" s="4" t="s">
        <v>29</v>
      </c>
    </row>
    <row r="2131" spans="1:6" x14ac:dyDescent="0.25">
      <c r="A2131" s="4" t="s">
        <v>85</v>
      </c>
      <c r="B2131" s="4" t="s">
        <v>2</v>
      </c>
      <c r="C2131" s="4" t="s">
        <v>21</v>
      </c>
      <c r="D2131" s="4">
        <v>2010</v>
      </c>
      <c r="E2131" s="4">
        <v>0</v>
      </c>
      <c r="F2131" s="4" t="s">
        <v>29</v>
      </c>
    </row>
    <row r="2132" spans="1:6" x14ac:dyDescent="0.25">
      <c r="A2132" s="4" t="s">
        <v>85</v>
      </c>
      <c r="B2132" s="4" t="s">
        <v>2</v>
      </c>
      <c r="C2132" s="4" t="s">
        <v>21</v>
      </c>
      <c r="D2132" s="4">
        <v>2011</v>
      </c>
      <c r="E2132" s="4">
        <v>0</v>
      </c>
      <c r="F2132" s="4" t="s">
        <v>29</v>
      </c>
    </row>
    <row r="2133" spans="1:6" x14ac:dyDescent="0.25">
      <c r="A2133" s="4" t="s">
        <v>85</v>
      </c>
      <c r="B2133" s="4" t="s">
        <v>2</v>
      </c>
      <c r="C2133" s="4" t="s">
        <v>21</v>
      </c>
      <c r="D2133" s="4">
        <v>2012</v>
      </c>
      <c r="E2133" s="4">
        <v>0</v>
      </c>
      <c r="F2133" s="4" t="s">
        <v>29</v>
      </c>
    </row>
    <row r="2134" spans="1:6" x14ac:dyDescent="0.25">
      <c r="A2134" s="4" t="s">
        <v>85</v>
      </c>
      <c r="B2134" s="4" t="s">
        <v>2</v>
      </c>
      <c r="C2134" s="4" t="s">
        <v>21</v>
      </c>
      <c r="D2134" s="4">
        <v>2013</v>
      </c>
      <c r="E2134" s="4">
        <v>0</v>
      </c>
      <c r="F2134" s="4" t="s">
        <v>29</v>
      </c>
    </row>
    <row r="2135" spans="1:6" x14ac:dyDescent="0.25">
      <c r="A2135" s="4" t="s">
        <v>85</v>
      </c>
      <c r="B2135" s="4" t="s">
        <v>2</v>
      </c>
      <c r="C2135" s="4" t="s">
        <v>21</v>
      </c>
      <c r="D2135" s="4">
        <v>2014</v>
      </c>
      <c r="E2135" s="4">
        <v>0</v>
      </c>
      <c r="F2135" s="4" t="s">
        <v>29</v>
      </c>
    </row>
    <row r="2136" spans="1:6" x14ac:dyDescent="0.25">
      <c r="A2136" s="4" t="s">
        <v>85</v>
      </c>
      <c r="B2136" s="4" t="s">
        <v>2</v>
      </c>
      <c r="C2136" s="4" t="s">
        <v>21</v>
      </c>
      <c r="D2136" s="4">
        <v>2015</v>
      </c>
      <c r="E2136" s="4">
        <v>0</v>
      </c>
      <c r="F2136" s="4" t="s">
        <v>29</v>
      </c>
    </row>
    <row r="2137" spans="1:6" x14ac:dyDescent="0.25">
      <c r="A2137" s="4" t="s">
        <v>85</v>
      </c>
      <c r="B2137" s="4" t="s">
        <v>2</v>
      </c>
      <c r="C2137" s="4" t="s">
        <v>21</v>
      </c>
      <c r="D2137" s="4">
        <v>2016</v>
      </c>
      <c r="E2137" s="4">
        <v>0</v>
      </c>
      <c r="F2137" s="4" t="s">
        <v>29</v>
      </c>
    </row>
    <row r="2138" spans="1:6" x14ac:dyDescent="0.25">
      <c r="A2138" s="4" t="s">
        <v>85</v>
      </c>
      <c r="B2138" s="4" t="s">
        <v>2</v>
      </c>
      <c r="C2138" s="4" t="s">
        <v>21</v>
      </c>
      <c r="D2138" s="4">
        <v>2017</v>
      </c>
      <c r="E2138" s="4">
        <v>0</v>
      </c>
      <c r="F2138" s="4" t="s">
        <v>29</v>
      </c>
    </row>
    <row r="2139" spans="1:6" x14ac:dyDescent="0.25">
      <c r="A2139" s="4" t="s">
        <v>85</v>
      </c>
      <c r="B2139" s="4" t="s">
        <v>2</v>
      </c>
      <c r="C2139" s="4" t="s">
        <v>21</v>
      </c>
      <c r="D2139" s="4">
        <v>2018</v>
      </c>
      <c r="E2139" s="4">
        <v>0</v>
      </c>
      <c r="F2139" s="4" t="s">
        <v>29</v>
      </c>
    </row>
    <row r="2140" spans="1:6" x14ac:dyDescent="0.25">
      <c r="A2140" s="4" t="s">
        <v>85</v>
      </c>
      <c r="B2140" s="4" t="s">
        <v>2</v>
      </c>
      <c r="C2140" s="4" t="s">
        <v>21</v>
      </c>
      <c r="D2140" s="4">
        <v>2019</v>
      </c>
      <c r="E2140" s="4">
        <v>0</v>
      </c>
      <c r="F2140" s="4" t="s">
        <v>29</v>
      </c>
    </row>
    <row r="2141" spans="1:6" x14ac:dyDescent="0.25">
      <c r="A2141" s="4" t="s">
        <v>85</v>
      </c>
      <c r="B2141" s="4" t="s">
        <v>2</v>
      </c>
      <c r="C2141" s="4" t="s">
        <v>21</v>
      </c>
      <c r="D2141" s="4">
        <v>2020</v>
      </c>
      <c r="E2141" s="4">
        <v>0</v>
      </c>
      <c r="F2141" s="4" t="s">
        <v>29</v>
      </c>
    </row>
    <row r="2142" spans="1:6" x14ac:dyDescent="0.25">
      <c r="A2142" s="4" t="s">
        <v>85</v>
      </c>
      <c r="B2142" s="4" t="s">
        <v>2</v>
      </c>
      <c r="C2142" s="4" t="s">
        <v>21</v>
      </c>
      <c r="D2142" s="4">
        <v>2021</v>
      </c>
      <c r="E2142" s="4">
        <v>0</v>
      </c>
      <c r="F2142" s="4" t="s">
        <v>29</v>
      </c>
    </row>
    <row r="2143" spans="1:6" x14ac:dyDescent="0.25">
      <c r="A2143" s="4" t="s">
        <v>85</v>
      </c>
      <c r="B2143" s="4" t="s">
        <v>2</v>
      </c>
      <c r="C2143" s="4" t="s">
        <v>21</v>
      </c>
      <c r="D2143" s="4">
        <v>2022</v>
      </c>
      <c r="E2143" s="4">
        <v>0</v>
      </c>
      <c r="F2143" s="4" t="s">
        <v>29</v>
      </c>
    </row>
    <row r="2144" spans="1:6" x14ac:dyDescent="0.25">
      <c r="A2144" s="4" t="s">
        <v>85</v>
      </c>
      <c r="B2144" s="4" t="s">
        <v>2</v>
      </c>
      <c r="C2144" s="4" t="s">
        <v>21</v>
      </c>
      <c r="D2144" s="4">
        <v>2023</v>
      </c>
      <c r="E2144" s="4">
        <v>0</v>
      </c>
      <c r="F2144" s="4" t="s">
        <v>29</v>
      </c>
    </row>
    <row r="2145" spans="1:6" x14ac:dyDescent="0.25">
      <c r="A2145" s="4" t="s">
        <v>85</v>
      </c>
      <c r="B2145" s="4" t="s">
        <v>2</v>
      </c>
      <c r="C2145" s="4" t="s">
        <v>21</v>
      </c>
      <c r="D2145" s="4">
        <v>2024</v>
      </c>
      <c r="E2145" s="4">
        <v>0</v>
      </c>
      <c r="F2145" s="4" t="s">
        <v>29</v>
      </c>
    </row>
    <row r="2146" spans="1:6" x14ac:dyDescent="0.25">
      <c r="A2146" s="4" t="s">
        <v>85</v>
      </c>
      <c r="B2146" s="4" t="s">
        <v>2</v>
      </c>
      <c r="C2146" s="4" t="s">
        <v>21</v>
      </c>
      <c r="D2146" s="4">
        <v>2025</v>
      </c>
      <c r="E2146" s="4">
        <v>0</v>
      </c>
      <c r="F2146" s="4" t="s">
        <v>29</v>
      </c>
    </row>
    <row r="2147" spans="1:6" x14ac:dyDescent="0.25">
      <c r="A2147" s="4" t="s">
        <v>85</v>
      </c>
      <c r="B2147" s="4" t="s">
        <v>2</v>
      </c>
      <c r="C2147" s="4" t="s">
        <v>21</v>
      </c>
      <c r="D2147" s="4">
        <v>2026</v>
      </c>
      <c r="E2147" s="4">
        <v>0</v>
      </c>
      <c r="F2147" s="4" t="s">
        <v>29</v>
      </c>
    </row>
    <row r="2148" spans="1:6" x14ac:dyDescent="0.25">
      <c r="A2148" s="4" t="s">
        <v>85</v>
      </c>
      <c r="B2148" s="4" t="s">
        <v>2</v>
      </c>
      <c r="C2148" s="4" t="s">
        <v>21</v>
      </c>
      <c r="D2148" s="4">
        <v>2027</v>
      </c>
      <c r="E2148" s="4">
        <v>0</v>
      </c>
      <c r="F2148" s="4" t="s">
        <v>29</v>
      </c>
    </row>
    <row r="2149" spans="1:6" x14ac:dyDescent="0.25">
      <c r="A2149" s="4" t="s">
        <v>85</v>
      </c>
      <c r="B2149" s="4" t="s">
        <v>2</v>
      </c>
      <c r="C2149" s="4" t="s">
        <v>21</v>
      </c>
      <c r="D2149" s="4">
        <v>2028</v>
      </c>
      <c r="E2149" s="4">
        <v>0</v>
      </c>
      <c r="F2149" s="4" t="s">
        <v>29</v>
      </c>
    </row>
    <row r="2150" spans="1:6" x14ac:dyDescent="0.25">
      <c r="A2150" s="4" t="s">
        <v>85</v>
      </c>
      <c r="B2150" s="4" t="s">
        <v>2</v>
      </c>
      <c r="C2150" s="4" t="s">
        <v>21</v>
      </c>
      <c r="D2150" s="4">
        <v>2029</v>
      </c>
      <c r="E2150" s="4">
        <v>0</v>
      </c>
      <c r="F2150" s="4" t="s">
        <v>29</v>
      </c>
    </row>
    <row r="2151" spans="1:6" x14ac:dyDescent="0.25">
      <c r="A2151" s="4" t="s">
        <v>85</v>
      </c>
      <c r="B2151" s="4" t="s">
        <v>2</v>
      </c>
      <c r="C2151" s="4" t="s">
        <v>21</v>
      </c>
      <c r="D2151" s="4">
        <v>2030</v>
      </c>
      <c r="E2151" s="4">
        <v>0</v>
      </c>
      <c r="F2151" s="4" t="s">
        <v>29</v>
      </c>
    </row>
    <row r="2152" spans="1:6" x14ac:dyDescent="0.25">
      <c r="A2152" s="4" t="s">
        <v>85</v>
      </c>
      <c r="B2152" s="4" t="s">
        <v>2</v>
      </c>
      <c r="C2152" s="4" t="s">
        <v>21</v>
      </c>
      <c r="D2152" s="4">
        <v>2031</v>
      </c>
      <c r="E2152" s="4">
        <v>0</v>
      </c>
      <c r="F2152" s="4" t="s">
        <v>29</v>
      </c>
    </row>
    <row r="2153" spans="1:6" x14ac:dyDescent="0.25">
      <c r="A2153" s="4" t="s">
        <v>85</v>
      </c>
      <c r="B2153" s="4" t="s">
        <v>2</v>
      </c>
      <c r="C2153" s="4" t="s">
        <v>21</v>
      </c>
      <c r="D2153" s="4">
        <v>2032</v>
      </c>
      <c r="E2153" s="4">
        <v>0</v>
      </c>
      <c r="F2153" s="4" t="s">
        <v>29</v>
      </c>
    </row>
    <row r="2154" spans="1:6" x14ac:dyDescent="0.25">
      <c r="A2154" s="4" t="s">
        <v>85</v>
      </c>
      <c r="B2154" s="4" t="s">
        <v>2</v>
      </c>
      <c r="C2154" s="4" t="s">
        <v>21</v>
      </c>
      <c r="D2154" s="4">
        <v>2033</v>
      </c>
      <c r="E2154" s="4">
        <v>0</v>
      </c>
      <c r="F2154" s="4" t="s">
        <v>29</v>
      </c>
    </row>
    <row r="2155" spans="1:6" x14ac:dyDescent="0.25">
      <c r="A2155" s="4" t="s">
        <v>85</v>
      </c>
      <c r="B2155" s="4" t="s">
        <v>2</v>
      </c>
      <c r="C2155" s="4" t="s">
        <v>21</v>
      </c>
      <c r="D2155" s="4">
        <v>2034</v>
      </c>
      <c r="E2155" s="4">
        <v>0</v>
      </c>
      <c r="F2155" s="4" t="s">
        <v>29</v>
      </c>
    </row>
    <row r="2156" spans="1:6" x14ac:dyDescent="0.25">
      <c r="A2156" s="4" t="s">
        <v>85</v>
      </c>
      <c r="B2156" s="4" t="s">
        <v>2</v>
      </c>
      <c r="C2156" s="4" t="s">
        <v>21</v>
      </c>
      <c r="D2156" s="4">
        <v>2035</v>
      </c>
      <c r="E2156" s="4">
        <v>0</v>
      </c>
      <c r="F2156" s="4" t="s">
        <v>29</v>
      </c>
    </row>
    <row r="2157" spans="1:6" x14ac:dyDescent="0.25">
      <c r="A2157" s="4" t="s">
        <v>85</v>
      </c>
      <c r="B2157" s="4" t="s">
        <v>2</v>
      </c>
      <c r="C2157" s="4" t="s">
        <v>21</v>
      </c>
      <c r="D2157" s="4">
        <v>2036</v>
      </c>
      <c r="E2157" s="4">
        <v>0</v>
      </c>
      <c r="F2157" s="4" t="s">
        <v>29</v>
      </c>
    </row>
    <row r="2158" spans="1:6" x14ac:dyDescent="0.25">
      <c r="A2158" s="4" t="s">
        <v>85</v>
      </c>
      <c r="B2158" s="4" t="s">
        <v>2</v>
      </c>
      <c r="C2158" s="4" t="s">
        <v>21</v>
      </c>
      <c r="D2158" s="4">
        <v>2037</v>
      </c>
      <c r="E2158" s="4">
        <v>0</v>
      </c>
      <c r="F2158" s="4" t="s">
        <v>29</v>
      </c>
    </row>
    <row r="2159" spans="1:6" x14ac:dyDescent="0.25">
      <c r="A2159" s="4" t="s">
        <v>85</v>
      </c>
      <c r="B2159" s="4" t="s">
        <v>2</v>
      </c>
      <c r="C2159" s="4" t="s">
        <v>21</v>
      </c>
      <c r="D2159" s="4">
        <v>2038</v>
      </c>
      <c r="E2159" s="4">
        <v>0</v>
      </c>
      <c r="F2159" s="4" t="s">
        <v>29</v>
      </c>
    </row>
    <row r="2160" spans="1:6" x14ac:dyDescent="0.25">
      <c r="A2160" s="4" t="s">
        <v>85</v>
      </c>
      <c r="B2160" s="4" t="s">
        <v>2</v>
      </c>
      <c r="C2160" s="4" t="s">
        <v>21</v>
      </c>
      <c r="D2160" s="4">
        <v>2039</v>
      </c>
      <c r="E2160" s="4">
        <v>0</v>
      </c>
      <c r="F2160" s="4" t="s">
        <v>29</v>
      </c>
    </row>
    <row r="2161" spans="1:6" x14ac:dyDescent="0.25">
      <c r="A2161" s="4" t="s">
        <v>85</v>
      </c>
      <c r="B2161" s="4" t="s">
        <v>2</v>
      </c>
      <c r="C2161" s="4" t="s">
        <v>21</v>
      </c>
      <c r="D2161" s="4">
        <v>2040</v>
      </c>
      <c r="E2161" s="4">
        <v>0</v>
      </c>
      <c r="F2161" s="4" t="s">
        <v>29</v>
      </c>
    </row>
    <row r="2162" spans="1:6" x14ac:dyDescent="0.25">
      <c r="A2162" s="4" t="s">
        <v>85</v>
      </c>
      <c r="B2162" s="4" t="s">
        <v>3</v>
      </c>
      <c r="C2162" s="4" t="s">
        <v>21</v>
      </c>
      <c r="D2162" s="4">
        <v>2005</v>
      </c>
      <c r="E2162" s="4">
        <v>0</v>
      </c>
      <c r="F2162" s="4" t="s">
        <v>29</v>
      </c>
    </row>
    <row r="2163" spans="1:6" x14ac:dyDescent="0.25">
      <c r="A2163" s="4" t="s">
        <v>85</v>
      </c>
      <c r="B2163" s="4" t="s">
        <v>3</v>
      </c>
      <c r="C2163" s="4" t="s">
        <v>21</v>
      </c>
      <c r="D2163" s="4">
        <v>2006</v>
      </c>
      <c r="E2163" s="4">
        <v>0</v>
      </c>
      <c r="F2163" s="4" t="s">
        <v>29</v>
      </c>
    </row>
    <row r="2164" spans="1:6" x14ac:dyDescent="0.25">
      <c r="A2164" s="4" t="s">
        <v>85</v>
      </c>
      <c r="B2164" s="4" t="s">
        <v>3</v>
      </c>
      <c r="C2164" s="4" t="s">
        <v>21</v>
      </c>
      <c r="D2164" s="4">
        <v>2007</v>
      </c>
      <c r="E2164" s="4">
        <v>0</v>
      </c>
      <c r="F2164" s="4" t="s">
        <v>29</v>
      </c>
    </row>
    <row r="2165" spans="1:6" x14ac:dyDescent="0.25">
      <c r="A2165" s="4" t="s">
        <v>85</v>
      </c>
      <c r="B2165" s="4" t="s">
        <v>3</v>
      </c>
      <c r="C2165" s="4" t="s">
        <v>21</v>
      </c>
      <c r="D2165" s="4">
        <v>2008</v>
      </c>
      <c r="E2165" s="4">
        <v>0</v>
      </c>
      <c r="F2165" s="4" t="s">
        <v>29</v>
      </c>
    </row>
    <row r="2166" spans="1:6" x14ac:dyDescent="0.25">
      <c r="A2166" s="4" t="s">
        <v>85</v>
      </c>
      <c r="B2166" s="4" t="s">
        <v>3</v>
      </c>
      <c r="C2166" s="4" t="s">
        <v>21</v>
      </c>
      <c r="D2166" s="4">
        <v>2009</v>
      </c>
      <c r="E2166" s="4">
        <v>0</v>
      </c>
      <c r="F2166" s="4" t="s">
        <v>29</v>
      </c>
    </row>
    <row r="2167" spans="1:6" x14ac:dyDescent="0.25">
      <c r="A2167" s="4" t="s">
        <v>85</v>
      </c>
      <c r="B2167" s="4" t="s">
        <v>3</v>
      </c>
      <c r="C2167" s="4" t="s">
        <v>21</v>
      </c>
      <c r="D2167" s="4">
        <v>2010</v>
      </c>
      <c r="E2167" s="4">
        <v>0</v>
      </c>
      <c r="F2167" s="4" t="s">
        <v>29</v>
      </c>
    </row>
    <row r="2168" spans="1:6" x14ac:dyDescent="0.25">
      <c r="A2168" s="4" t="s">
        <v>85</v>
      </c>
      <c r="B2168" s="4" t="s">
        <v>3</v>
      </c>
      <c r="C2168" s="4" t="s">
        <v>21</v>
      </c>
      <c r="D2168" s="4">
        <v>2011</v>
      </c>
      <c r="E2168" s="4">
        <v>0</v>
      </c>
      <c r="F2168" s="4" t="s">
        <v>29</v>
      </c>
    </row>
    <row r="2169" spans="1:6" x14ac:dyDescent="0.25">
      <c r="A2169" s="4" t="s">
        <v>85</v>
      </c>
      <c r="B2169" s="4" t="s">
        <v>3</v>
      </c>
      <c r="C2169" s="4" t="s">
        <v>21</v>
      </c>
      <c r="D2169" s="4">
        <v>2012</v>
      </c>
      <c r="E2169" s="4">
        <v>0</v>
      </c>
      <c r="F2169" s="4" t="s">
        <v>29</v>
      </c>
    </row>
    <row r="2170" spans="1:6" x14ac:dyDescent="0.25">
      <c r="A2170" s="4" t="s">
        <v>85</v>
      </c>
      <c r="B2170" s="4" t="s">
        <v>3</v>
      </c>
      <c r="C2170" s="4" t="s">
        <v>21</v>
      </c>
      <c r="D2170" s="4">
        <v>2013</v>
      </c>
      <c r="E2170" s="4">
        <v>0</v>
      </c>
      <c r="F2170" s="4" t="s">
        <v>29</v>
      </c>
    </row>
    <row r="2171" spans="1:6" x14ac:dyDescent="0.25">
      <c r="A2171" s="4" t="s">
        <v>85</v>
      </c>
      <c r="B2171" s="4" t="s">
        <v>3</v>
      </c>
      <c r="C2171" s="4" t="s">
        <v>21</v>
      </c>
      <c r="D2171" s="4">
        <v>2014</v>
      </c>
      <c r="E2171" s="4">
        <v>0</v>
      </c>
      <c r="F2171" s="4" t="s">
        <v>29</v>
      </c>
    </row>
    <row r="2172" spans="1:6" x14ac:dyDescent="0.25">
      <c r="A2172" s="4" t="s">
        <v>85</v>
      </c>
      <c r="B2172" s="4" t="s">
        <v>3</v>
      </c>
      <c r="C2172" s="4" t="s">
        <v>21</v>
      </c>
      <c r="D2172" s="4">
        <v>2015</v>
      </c>
      <c r="E2172" s="4">
        <v>0</v>
      </c>
      <c r="F2172" s="4" t="s">
        <v>29</v>
      </c>
    </row>
    <row r="2173" spans="1:6" x14ac:dyDescent="0.25">
      <c r="A2173" s="4" t="s">
        <v>85</v>
      </c>
      <c r="B2173" s="4" t="s">
        <v>3</v>
      </c>
      <c r="C2173" s="4" t="s">
        <v>21</v>
      </c>
      <c r="D2173" s="4">
        <v>2016</v>
      </c>
      <c r="E2173" s="4">
        <v>0</v>
      </c>
      <c r="F2173" s="4" t="s">
        <v>29</v>
      </c>
    </row>
    <row r="2174" spans="1:6" x14ac:dyDescent="0.25">
      <c r="A2174" s="4" t="s">
        <v>85</v>
      </c>
      <c r="B2174" s="4" t="s">
        <v>3</v>
      </c>
      <c r="C2174" s="4" t="s">
        <v>21</v>
      </c>
      <c r="D2174" s="4">
        <v>2017</v>
      </c>
      <c r="E2174" s="4">
        <v>0</v>
      </c>
      <c r="F2174" s="4" t="s">
        <v>29</v>
      </c>
    </row>
    <row r="2175" spans="1:6" x14ac:dyDescent="0.25">
      <c r="A2175" s="4" t="s">
        <v>85</v>
      </c>
      <c r="B2175" s="4" t="s">
        <v>3</v>
      </c>
      <c r="C2175" s="4" t="s">
        <v>21</v>
      </c>
      <c r="D2175" s="4">
        <v>2018</v>
      </c>
      <c r="E2175" s="4">
        <v>0</v>
      </c>
      <c r="F2175" s="4" t="s">
        <v>29</v>
      </c>
    </row>
    <row r="2176" spans="1:6" x14ac:dyDescent="0.25">
      <c r="A2176" s="4" t="s">
        <v>85</v>
      </c>
      <c r="B2176" s="4" t="s">
        <v>3</v>
      </c>
      <c r="C2176" s="4" t="s">
        <v>21</v>
      </c>
      <c r="D2176" s="4">
        <v>2019</v>
      </c>
      <c r="E2176" s="4">
        <v>0</v>
      </c>
      <c r="F2176" s="4" t="s">
        <v>29</v>
      </c>
    </row>
    <row r="2177" spans="1:6" x14ac:dyDescent="0.25">
      <c r="A2177" s="4" t="s">
        <v>85</v>
      </c>
      <c r="B2177" s="4" t="s">
        <v>3</v>
      </c>
      <c r="C2177" s="4" t="s">
        <v>21</v>
      </c>
      <c r="D2177" s="4">
        <v>2020</v>
      </c>
      <c r="E2177" s="4">
        <v>0</v>
      </c>
      <c r="F2177" s="4" t="s">
        <v>29</v>
      </c>
    </row>
    <row r="2178" spans="1:6" x14ac:dyDescent="0.25">
      <c r="A2178" s="4" t="s">
        <v>85</v>
      </c>
      <c r="B2178" s="4" t="s">
        <v>3</v>
      </c>
      <c r="C2178" s="4" t="s">
        <v>21</v>
      </c>
      <c r="D2178" s="4">
        <v>2021</v>
      </c>
      <c r="E2178" s="4">
        <v>0</v>
      </c>
      <c r="F2178" s="4" t="s">
        <v>29</v>
      </c>
    </row>
    <row r="2179" spans="1:6" x14ac:dyDescent="0.25">
      <c r="A2179" s="4" t="s">
        <v>85</v>
      </c>
      <c r="B2179" s="4" t="s">
        <v>3</v>
      </c>
      <c r="C2179" s="4" t="s">
        <v>21</v>
      </c>
      <c r="D2179" s="4">
        <v>2022</v>
      </c>
      <c r="E2179" s="4">
        <v>0</v>
      </c>
      <c r="F2179" s="4" t="s">
        <v>29</v>
      </c>
    </row>
    <row r="2180" spans="1:6" x14ac:dyDescent="0.25">
      <c r="A2180" s="4" t="s">
        <v>85</v>
      </c>
      <c r="B2180" s="4" t="s">
        <v>3</v>
      </c>
      <c r="C2180" s="4" t="s">
        <v>21</v>
      </c>
      <c r="D2180" s="4">
        <v>2023</v>
      </c>
      <c r="E2180" s="4">
        <v>0</v>
      </c>
      <c r="F2180" s="4" t="s">
        <v>29</v>
      </c>
    </row>
    <row r="2181" spans="1:6" x14ac:dyDescent="0.25">
      <c r="A2181" s="4" t="s">
        <v>85</v>
      </c>
      <c r="B2181" s="4" t="s">
        <v>3</v>
      </c>
      <c r="C2181" s="4" t="s">
        <v>21</v>
      </c>
      <c r="D2181" s="4">
        <v>2024</v>
      </c>
      <c r="E2181" s="4">
        <v>0</v>
      </c>
      <c r="F2181" s="4" t="s">
        <v>29</v>
      </c>
    </row>
    <row r="2182" spans="1:6" x14ac:dyDescent="0.25">
      <c r="A2182" s="4" t="s">
        <v>85</v>
      </c>
      <c r="B2182" s="4" t="s">
        <v>3</v>
      </c>
      <c r="C2182" s="4" t="s">
        <v>21</v>
      </c>
      <c r="D2182" s="4">
        <v>2025</v>
      </c>
      <c r="E2182" s="4">
        <v>0</v>
      </c>
      <c r="F2182" s="4" t="s">
        <v>29</v>
      </c>
    </row>
    <row r="2183" spans="1:6" x14ac:dyDescent="0.25">
      <c r="A2183" s="4" t="s">
        <v>85</v>
      </c>
      <c r="B2183" s="4" t="s">
        <v>3</v>
      </c>
      <c r="C2183" s="4" t="s">
        <v>21</v>
      </c>
      <c r="D2183" s="4">
        <v>2026</v>
      </c>
      <c r="E2183" s="4">
        <v>0</v>
      </c>
      <c r="F2183" s="4" t="s">
        <v>29</v>
      </c>
    </row>
    <row r="2184" spans="1:6" x14ac:dyDescent="0.25">
      <c r="A2184" s="4" t="s">
        <v>85</v>
      </c>
      <c r="B2184" s="4" t="s">
        <v>3</v>
      </c>
      <c r="C2184" s="4" t="s">
        <v>21</v>
      </c>
      <c r="D2184" s="4">
        <v>2027</v>
      </c>
      <c r="E2184" s="4">
        <v>0</v>
      </c>
      <c r="F2184" s="4" t="s">
        <v>29</v>
      </c>
    </row>
    <row r="2185" spans="1:6" x14ac:dyDescent="0.25">
      <c r="A2185" s="4" t="s">
        <v>85</v>
      </c>
      <c r="B2185" s="4" t="s">
        <v>3</v>
      </c>
      <c r="C2185" s="4" t="s">
        <v>21</v>
      </c>
      <c r="D2185" s="4">
        <v>2028</v>
      </c>
      <c r="E2185" s="4">
        <v>0</v>
      </c>
      <c r="F2185" s="4" t="s">
        <v>29</v>
      </c>
    </row>
    <row r="2186" spans="1:6" x14ac:dyDescent="0.25">
      <c r="A2186" s="4" t="s">
        <v>85</v>
      </c>
      <c r="B2186" s="4" t="s">
        <v>3</v>
      </c>
      <c r="C2186" s="4" t="s">
        <v>21</v>
      </c>
      <c r="D2186" s="4">
        <v>2029</v>
      </c>
      <c r="E2186" s="4">
        <v>0</v>
      </c>
      <c r="F2186" s="4" t="s">
        <v>29</v>
      </c>
    </row>
    <row r="2187" spans="1:6" x14ac:dyDescent="0.25">
      <c r="A2187" s="4" t="s">
        <v>85</v>
      </c>
      <c r="B2187" s="4" t="s">
        <v>3</v>
      </c>
      <c r="C2187" s="4" t="s">
        <v>21</v>
      </c>
      <c r="D2187" s="4">
        <v>2030</v>
      </c>
      <c r="E2187" s="4">
        <v>0</v>
      </c>
      <c r="F2187" s="4" t="s">
        <v>29</v>
      </c>
    </row>
    <row r="2188" spans="1:6" x14ac:dyDescent="0.25">
      <c r="A2188" s="4" t="s">
        <v>85</v>
      </c>
      <c r="B2188" s="4" t="s">
        <v>3</v>
      </c>
      <c r="C2188" s="4" t="s">
        <v>21</v>
      </c>
      <c r="D2188" s="4">
        <v>2031</v>
      </c>
      <c r="E2188" s="4">
        <v>0</v>
      </c>
      <c r="F2188" s="4" t="s">
        <v>29</v>
      </c>
    </row>
    <row r="2189" spans="1:6" x14ac:dyDescent="0.25">
      <c r="A2189" s="4" t="s">
        <v>85</v>
      </c>
      <c r="B2189" s="4" t="s">
        <v>3</v>
      </c>
      <c r="C2189" s="4" t="s">
        <v>21</v>
      </c>
      <c r="D2189" s="4">
        <v>2032</v>
      </c>
      <c r="E2189" s="4">
        <v>0</v>
      </c>
      <c r="F2189" s="4" t="s">
        <v>29</v>
      </c>
    </row>
    <row r="2190" spans="1:6" x14ac:dyDescent="0.25">
      <c r="A2190" s="4" t="s">
        <v>85</v>
      </c>
      <c r="B2190" s="4" t="s">
        <v>3</v>
      </c>
      <c r="C2190" s="4" t="s">
        <v>21</v>
      </c>
      <c r="D2190" s="4">
        <v>2033</v>
      </c>
      <c r="E2190" s="4">
        <v>0</v>
      </c>
      <c r="F2190" s="4" t="s">
        <v>29</v>
      </c>
    </row>
    <row r="2191" spans="1:6" x14ac:dyDescent="0.25">
      <c r="A2191" s="4" t="s">
        <v>85</v>
      </c>
      <c r="B2191" s="4" t="s">
        <v>3</v>
      </c>
      <c r="C2191" s="4" t="s">
        <v>21</v>
      </c>
      <c r="D2191" s="4">
        <v>2034</v>
      </c>
      <c r="E2191" s="4">
        <v>0</v>
      </c>
      <c r="F2191" s="4" t="s">
        <v>29</v>
      </c>
    </row>
    <row r="2192" spans="1:6" x14ac:dyDescent="0.25">
      <c r="A2192" s="4" t="s">
        <v>85</v>
      </c>
      <c r="B2192" s="4" t="s">
        <v>3</v>
      </c>
      <c r="C2192" s="4" t="s">
        <v>21</v>
      </c>
      <c r="D2192" s="4">
        <v>2035</v>
      </c>
      <c r="E2192" s="4">
        <v>0</v>
      </c>
      <c r="F2192" s="4" t="s">
        <v>29</v>
      </c>
    </row>
    <row r="2193" spans="1:6" x14ac:dyDescent="0.25">
      <c r="A2193" s="4" t="s">
        <v>85</v>
      </c>
      <c r="B2193" s="4" t="s">
        <v>3</v>
      </c>
      <c r="C2193" s="4" t="s">
        <v>21</v>
      </c>
      <c r="D2193" s="4">
        <v>2036</v>
      </c>
      <c r="E2193" s="4">
        <v>0</v>
      </c>
      <c r="F2193" s="4" t="s">
        <v>29</v>
      </c>
    </row>
    <row r="2194" spans="1:6" x14ac:dyDescent="0.25">
      <c r="A2194" s="4" t="s">
        <v>85</v>
      </c>
      <c r="B2194" s="4" t="s">
        <v>3</v>
      </c>
      <c r="C2194" s="4" t="s">
        <v>21</v>
      </c>
      <c r="D2194" s="4">
        <v>2037</v>
      </c>
      <c r="E2194" s="4">
        <v>0</v>
      </c>
      <c r="F2194" s="4" t="s">
        <v>29</v>
      </c>
    </row>
    <row r="2195" spans="1:6" x14ac:dyDescent="0.25">
      <c r="A2195" s="4" t="s">
        <v>85</v>
      </c>
      <c r="B2195" s="4" t="s">
        <v>3</v>
      </c>
      <c r="C2195" s="4" t="s">
        <v>21</v>
      </c>
      <c r="D2195" s="4">
        <v>2038</v>
      </c>
      <c r="E2195" s="4">
        <v>0</v>
      </c>
      <c r="F2195" s="4" t="s">
        <v>29</v>
      </c>
    </row>
    <row r="2196" spans="1:6" x14ac:dyDescent="0.25">
      <c r="A2196" s="4" t="s">
        <v>85</v>
      </c>
      <c r="B2196" s="4" t="s">
        <v>3</v>
      </c>
      <c r="C2196" s="4" t="s">
        <v>21</v>
      </c>
      <c r="D2196" s="4">
        <v>2039</v>
      </c>
      <c r="E2196" s="4">
        <v>0</v>
      </c>
      <c r="F2196" s="4" t="s">
        <v>29</v>
      </c>
    </row>
    <row r="2197" spans="1:6" x14ac:dyDescent="0.25">
      <c r="A2197" s="4" t="s">
        <v>85</v>
      </c>
      <c r="B2197" s="4" t="s">
        <v>3</v>
      </c>
      <c r="C2197" s="4" t="s">
        <v>21</v>
      </c>
      <c r="D2197" s="4">
        <v>2040</v>
      </c>
      <c r="E2197" s="4">
        <v>0</v>
      </c>
      <c r="F2197" s="4" t="s">
        <v>29</v>
      </c>
    </row>
    <row r="2198" spans="1:6" x14ac:dyDescent="0.25">
      <c r="A2198" s="4" t="s">
        <v>85</v>
      </c>
      <c r="B2198" s="4" t="s">
        <v>4</v>
      </c>
      <c r="C2198" s="4" t="s">
        <v>21</v>
      </c>
      <c r="D2198" s="4">
        <v>2005</v>
      </c>
      <c r="E2198" s="4">
        <v>0</v>
      </c>
      <c r="F2198" s="4" t="s">
        <v>29</v>
      </c>
    </row>
    <row r="2199" spans="1:6" x14ac:dyDescent="0.25">
      <c r="A2199" s="4" t="s">
        <v>85</v>
      </c>
      <c r="B2199" s="4" t="s">
        <v>4</v>
      </c>
      <c r="C2199" s="4" t="s">
        <v>21</v>
      </c>
      <c r="D2199" s="4">
        <v>2006</v>
      </c>
      <c r="E2199" s="4">
        <v>0</v>
      </c>
      <c r="F2199" s="4" t="s">
        <v>29</v>
      </c>
    </row>
    <row r="2200" spans="1:6" x14ac:dyDescent="0.25">
      <c r="A2200" s="4" t="s">
        <v>85</v>
      </c>
      <c r="B2200" s="4" t="s">
        <v>4</v>
      </c>
      <c r="C2200" s="4" t="s">
        <v>21</v>
      </c>
      <c r="D2200" s="4">
        <v>2007</v>
      </c>
      <c r="E2200" s="4">
        <v>0</v>
      </c>
      <c r="F2200" s="4" t="s">
        <v>29</v>
      </c>
    </row>
    <row r="2201" spans="1:6" x14ac:dyDescent="0.25">
      <c r="A2201" s="4" t="s">
        <v>85</v>
      </c>
      <c r="B2201" s="4" t="s">
        <v>4</v>
      </c>
      <c r="C2201" s="4" t="s">
        <v>21</v>
      </c>
      <c r="D2201" s="4">
        <v>2008</v>
      </c>
      <c r="E2201" s="4">
        <v>0</v>
      </c>
      <c r="F2201" s="4" t="s">
        <v>29</v>
      </c>
    </row>
    <row r="2202" spans="1:6" x14ac:dyDescent="0.25">
      <c r="A2202" s="4" t="s">
        <v>85</v>
      </c>
      <c r="B2202" s="4" t="s">
        <v>4</v>
      </c>
      <c r="C2202" s="4" t="s">
        <v>21</v>
      </c>
      <c r="D2202" s="4">
        <v>2009</v>
      </c>
      <c r="E2202" s="4">
        <v>0</v>
      </c>
      <c r="F2202" s="4" t="s">
        <v>29</v>
      </c>
    </row>
    <row r="2203" spans="1:6" x14ac:dyDescent="0.25">
      <c r="A2203" s="4" t="s">
        <v>85</v>
      </c>
      <c r="B2203" s="4" t="s">
        <v>4</v>
      </c>
      <c r="C2203" s="4" t="s">
        <v>21</v>
      </c>
      <c r="D2203" s="4">
        <v>2010</v>
      </c>
      <c r="E2203" s="4">
        <v>0</v>
      </c>
      <c r="F2203" s="4" t="s">
        <v>29</v>
      </c>
    </row>
    <row r="2204" spans="1:6" x14ac:dyDescent="0.25">
      <c r="A2204" s="4" t="s">
        <v>85</v>
      </c>
      <c r="B2204" s="4" t="s">
        <v>4</v>
      </c>
      <c r="C2204" s="4" t="s">
        <v>21</v>
      </c>
      <c r="D2204" s="4">
        <v>2011</v>
      </c>
      <c r="E2204" s="4">
        <v>0</v>
      </c>
      <c r="F2204" s="4" t="s">
        <v>29</v>
      </c>
    </row>
    <row r="2205" spans="1:6" x14ac:dyDescent="0.25">
      <c r="A2205" s="4" t="s">
        <v>85</v>
      </c>
      <c r="B2205" s="4" t="s">
        <v>4</v>
      </c>
      <c r="C2205" s="4" t="s">
        <v>21</v>
      </c>
      <c r="D2205" s="4">
        <v>2012</v>
      </c>
      <c r="E2205" s="4">
        <v>0</v>
      </c>
      <c r="F2205" s="4" t="s">
        <v>29</v>
      </c>
    </row>
    <row r="2206" spans="1:6" x14ac:dyDescent="0.25">
      <c r="A2206" s="4" t="s">
        <v>85</v>
      </c>
      <c r="B2206" s="4" t="s">
        <v>4</v>
      </c>
      <c r="C2206" s="4" t="s">
        <v>21</v>
      </c>
      <c r="D2206" s="4">
        <v>2013</v>
      </c>
      <c r="E2206" s="4">
        <v>0</v>
      </c>
      <c r="F2206" s="4" t="s">
        <v>29</v>
      </c>
    </row>
    <row r="2207" spans="1:6" x14ac:dyDescent="0.25">
      <c r="A2207" s="4" t="s">
        <v>85</v>
      </c>
      <c r="B2207" s="4" t="s">
        <v>4</v>
      </c>
      <c r="C2207" s="4" t="s">
        <v>21</v>
      </c>
      <c r="D2207" s="4">
        <v>2014</v>
      </c>
      <c r="E2207" s="4">
        <v>0</v>
      </c>
      <c r="F2207" s="4" t="s">
        <v>29</v>
      </c>
    </row>
    <row r="2208" spans="1:6" x14ac:dyDescent="0.25">
      <c r="A2208" s="4" t="s">
        <v>85</v>
      </c>
      <c r="B2208" s="4" t="s">
        <v>4</v>
      </c>
      <c r="C2208" s="4" t="s">
        <v>21</v>
      </c>
      <c r="D2208" s="4">
        <v>2015</v>
      </c>
      <c r="E2208" s="4">
        <v>0</v>
      </c>
      <c r="F2208" s="4" t="s">
        <v>29</v>
      </c>
    </row>
    <row r="2209" spans="1:6" x14ac:dyDescent="0.25">
      <c r="A2209" s="4" t="s">
        <v>85</v>
      </c>
      <c r="B2209" s="4" t="s">
        <v>4</v>
      </c>
      <c r="C2209" s="4" t="s">
        <v>21</v>
      </c>
      <c r="D2209" s="4">
        <v>2016</v>
      </c>
      <c r="E2209" s="4">
        <v>0</v>
      </c>
      <c r="F2209" s="4" t="s">
        <v>29</v>
      </c>
    </row>
    <row r="2210" spans="1:6" x14ac:dyDescent="0.25">
      <c r="A2210" s="4" t="s">
        <v>85</v>
      </c>
      <c r="B2210" s="4" t="s">
        <v>4</v>
      </c>
      <c r="C2210" s="4" t="s">
        <v>21</v>
      </c>
      <c r="D2210" s="4">
        <v>2017</v>
      </c>
      <c r="E2210" s="4">
        <v>0</v>
      </c>
      <c r="F2210" s="4" t="s">
        <v>29</v>
      </c>
    </row>
    <row r="2211" spans="1:6" x14ac:dyDescent="0.25">
      <c r="A2211" s="4" t="s">
        <v>85</v>
      </c>
      <c r="B2211" s="4" t="s">
        <v>4</v>
      </c>
      <c r="C2211" s="4" t="s">
        <v>21</v>
      </c>
      <c r="D2211" s="4">
        <v>2018</v>
      </c>
      <c r="E2211" s="4">
        <v>0</v>
      </c>
      <c r="F2211" s="4" t="s">
        <v>29</v>
      </c>
    </row>
    <row r="2212" spans="1:6" x14ac:dyDescent="0.25">
      <c r="A2212" s="4" t="s">
        <v>85</v>
      </c>
      <c r="B2212" s="4" t="s">
        <v>4</v>
      </c>
      <c r="C2212" s="4" t="s">
        <v>21</v>
      </c>
      <c r="D2212" s="4">
        <v>2019</v>
      </c>
      <c r="E2212" s="4">
        <v>0</v>
      </c>
      <c r="F2212" s="4" t="s">
        <v>29</v>
      </c>
    </row>
    <row r="2213" spans="1:6" x14ac:dyDescent="0.25">
      <c r="A2213" s="4" t="s">
        <v>85</v>
      </c>
      <c r="B2213" s="4" t="s">
        <v>4</v>
      </c>
      <c r="C2213" s="4" t="s">
        <v>21</v>
      </c>
      <c r="D2213" s="4">
        <v>2020</v>
      </c>
      <c r="E2213" s="4">
        <v>0</v>
      </c>
      <c r="F2213" s="4" t="s">
        <v>29</v>
      </c>
    </row>
    <row r="2214" spans="1:6" x14ac:dyDescent="0.25">
      <c r="A2214" s="4" t="s">
        <v>85</v>
      </c>
      <c r="B2214" s="4" t="s">
        <v>4</v>
      </c>
      <c r="C2214" s="4" t="s">
        <v>21</v>
      </c>
      <c r="D2214" s="4">
        <v>2021</v>
      </c>
      <c r="E2214" s="4">
        <v>0</v>
      </c>
      <c r="F2214" s="4" t="s">
        <v>29</v>
      </c>
    </row>
    <row r="2215" spans="1:6" x14ac:dyDescent="0.25">
      <c r="A2215" s="4" t="s">
        <v>85</v>
      </c>
      <c r="B2215" s="4" t="s">
        <v>4</v>
      </c>
      <c r="C2215" s="4" t="s">
        <v>21</v>
      </c>
      <c r="D2215" s="4">
        <v>2022</v>
      </c>
      <c r="E2215" s="4">
        <v>0</v>
      </c>
      <c r="F2215" s="4" t="s">
        <v>29</v>
      </c>
    </row>
    <row r="2216" spans="1:6" x14ac:dyDescent="0.25">
      <c r="A2216" s="4" t="s">
        <v>85</v>
      </c>
      <c r="B2216" s="4" t="s">
        <v>4</v>
      </c>
      <c r="C2216" s="4" t="s">
        <v>21</v>
      </c>
      <c r="D2216" s="4">
        <v>2023</v>
      </c>
      <c r="E2216" s="4">
        <v>0</v>
      </c>
      <c r="F2216" s="4" t="s">
        <v>29</v>
      </c>
    </row>
    <row r="2217" spans="1:6" x14ac:dyDescent="0.25">
      <c r="A2217" s="4" t="s">
        <v>85</v>
      </c>
      <c r="B2217" s="4" t="s">
        <v>4</v>
      </c>
      <c r="C2217" s="4" t="s">
        <v>21</v>
      </c>
      <c r="D2217" s="4">
        <v>2024</v>
      </c>
      <c r="E2217" s="4">
        <v>0</v>
      </c>
      <c r="F2217" s="4" t="s">
        <v>29</v>
      </c>
    </row>
    <row r="2218" spans="1:6" x14ac:dyDescent="0.25">
      <c r="A2218" s="4" t="s">
        <v>85</v>
      </c>
      <c r="B2218" s="4" t="s">
        <v>4</v>
      </c>
      <c r="C2218" s="4" t="s">
        <v>21</v>
      </c>
      <c r="D2218" s="4">
        <v>2025</v>
      </c>
      <c r="E2218" s="4">
        <v>0</v>
      </c>
      <c r="F2218" s="4" t="s">
        <v>29</v>
      </c>
    </row>
    <row r="2219" spans="1:6" x14ac:dyDescent="0.25">
      <c r="A2219" s="4" t="s">
        <v>85</v>
      </c>
      <c r="B2219" s="4" t="s">
        <v>4</v>
      </c>
      <c r="C2219" s="4" t="s">
        <v>21</v>
      </c>
      <c r="D2219" s="4">
        <v>2026</v>
      </c>
      <c r="E2219" s="4">
        <v>0</v>
      </c>
      <c r="F2219" s="4" t="s">
        <v>29</v>
      </c>
    </row>
    <row r="2220" spans="1:6" x14ac:dyDescent="0.25">
      <c r="A2220" s="4" t="s">
        <v>85</v>
      </c>
      <c r="B2220" s="4" t="s">
        <v>4</v>
      </c>
      <c r="C2220" s="4" t="s">
        <v>21</v>
      </c>
      <c r="D2220" s="4">
        <v>2027</v>
      </c>
      <c r="E2220" s="4">
        <v>0</v>
      </c>
      <c r="F2220" s="4" t="s">
        <v>29</v>
      </c>
    </row>
    <row r="2221" spans="1:6" x14ac:dyDescent="0.25">
      <c r="A2221" s="4" t="s">
        <v>85</v>
      </c>
      <c r="B2221" s="4" t="s">
        <v>4</v>
      </c>
      <c r="C2221" s="4" t="s">
        <v>21</v>
      </c>
      <c r="D2221" s="4">
        <v>2028</v>
      </c>
      <c r="E2221" s="4">
        <v>0</v>
      </c>
      <c r="F2221" s="4" t="s">
        <v>29</v>
      </c>
    </row>
    <row r="2222" spans="1:6" x14ac:dyDescent="0.25">
      <c r="A2222" s="4" t="s">
        <v>85</v>
      </c>
      <c r="B2222" s="4" t="s">
        <v>4</v>
      </c>
      <c r="C2222" s="4" t="s">
        <v>21</v>
      </c>
      <c r="D2222" s="4">
        <v>2029</v>
      </c>
      <c r="E2222" s="4">
        <v>0</v>
      </c>
      <c r="F2222" s="4" t="s">
        <v>29</v>
      </c>
    </row>
    <row r="2223" spans="1:6" x14ac:dyDescent="0.25">
      <c r="A2223" s="4" t="s">
        <v>85</v>
      </c>
      <c r="B2223" s="4" t="s">
        <v>4</v>
      </c>
      <c r="C2223" s="4" t="s">
        <v>21</v>
      </c>
      <c r="D2223" s="4">
        <v>2030</v>
      </c>
      <c r="E2223" s="4">
        <v>0</v>
      </c>
      <c r="F2223" s="4" t="s">
        <v>29</v>
      </c>
    </row>
    <row r="2224" spans="1:6" x14ac:dyDescent="0.25">
      <c r="A2224" s="4" t="s">
        <v>85</v>
      </c>
      <c r="B2224" s="4" t="s">
        <v>4</v>
      </c>
      <c r="C2224" s="4" t="s">
        <v>21</v>
      </c>
      <c r="D2224" s="4">
        <v>2031</v>
      </c>
      <c r="E2224" s="4">
        <v>0</v>
      </c>
      <c r="F2224" s="4" t="s">
        <v>29</v>
      </c>
    </row>
    <row r="2225" spans="1:6" x14ac:dyDescent="0.25">
      <c r="A2225" s="4" t="s">
        <v>85</v>
      </c>
      <c r="B2225" s="4" t="s">
        <v>4</v>
      </c>
      <c r="C2225" s="4" t="s">
        <v>21</v>
      </c>
      <c r="D2225" s="4">
        <v>2032</v>
      </c>
      <c r="E2225" s="4">
        <v>0</v>
      </c>
      <c r="F2225" s="4" t="s">
        <v>29</v>
      </c>
    </row>
    <row r="2226" spans="1:6" x14ac:dyDescent="0.25">
      <c r="A2226" s="4" t="s">
        <v>85</v>
      </c>
      <c r="B2226" s="4" t="s">
        <v>4</v>
      </c>
      <c r="C2226" s="4" t="s">
        <v>21</v>
      </c>
      <c r="D2226" s="4">
        <v>2033</v>
      </c>
      <c r="E2226" s="4">
        <v>0</v>
      </c>
      <c r="F2226" s="4" t="s">
        <v>29</v>
      </c>
    </row>
    <row r="2227" spans="1:6" x14ac:dyDescent="0.25">
      <c r="A2227" s="4" t="s">
        <v>85</v>
      </c>
      <c r="B2227" s="4" t="s">
        <v>4</v>
      </c>
      <c r="C2227" s="4" t="s">
        <v>21</v>
      </c>
      <c r="D2227" s="4">
        <v>2034</v>
      </c>
      <c r="E2227" s="4">
        <v>0</v>
      </c>
      <c r="F2227" s="4" t="s">
        <v>29</v>
      </c>
    </row>
    <row r="2228" spans="1:6" x14ac:dyDescent="0.25">
      <c r="A2228" s="4" t="s">
        <v>85</v>
      </c>
      <c r="B2228" s="4" t="s">
        <v>4</v>
      </c>
      <c r="C2228" s="4" t="s">
        <v>21</v>
      </c>
      <c r="D2228" s="4">
        <v>2035</v>
      </c>
      <c r="E2228" s="4">
        <v>0</v>
      </c>
      <c r="F2228" s="4" t="s">
        <v>29</v>
      </c>
    </row>
    <row r="2229" spans="1:6" x14ac:dyDescent="0.25">
      <c r="A2229" s="4" t="s">
        <v>85</v>
      </c>
      <c r="B2229" s="4" t="s">
        <v>4</v>
      </c>
      <c r="C2229" s="4" t="s">
        <v>21</v>
      </c>
      <c r="D2229" s="4">
        <v>2036</v>
      </c>
      <c r="E2229" s="4">
        <v>0</v>
      </c>
      <c r="F2229" s="4" t="s">
        <v>29</v>
      </c>
    </row>
    <row r="2230" spans="1:6" x14ac:dyDescent="0.25">
      <c r="A2230" s="4" t="s">
        <v>85</v>
      </c>
      <c r="B2230" s="4" t="s">
        <v>4</v>
      </c>
      <c r="C2230" s="4" t="s">
        <v>21</v>
      </c>
      <c r="D2230" s="4">
        <v>2037</v>
      </c>
      <c r="E2230" s="4">
        <v>0</v>
      </c>
      <c r="F2230" s="4" t="s">
        <v>29</v>
      </c>
    </row>
    <row r="2231" spans="1:6" x14ac:dyDescent="0.25">
      <c r="A2231" s="4" t="s">
        <v>85</v>
      </c>
      <c r="B2231" s="4" t="s">
        <v>4</v>
      </c>
      <c r="C2231" s="4" t="s">
        <v>21</v>
      </c>
      <c r="D2231" s="4">
        <v>2038</v>
      </c>
      <c r="E2231" s="4">
        <v>0</v>
      </c>
      <c r="F2231" s="4" t="s">
        <v>29</v>
      </c>
    </row>
    <row r="2232" spans="1:6" x14ac:dyDescent="0.25">
      <c r="A2232" s="4" t="s">
        <v>85</v>
      </c>
      <c r="B2232" s="4" t="s">
        <v>4</v>
      </c>
      <c r="C2232" s="4" t="s">
        <v>21</v>
      </c>
      <c r="D2232" s="4">
        <v>2039</v>
      </c>
      <c r="E2232" s="4">
        <v>0</v>
      </c>
      <c r="F2232" s="4" t="s">
        <v>29</v>
      </c>
    </row>
    <row r="2233" spans="1:6" x14ac:dyDescent="0.25">
      <c r="A2233" s="4" t="s">
        <v>85</v>
      </c>
      <c r="B2233" s="4" t="s">
        <v>4</v>
      </c>
      <c r="C2233" s="4" t="s">
        <v>21</v>
      </c>
      <c r="D2233" s="4">
        <v>2040</v>
      </c>
      <c r="E2233" s="4">
        <v>0</v>
      </c>
      <c r="F2233" s="4" t="s">
        <v>29</v>
      </c>
    </row>
    <row r="2234" spans="1:6" x14ac:dyDescent="0.25">
      <c r="A2234" s="4" t="s">
        <v>85</v>
      </c>
      <c r="B2234" s="4" t="s">
        <v>5</v>
      </c>
      <c r="C2234" s="4" t="s">
        <v>21</v>
      </c>
      <c r="D2234" s="4">
        <v>2005</v>
      </c>
      <c r="E2234" s="4">
        <v>0</v>
      </c>
      <c r="F2234" s="4" t="s">
        <v>29</v>
      </c>
    </row>
    <row r="2235" spans="1:6" x14ac:dyDescent="0.25">
      <c r="A2235" s="4" t="s">
        <v>85</v>
      </c>
      <c r="B2235" s="4" t="s">
        <v>5</v>
      </c>
      <c r="C2235" s="4" t="s">
        <v>21</v>
      </c>
      <c r="D2235" s="4">
        <v>2006</v>
      </c>
      <c r="E2235" s="4">
        <v>0</v>
      </c>
      <c r="F2235" s="4" t="s">
        <v>29</v>
      </c>
    </row>
    <row r="2236" spans="1:6" x14ac:dyDescent="0.25">
      <c r="A2236" s="4" t="s">
        <v>85</v>
      </c>
      <c r="B2236" s="4" t="s">
        <v>5</v>
      </c>
      <c r="C2236" s="4" t="s">
        <v>21</v>
      </c>
      <c r="D2236" s="4">
        <v>2007</v>
      </c>
      <c r="E2236" s="4">
        <v>0</v>
      </c>
      <c r="F2236" s="4" t="s">
        <v>29</v>
      </c>
    </row>
    <row r="2237" spans="1:6" x14ac:dyDescent="0.25">
      <c r="A2237" s="4" t="s">
        <v>85</v>
      </c>
      <c r="B2237" s="4" t="s">
        <v>5</v>
      </c>
      <c r="C2237" s="4" t="s">
        <v>21</v>
      </c>
      <c r="D2237" s="4">
        <v>2008</v>
      </c>
      <c r="E2237" s="4">
        <v>0</v>
      </c>
      <c r="F2237" s="4" t="s">
        <v>29</v>
      </c>
    </row>
    <row r="2238" spans="1:6" x14ac:dyDescent="0.25">
      <c r="A2238" s="4" t="s">
        <v>85</v>
      </c>
      <c r="B2238" s="4" t="s">
        <v>5</v>
      </c>
      <c r="C2238" s="4" t="s">
        <v>21</v>
      </c>
      <c r="D2238" s="4">
        <v>2009</v>
      </c>
      <c r="E2238" s="4">
        <v>0</v>
      </c>
      <c r="F2238" s="4" t="s">
        <v>29</v>
      </c>
    </row>
    <row r="2239" spans="1:6" x14ac:dyDescent="0.25">
      <c r="A2239" s="4" t="s">
        <v>85</v>
      </c>
      <c r="B2239" s="4" t="s">
        <v>5</v>
      </c>
      <c r="C2239" s="4" t="s">
        <v>21</v>
      </c>
      <c r="D2239" s="4">
        <v>2010</v>
      </c>
      <c r="E2239" s="4">
        <v>0</v>
      </c>
      <c r="F2239" s="4" t="s">
        <v>29</v>
      </c>
    </row>
    <row r="2240" spans="1:6" x14ac:dyDescent="0.25">
      <c r="A2240" s="4" t="s">
        <v>85</v>
      </c>
      <c r="B2240" s="4" t="s">
        <v>5</v>
      </c>
      <c r="C2240" s="4" t="s">
        <v>21</v>
      </c>
      <c r="D2240" s="4">
        <v>2011</v>
      </c>
      <c r="E2240" s="4">
        <v>0</v>
      </c>
      <c r="F2240" s="4" t="s">
        <v>29</v>
      </c>
    </row>
    <row r="2241" spans="1:6" x14ac:dyDescent="0.25">
      <c r="A2241" s="4" t="s">
        <v>85</v>
      </c>
      <c r="B2241" s="4" t="s">
        <v>5</v>
      </c>
      <c r="C2241" s="4" t="s">
        <v>21</v>
      </c>
      <c r="D2241" s="4">
        <v>2012</v>
      </c>
      <c r="E2241" s="4">
        <v>0</v>
      </c>
      <c r="F2241" s="4" t="s">
        <v>29</v>
      </c>
    </row>
    <row r="2242" spans="1:6" x14ac:dyDescent="0.25">
      <c r="A2242" s="4" t="s">
        <v>85</v>
      </c>
      <c r="B2242" s="4" t="s">
        <v>5</v>
      </c>
      <c r="C2242" s="4" t="s">
        <v>21</v>
      </c>
      <c r="D2242" s="4">
        <v>2013</v>
      </c>
      <c r="E2242" s="4">
        <v>0</v>
      </c>
      <c r="F2242" s="4" t="s">
        <v>29</v>
      </c>
    </row>
    <row r="2243" spans="1:6" x14ac:dyDescent="0.25">
      <c r="A2243" s="4" t="s">
        <v>85</v>
      </c>
      <c r="B2243" s="4" t="s">
        <v>5</v>
      </c>
      <c r="C2243" s="4" t="s">
        <v>21</v>
      </c>
      <c r="D2243" s="4">
        <v>2014</v>
      </c>
      <c r="E2243" s="4">
        <v>0</v>
      </c>
      <c r="F2243" s="4" t="s">
        <v>29</v>
      </c>
    </row>
    <row r="2244" spans="1:6" x14ac:dyDescent="0.25">
      <c r="A2244" s="4" t="s">
        <v>85</v>
      </c>
      <c r="B2244" s="4" t="s">
        <v>5</v>
      </c>
      <c r="C2244" s="4" t="s">
        <v>21</v>
      </c>
      <c r="D2244" s="4">
        <v>2015</v>
      </c>
      <c r="E2244" s="4">
        <v>0</v>
      </c>
      <c r="F2244" s="4" t="s">
        <v>29</v>
      </c>
    </row>
    <row r="2245" spans="1:6" x14ac:dyDescent="0.25">
      <c r="A2245" s="4" t="s">
        <v>85</v>
      </c>
      <c r="B2245" s="4" t="s">
        <v>5</v>
      </c>
      <c r="C2245" s="4" t="s">
        <v>21</v>
      </c>
      <c r="D2245" s="4">
        <v>2016</v>
      </c>
      <c r="E2245" s="4">
        <v>0</v>
      </c>
      <c r="F2245" s="4" t="s">
        <v>29</v>
      </c>
    </row>
    <row r="2246" spans="1:6" x14ac:dyDescent="0.25">
      <c r="A2246" s="4" t="s">
        <v>85</v>
      </c>
      <c r="B2246" s="4" t="s">
        <v>5</v>
      </c>
      <c r="C2246" s="4" t="s">
        <v>21</v>
      </c>
      <c r="D2246" s="4">
        <v>2017</v>
      </c>
      <c r="E2246" s="4">
        <v>0</v>
      </c>
      <c r="F2246" s="4" t="s">
        <v>29</v>
      </c>
    </row>
    <row r="2247" spans="1:6" x14ac:dyDescent="0.25">
      <c r="A2247" s="4" t="s">
        <v>85</v>
      </c>
      <c r="B2247" s="4" t="s">
        <v>5</v>
      </c>
      <c r="C2247" s="4" t="s">
        <v>21</v>
      </c>
      <c r="D2247" s="4">
        <v>2018</v>
      </c>
      <c r="E2247" s="4">
        <v>0</v>
      </c>
      <c r="F2247" s="4" t="s">
        <v>29</v>
      </c>
    </row>
    <row r="2248" spans="1:6" x14ac:dyDescent="0.25">
      <c r="A2248" s="4" t="s">
        <v>85</v>
      </c>
      <c r="B2248" s="4" t="s">
        <v>5</v>
      </c>
      <c r="C2248" s="4" t="s">
        <v>21</v>
      </c>
      <c r="D2248" s="4">
        <v>2019</v>
      </c>
      <c r="E2248" s="4">
        <v>0</v>
      </c>
      <c r="F2248" s="4" t="s">
        <v>29</v>
      </c>
    </row>
    <row r="2249" spans="1:6" x14ac:dyDescent="0.25">
      <c r="A2249" s="4" t="s">
        <v>85</v>
      </c>
      <c r="B2249" s="4" t="s">
        <v>5</v>
      </c>
      <c r="C2249" s="4" t="s">
        <v>21</v>
      </c>
      <c r="D2249" s="4">
        <v>2020</v>
      </c>
      <c r="E2249" s="4">
        <v>0</v>
      </c>
      <c r="F2249" s="4" t="s">
        <v>29</v>
      </c>
    </row>
    <row r="2250" spans="1:6" x14ac:dyDescent="0.25">
      <c r="A2250" s="4" t="s">
        <v>85</v>
      </c>
      <c r="B2250" s="4" t="s">
        <v>5</v>
      </c>
      <c r="C2250" s="4" t="s">
        <v>21</v>
      </c>
      <c r="D2250" s="4">
        <v>2021</v>
      </c>
      <c r="E2250" s="4">
        <v>0</v>
      </c>
      <c r="F2250" s="4" t="s">
        <v>29</v>
      </c>
    </row>
    <row r="2251" spans="1:6" x14ac:dyDescent="0.25">
      <c r="A2251" s="4" t="s">
        <v>85</v>
      </c>
      <c r="B2251" s="4" t="s">
        <v>5</v>
      </c>
      <c r="C2251" s="4" t="s">
        <v>21</v>
      </c>
      <c r="D2251" s="4">
        <v>2022</v>
      </c>
      <c r="E2251" s="4">
        <v>0</v>
      </c>
      <c r="F2251" s="4" t="s">
        <v>29</v>
      </c>
    </row>
    <row r="2252" spans="1:6" x14ac:dyDescent="0.25">
      <c r="A2252" s="4" t="s">
        <v>85</v>
      </c>
      <c r="B2252" s="4" t="s">
        <v>5</v>
      </c>
      <c r="C2252" s="4" t="s">
        <v>21</v>
      </c>
      <c r="D2252" s="4">
        <v>2023</v>
      </c>
      <c r="E2252" s="4">
        <v>0</v>
      </c>
      <c r="F2252" s="4" t="s">
        <v>29</v>
      </c>
    </row>
    <row r="2253" spans="1:6" x14ac:dyDescent="0.25">
      <c r="A2253" s="4" t="s">
        <v>85</v>
      </c>
      <c r="B2253" s="4" t="s">
        <v>5</v>
      </c>
      <c r="C2253" s="4" t="s">
        <v>21</v>
      </c>
      <c r="D2253" s="4">
        <v>2024</v>
      </c>
      <c r="E2253" s="4">
        <v>0</v>
      </c>
      <c r="F2253" s="4" t="s">
        <v>29</v>
      </c>
    </row>
    <row r="2254" spans="1:6" x14ac:dyDescent="0.25">
      <c r="A2254" s="4" t="s">
        <v>85</v>
      </c>
      <c r="B2254" s="4" t="s">
        <v>5</v>
      </c>
      <c r="C2254" s="4" t="s">
        <v>21</v>
      </c>
      <c r="D2254" s="4">
        <v>2025</v>
      </c>
      <c r="E2254" s="4">
        <v>0</v>
      </c>
      <c r="F2254" s="4" t="s">
        <v>29</v>
      </c>
    </row>
    <row r="2255" spans="1:6" x14ac:dyDescent="0.25">
      <c r="A2255" s="4" t="s">
        <v>85</v>
      </c>
      <c r="B2255" s="4" t="s">
        <v>5</v>
      </c>
      <c r="C2255" s="4" t="s">
        <v>21</v>
      </c>
      <c r="D2255" s="4">
        <v>2026</v>
      </c>
      <c r="E2255" s="4">
        <v>0</v>
      </c>
      <c r="F2255" s="4" t="s">
        <v>29</v>
      </c>
    </row>
    <row r="2256" spans="1:6" x14ac:dyDescent="0.25">
      <c r="A2256" s="4" t="s">
        <v>85</v>
      </c>
      <c r="B2256" s="4" t="s">
        <v>5</v>
      </c>
      <c r="C2256" s="4" t="s">
        <v>21</v>
      </c>
      <c r="D2256" s="4">
        <v>2027</v>
      </c>
      <c r="E2256" s="4">
        <v>0</v>
      </c>
      <c r="F2256" s="4" t="s">
        <v>29</v>
      </c>
    </row>
    <row r="2257" spans="1:6" x14ac:dyDescent="0.25">
      <c r="A2257" s="4" t="s">
        <v>85</v>
      </c>
      <c r="B2257" s="4" t="s">
        <v>5</v>
      </c>
      <c r="C2257" s="4" t="s">
        <v>21</v>
      </c>
      <c r="D2257" s="4">
        <v>2028</v>
      </c>
      <c r="E2257" s="4">
        <v>0</v>
      </c>
      <c r="F2257" s="4" t="s">
        <v>29</v>
      </c>
    </row>
    <row r="2258" spans="1:6" x14ac:dyDescent="0.25">
      <c r="A2258" s="4" t="s">
        <v>85</v>
      </c>
      <c r="B2258" s="4" t="s">
        <v>5</v>
      </c>
      <c r="C2258" s="4" t="s">
        <v>21</v>
      </c>
      <c r="D2258" s="4">
        <v>2029</v>
      </c>
      <c r="E2258" s="4">
        <v>0</v>
      </c>
      <c r="F2258" s="4" t="s">
        <v>29</v>
      </c>
    </row>
    <row r="2259" spans="1:6" x14ac:dyDescent="0.25">
      <c r="A2259" s="4" t="s">
        <v>85</v>
      </c>
      <c r="B2259" s="4" t="s">
        <v>5</v>
      </c>
      <c r="C2259" s="4" t="s">
        <v>21</v>
      </c>
      <c r="D2259" s="4">
        <v>2030</v>
      </c>
      <c r="E2259" s="4">
        <v>0</v>
      </c>
      <c r="F2259" s="4" t="s">
        <v>29</v>
      </c>
    </row>
    <row r="2260" spans="1:6" x14ac:dyDescent="0.25">
      <c r="A2260" s="4" t="s">
        <v>85</v>
      </c>
      <c r="B2260" s="4" t="s">
        <v>5</v>
      </c>
      <c r="C2260" s="4" t="s">
        <v>21</v>
      </c>
      <c r="D2260" s="4">
        <v>2031</v>
      </c>
      <c r="E2260" s="4">
        <v>0</v>
      </c>
      <c r="F2260" s="4" t="s">
        <v>29</v>
      </c>
    </row>
    <row r="2261" spans="1:6" x14ac:dyDescent="0.25">
      <c r="A2261" s="4" t="s">
        <v>85</v>
      </c>
      <c r="B2261" s="4" t="s">
        <v>5</v>
      </c>
      <c r="C2261" s="4" t="s">
        <v>21</v>
      </c>
      <c r="D2261" s="4">
        <v>2032</v>
      </c>
      <c r="E2261" s="4">
        <v>0</v>
      </c>
      <c r="F2261" s="4" t="s">
        <v>29</v>
      </c>
    </row>
    <row r="2262" spans="1:6" x14ac:dyDescent="0.25">
      <c r="A2262" s="4" t="s">
        <v>85</v>
      </c>
      <c r="B2262" s="4" t="s">
        <v>5</v>
      </c>
      <c r="C2262" s="4" t="s">
        <v>21</v>
      </c>
      <c r="D2262" s="4">
        <v>2033</v>
      </c>
      <c r="E2262" s="4">
        <v>0</v>
      </c>
      <c r="F2262" s="4" t="s">
        <v>29</v>
      </c>
    </row>
    <row r="2263" spans="1:6" x14ac:dyDescent="0.25">
      <c r="A2263" s="4" t="s">
        <v>85</v>
      </c>
      <c r="B2263" s="4" t="s">
        <v>5</v>
      </c>
      <c r="C2263" s="4" t="s">
        <v>21</v>
      </c>
      <c r="D2263" s="4">
        <v>2034</v>
      </c>
      <c r="E2263" s="4">
        <v>0</v>
      </c>
      <c r="F2263" s="4" t="s">
        <v>29</v>
      </c>
    </row>
    <row r="2264" spans="1:6" x14ac:dyDescent="0.25">
      <c r="A2264" s="4" t="s">
        <v>85</v>
      </c>
      <c r="B2264" s="4" t="s">
        <v>5</v>
      </c>
      <c r="C2264" s="4" t="s">
        <v>21</v>
      </c>
      <c r="D2264" s="4">
        <v>2035</v>
      </c>
      <c r="E2264" s="4">
        <v>0</v>
      </c>
      <c r="F2264" s="4" t="s">
        <v>29</v>
      </c>
    </row>
    <row r="2265" spans="1:6" x14ac:dyDescent="0.25">
      <c r="A2265" s="4" t="s">
        <v>85</v>
      </c>
      <c r="B2265" s="4" t="s">
        <v>5</v>
      </c>
      <c r="C2265" s="4" t="s">
        <v>21</v>
      </c>
      <c r="D2265" s="4">
        <v>2036</v>
      </c>
      <c r="E2265" s="4">
        <v>0</v>
      </c>
      <c r="F2265" s="4" t="s">
        <v>29</v>
      </c>
    </row>
    <row r="2266" spans="1:6" x14ac:dyDescent="0.25">
      <c r="A2266" s="4" t="s">
        <v>85</v>
      </c>
      <c r="B2266" s="4" t="s">
        <v>5</v>
      </c>
      <c r="C2266" s="4" t="s">
        <v>21</v>
      </c>
      <c r="D2266" s="4">
        <v>2037</v>
      </c>
      <c r="E2266" s="4">
        <v>0</v>
      </c>
      <c r="F2266" s="4" t="s">
        <v>29</v>
      </c>
    </row>
    <row r="2267" spans="1:6" x14ac:dyDescent="0.25">
      <c r="A2267" s="4" t="s">
        <v>85</v>
      </c>
      <c r="B2267" s="4" t="s">
        <v>5</v>
      </c>
      <c r="C2267" s="4" t="s">
        <v>21</v>
      </c>
      <c r="D2267" s="4">
        <v>2038</v>
      </c>
      <c r="E2267" s="4">
        <v>0</v>
      </c>
      <c r="F2267" s="4" t="s">
        <v>29</v>
      </c>
    </row>
    <row r="2268" spans="1:6" x14ac:dyDescent="0.25">
      <c r="A2268" s="4" t="s">
        <v>85</v>
      </c>
      <c r="B2268" s="4" t="s">
        <v>5</v>
      </c>
      <c r="C2268" s="4" t="s">
        <v>21</v>
      </c>
      <c r="D2268" s="4">
        <v>2039</v>
      </c>
      <c r="E2268" s="4">
        <v>0</v>
      </c>
      <c r="F2268" s="4" t="s">
        <v>29</v>
      </c>
    </row>
    <row r="2269" spans="1:6" x14ac:dyDescent="0.25">
      <c r="A2269" s="4" t="s">
        <v>85</v>
      </c>
      <c r="B2269" s="4" t="s">
        <v>5</v>
      </c>
      <c r="C2269" s="4" t="s">
        <v>21</v>
      </c>
      <c r="D2269" s="4">
        <v>2040</v>
      </c>
      <c r="E2269" s="4">
        <v>0</v>
      </c>
      <c r="F2269" s="4" t="s">
        <v>29</v>
      </c>
    </row>
    <row r="2270" spans="1:6" x14ac:dyDescent="0.25">
      <c r="A2270" s="4" t="s">
        <v>85</v>
      </c>
      <c r="B2270" s="4" t="s">
        <v>6</v>
      </c>
      <c r="C2270" s="4" t="s">
        <v>21</v>
      </c>
      <c r="D2270" s="4">
        <v>2005</v>
      </c>
      <c r="E2270" s="4">
        <v>0</v>
      </c>
      <c r="F2270" s="4" t="s">
        <v>29</v>
      </c>
    </row>
    <row r="2271" spans="1:6" x14ac:dyDescent="0.25">
      <c r="A2271" s="4" t="s">
        <v>85</v>
      </c>
      <c r="B2271" s="4" t="s">
        <v>6</v>
      </c>
      <c r="C2271" s="4" t="s">
        <v>21</v>
      </c>
      <c r="D2271" s="4">
        <v>2006</v>
      </c>
      <c r="E2271" s="4">
        <v>0</v>
      </c>
      <c r="F2271" s="4" t="s">
        <v>29</v>
      </c>
    </row>
    <row r="2272" spans="1:6" x14ac:dyDescent="0.25">
      <c r="A2272" s="4" t="s">
        <v>85</v>
      </c>
      <c r="B2272" s="4" t="s">
        <v>6</v>
      </c>
      <c r="C2272" s="4" t="s">
        <v>21</v>
      </c>
      <c r="D2272" s="4">
        <v>2007</v>
      </c>
      <c r="E2272" s="4">
        <v>0</v>
      </c>
      <c r="F2272" s="4" t="s">
        <v>29</v>
      </c>
    </row>
    <row r="2273" spans="1:6" x14ac:dyDescent="0.25">
      <c r="A2273" s="4" t="s">
        <v>85</v>
      </c>
      <c r="B2273" s="4" t="s">
        <v>6</v>
      </c>
      <c r="C2273" s="4" t="s">
        <v>21</v>
      </c>
      <c r="D2273" s="4">
        <v>2008</v>
      </c>
      <c r="E2273" s="4">
        <v>0</v>
      </c>
      <c r="F2273" s="4" t="s">
        <v>29</v>
      </c>
    </row>
    <row r="2274" spans="1:6" x14ac:dyDescent="0.25">
      <c r="A2274" s="4" t="s">
        <v>85</v>
      </c>
      <c r="B2274" s="4" t="s">
        <v>6</v>
      </c>
      <c r="C2274" s="4" t="s">
        <v>21</v>
      </c>
      <c r="D2274" s="4">
        <v>2009</v>
      </c>
      <c r="E2274" s="4">
        <v>0</v>
      </c>
      <c r="F2274" s="4" t="s">
        <v>29</v>
      </c>
    </row>
    <row r="2275" spans="1:6" x14ac:dyDescent="0.25">
      <c r="A2275" s="4" t="s">
        <v>85</v>
      </c>
      <c r="B2275" s="4" t="s">
        <v>6</v>
      </c>
      <c r="C2275" s="4" t="s">
        <v>21</v>
      </c>
      <c r="D2275" s="4">
        <v>2010</v>
      </c>
      <c r="E2275" s="4">
        <v>0</v>
      </c>
      <c r="F2275" s="4" t="s">
        <v>29</v>
      </c>
    </row>
    <row r="2276" spans="1:6" x14ac:dyDescent="0.25">
      <c r="A2276" s="4" t="s">
        <v>85</v>
      </c>
      <c r="B2276" s="4" t="s">
        <v>6</v>
      </c>
      <c r="C2276" s="4" t="s">
        <v>21</v>
      </c>
      <c r="D2276" s="4">
        <v>2011</v>
      </c>
      <c r="E2276" s="4">
        <v>0</v>
      </c>
      <c r="F2276" s="4" t="s">
        <v>29</v>
      </c>
    </row>
    <row r="2277" spans="1:6" x14ac:dyDescent="0.25">
      <c r="A2277" s="4" t="s">
        <v>85</v>
      </c>
      <c r="B2277" s="4" t="s">
        <v>6</v>
      </c>
      <c r="C2277" s="4" t="s">
        <v>21</v>
      </c>
      <c r="D2277" s="4">
        <v>2012</v>
      </c>
      <c r="E2277" s="4">
        <v>0</v>
      </c>
      <c r="F2277" s="4" t="s">
        <v>29</v>
      </c>
    </row>
    <row r="2278" spans="1:6" x14ac:dyDescent="0.25">
      <c r="A2278" s="4" t="s">
        <v>85</v>
      </c>
      <c r="B2278" s="4" t="s">
        <v>6</v>
      </c>
      <c r="C2278" s="4" t="s">
        <v>21</v>
      </c>
      <c r="D2278" s="4">
        <v>2013</v>
      </c>
      <c r="E2278" s="4">
        <v>0</v>
      </c>
      <c r="F2278" s="4" t="s">
        <v>29</v>
      </c>
    </row>
    <row r="2279" spans="1:6" x14ac:dyDescent="0.25">
      <c r="A2279" s="4" t="s">
        <v>85</v>
      </c>
      <c r="B2279" s="4" t="s">
        <v>6</v>
      </c>
      <c r="C2279" s="4" t="s">
        <v>21</v>
      </c>
      <c r="D2279" s="4">
        <v>2014</v>
      </c>
      <c r="E2279" s="4">
        <v>0</v>
      </c>
      <c r="F2279" s="4" t="s">
        <v>29</v>
      </c>
    </row>
    <row r="2280" spans="1:6" x14ac:dyDescent="0.25">
      <c r="A2280" s="4" t="s">
        <v>85</v>
      </c>
      <c r="B2280" s="4" t="s">
        <v>6</v>
      </c>
      <c r="C2280" s="4" t="s">
        <v>21</v>
      </c>
      <c r="D2280" s="4">
        <v>2015</v>
      </c>
      <c r="E2280" s="4">
        <v>0</v>
      </c>
      <c r="F2280" s="4" t="s">
        <v>29</v>
      </c>
    </row>
    <row r="2281" spans="1:6" x14ac:dyDescent="0.25">
      <c r="A2281" s="4" t="s">
        <v>85</v>
      </c>
      <c r="B2281" s="4" t="s">
        <v>6</v>
      </c>
      <c r="C2281" s="4" t="s">
        <v>21</v>
      </c>
      <c r="D2281" s="4">
        <v>2016</v>
      </c>
      <c r="E2281" s="4">
        <v>0</v>
      </c>
      <c r="F2281" s="4" t="s">
        <v>29</v>
      </c>
    </row>
    <row r="2282" spans="1:6" x14ac:dyDescent="0.25">
      <c r="A2282" s="4" t="s">
        <v>85</v>
      </c>
      <c r="B2282" s="4" t="s">
        <v>6</v>
      </c>
      <c r="C2282" s="4" t="s">
        <v>21</v>
      </c>
      <c r="D2282" s="4">
        <v>2017</v>
      </c>
      <c r="E2282" s="4">
        <v>0</v>
      </c>
      <c r="F2282" s="4" t="s">
        <v>29</v>
      </c>
    </row>
    <row r="2283" spans="1:6" x14ac:dyDescent="0.25">
      <c r="A2283" s="4" t="s">
        <v>85</v>
      </c>
      <c r="B2283" s="4" t="s">
        <v>6</v>
      </c>
      <c r="C2283" s="4" t="s">
        <v>21</v>
      </c>
      <c r="D2283" s="4">
        <v>2018</v>
      </c>
      <c r="E2283" s="4">
        <v>0</v>
      </c>
      <c r="F2283" s="4" t="s">
        <v>29</v>
      </c>
    </row>
    <row r="2284" spans="1:6" x14ac:dyDescent="0.25">
      <c r="A2284" s="4" t="s">
        <v>85</v>
      </c>
      <c r="B2284" s="4" t="s">
        <v>6</v>
      </c>
      <c r="C2284" s="4" t="s">
        <v>21</v>
      </c>
      <c r="D2284" s="4">
        <v>2019</v>
      </c>
      <c r="E2284" s="4">
        <v>0</v>
      </c>
      <c r="F2284" s="4" t="s">
        <v>29</v>
      </c>
    </row>
    <row r="2285" spans="1:6" x14ac:dyDescent="0.25">
      <c r="A2285" s="4" t="s">
        <v>85</v>
      </c>
      <c r="B2285" s="4" t="s">
        <v>6</v>
      </c>
      <c r="C2285" s="4" t="s">
        <v>21</v>
      </c>
      <c r="D2285" s="4">
        <v>2020</v>
      </c>
      <c r="E2285" s="4">
        <v>0</v>
      </c>
      <c r="F2285" s="4" t="s">
        <v>29</v>
      </c>
    </row>
    <row r="2286" spans="1:6" x14ac:dyDescent="0.25">
      <c r="A2286" s="4" t="s">
        <v>85</v>
      </c>
      <c r="B2286" s="4" t="s">
        <v>6</v>
      </c>
      <c r="C2286" s="4" t="s">
        <v>21</v>
      </c>
      <c r="D2286" s="4">
        <v>2021</v>
      </c>
      <c r="E2286" s="4">
        <v>0</v>
      </c>
      <c r="F2286" s="4" t="s">
        <v>29</v>
      </c>
    </row>
    <row r="2287" spans="1:6" x14ac:dyDescent="0.25">
      <c r="A2287" s="4" t="s">
        <v>85</v>
      </c>
      <c r="B2287" s="4" t="s">
        <v>6</v>
      </c>
      <c r="C2287" s="4" t="s">
        <v>21</v>
      </c>
      <c r="D2287" s="4">
        <v>2022</v>
      </c>
      <c r="E2287" s="4">
        <v>0</v>
      </c>
      <c r="F2287" s="4" t="s">
        <v>29</v>
      </c>
    </row>
    <row r="2288" spans="1:6" x14ac:dyDescent="0.25">
      <c r="A2288" s="4" t="s">
        <v>85</v>
      </c>
      <c r="B2288" s="4" t="s">
        <v>6</v>
      </c>
      <c r="C2288" s="4" t="s">
        <v>21</v>
      </c>
      <c r="D2288" s="4">
        <v>2023</v>
      </c>
      <c r="E2288" s="4">
        <v>0</v>
      </c>
      <c r="F2288" s="4" t="s">
        <v>29</v>
      </c>
    </row>
    <row r="2289" spans="1:6" x14ac:dyDescent="0.25">
      <c r="A2289" s="4" t="s">
        <v>85</v>
      </c>
      <c r="B2289" s="4" t="s">
        <v>6</v>
      </c>
      <c r="C2289" s="4" t="s">
        <v>21</v>
      </c>
      <c r="D2289" s="4">
        <v>2024</v>
      </c>
      <c r="E2289" s="4">
        <v>0</v>
      </c>
      <c r="F2289" s="4" t="s">
        <v>29</v>
      </c>
    </row>
    <row r="2290" spans="1:6" x14ac:dyDescent="0.25">
      <c r="A2290" s="4" t="s">
        <v>85</v>
      </c>
      <c r="B2290" s="4" t="s">
        <v>6</v>
      </c>
      <c r="C2290" s="4" t="s">
        <v>21</v>
      </c>
      <c r="D2290" s="4">
        <v>2025</v>
      </c>
      <c r="E2290" s="4">
        <v>0</v>
      </c>
      <c r="F2290" s="4" t="s">
        <v>29</v>
      </c>
    </row>
    <row r="2291" spans="1:6" x14ac:dyDescent="0.25">
      <c r="A2291" s="4" t="s">
        <v>85</v>
      </c>
      <c r="B2291" s="4" t="s">
        <v>6</v>
      </c>
      <c r="C2291" s="4" t="s">
        <v>21</v>
      </c>
      <c r="D2291" s="4">
        <v>2026</v>
      </c>
      <c r="E2291" s="4">
        <v>0</v>
      </c>
      <c r="F2291" s="4" t="s">
        <v>29</v>
      </c>
    </row>
    <row r="2292" spans="1:6" x14ac:dyDescent="0.25">
      <c r="A2292" s="4" t="s">
        <v>85</v>
      </c>
      <c r="B2292" s="4" t="s">
        <v>6</v>
      </c>
      <c r="C2292" s="4" t="s">
        <v>21</v>
      </c>
      <c r="D2292" s="4">
        <v>2027</v>
      </c>
      <c r="E2292" s="4">
        <v>0</v>
      </c>
      <c r="F2292" s="4" t="s">
        <v>29</v>
      </c>
    </row>
    <row r="2293" spans="1:6" x14ac:dyDescent="0.25">
      <c r="A2293" s="4" t="s">
        <v>85</v>
      </c>
      <c r="B2293" s="4" t="s">
        <v>6</v>
      </c>
      <c r="C2293" s="4" t="s">
        <v>21</v>
      </c>
      <c r="D2293" s="4">
        <v>2028</v>
      </c>
      <c r="E2293" s="4">
        <v>0</v>
      </c>
      <c r="F2293" s="4" t="s">
        <v>29</v>
      </c>
    </row>
    <row r="2294" spans="1:6" x14ac:dyDescent="0.25">
      <c r="A2294" s="4" t="s">
        <v>85</v>
      </c>
      <c r="B2294" s="4" t="s">
        <v>6</v>
      </c>
      <c r="C2294" s="4" t="s">
        <v>21</v>
      </c>
      <c r="D2294" s="4">
        <v>2029</v>
      </c>
      <c r="E2294" s="4">
        <v>0</v>
      </c>
      <c r="F2294" s="4" t="s">
        <v>29</v>
      </c>
    </row>
    <row r="2295" spans="1:6" x14ac:dyDescent="0.25">
      <c r="A2295" s="4" t="s">
        <v>85</v>
      </c>
      <c r="B2295" s="4" t="s">
        <v>6</v>
      </c>
      <c r="C2295" s="4" t="s">
        <v>21</v>
      </c>
      <c r="D2295" s="4">
        <v>2030</v>
      </c>
      <c r="E2295" s="4">
        <v>0</v>
      </c>
      <c r="F2295" s="4" t="s">
        <v>29</v>
      </c>
    </row>
    <row r="2296" spans="1:6" x14ac:dyDescent="0.25">
      <c r="A2296" s="4" t="s">
        <v>85</v>
      </c>
      <c r="B2296" s="4" t="s">
        <v>6</v>
      </c>
      <c r="C2296" s="4" t="s">
        <v>21</v>
      </c>
      <c r="D2296" s="4">
        <v>2031</v>
      </c>
      <c r="E2296" s="4">
        <v>0</v>
      </c>
      <c r="F2296" s="4" t="s">
        <v>29</v>
      </c>
    </row>
    <row r="2297" spans="1:6" x14ac:dyDescent="0.25">
      <c r="A2297" s="4" t="s">
        <v>85</v>
      </c>
      <c r="B2297" s="4" t="s">
        <v>6</v>
      </c>
      <c r="C2297" s="4" t="s">
        <v>21</v>
      </c>
      <c r="D2297" s="4">
        <v>2032</v>
      </c>
      <c r="E2297" s="4">
        <v>0</v>
      </c>
      <c r="F2297" s="4" t="s">
        <v>29</v>
      </c>
    </row>
    <row r="2298" spans="1:6" x14ac:dyDescent="0.25">
      <c r="A2298" s="4" t="s">
        <v>85</v>
      </c>
      <c r="B2298" s="4" t="s">
        <v>6</v>
      </c>
      <c r="C2298" s="4" t="s">
        <v>21</v>
      </c>
      <c r="D2298" s="4">
        <v>2033</v>
      </c>
      <c r="E2298" s="4">
        <v>0</v>
      </c>
      <c r="F2298" s="4" t="s">
        <v>29</v>
      </c>
    </row>
    <row r="2299" spans="1:6" x14ac:dyDescent="0.25">
      <c r="A2299" s="4" t="s">
        <v>85</v>
      </c>
      <c r="B2299" s="4" t="s">
        <v>6</v>
      </c>
      <c r="C2299" s="4" t="s">
        <v>21</v>
      </c>
      <c r="D2299" s="4">
        <v>2034</v>
      </c>
      <c r="E2299" s="4">
        <v>0</v>
      </c>
      <c r="F2299" s="4" t="s">
        <v>29</v>
      </c>
    </row>
    <row r="2300" spans="1:6" x14ac:dyDescent="0.25">
      <c r="A2300" s="4" t="s">
        <v>85</v>
      </c>
      <c r="B2300" s="4" t="s">
        <v>6</v>
      </c>
      <c r="C2300" s="4" t="s">
        <v>21</v>
      </c>
      <c r="D2300" s="4">
        <v>2035</v>
      </c>
      <c r="E2300" s="4">
        <v>0</v>
      </c>
      <c r="F2300" s="4" t="s">
        <v>29</v>
      </c>
    </row>
    <row r="2301" spans="1:6" x14ac:dyDescent="0.25">
      <c r="A2301" s="4" t="s">
        <v>85</v>
      </c>
      <c r="B2301" s="4" t="s">
        <v>6</v>
      </c>
      <c r="C2301" s="4" t="s">
        <v>21</v>
      </c>
      <c r="D2301" s="4">
        <v>2036</v>
      </c>
      <c r="E2301" s="4">
        <v>0</v>
      </c>
      <c r="F2301" s="4" t="s">
        <v>29</v>
      </c>
    </row>
    <row r="2302" spans="1:6" x14ac:dyDescent="0.25">
      <c r="A2302" s="4" t="s">
        <v>85</v>
      </c>
      <c r="B2302" s="4" t="s">
        <v>6</v>
      </c>
      <c r="C2302" s="4" t="s">
        <v>21</v>
      </c>
      <c r="D2302" s="4">
        <v>2037</v>
      </c>
      <c r="E2302" s="4">
        <v>0</v>
      </c>
      <c r="F2302" s="4" t="s">
        <v>29</v>
      </c>
    </row>
    <row r="2303" spans="1:6" x14ac:dyDescent="0.25">
      <c r="A2303" s="4" t="s">
        <v>85</v>
      </c>
      <c r="B2303" s="4" t="s">
        <v>6</v>
      </c>
      <c r="C2303" s="4" t="s">
        <v>21</v>
      </c>
      <c r="D2303" s="4">
        <v>2038</v>
      </c>
      <c r="E2303" s="4">
        <v>0</v>
      </c>
      <c r="F2303" s="4" t="s">
        <v>29</v>
      </c>
    </row>
    <row r="2304" spans="1:6" x14ac:dyDescent="0.25">
      <c r="A2304" s="4" t="s">
        <v>85</v>
      </c>
      <c r="B2304" s="4" t="s">
        <v>6</v>
      </c>
      <c r="C2304" s="4" t="s">
        <v>21</v>
      </c>
      <c r="D2304" s="4">
        <v>2039</v>
      </c>
      <c r="E2304" s="4">
        <v>0</v>
      </c>
      <c r="F2304" s="4" t="s">
        <v>29</v>
      </c>
    </row>
    <row r="2305" spans="1:6" x14ac:dyDescent="0.25">
      <c r="A2305" s="4" t="s">
        <v>85</v>
      </c>
      <c r="B2305" s="4" t="s">
        <v>6</v>
      </c>
      <c r="C2305" s="4" t="s">
        <v>21</v>
      </c>
      <c r="D2305" s="4">
        <v>2040</v>
      </c>
      <c r="E2305" s="4">
        <v>0</v>
      </c>
      <c r="F2305" s="4" t="s">
        <v>29</v>
      </c>
    </row>
    <row r="2306" spans="1:6" x14ac:dyDescent="0.25">
      <c r="A2306" s="4" t="s">
        <v>85</v>
      </c>
      <c r="B2306" s="4" t="s">
        <v>23</v>
      </c>
      <c r="C2306" s="4" t="s">
        <v>21</v>
      </c>
      <c r="D2306" s="4">
        <v>2005</v>
      </c>
      <c r="E2306" s="4">
        <v>0</v>
      </c>
      <c r="F2306" s="4" t="s">
        <v>29</v>
      </c>
    </row>
    <row r="2307" spans="1:6" x14ac:dyDescent="0.25">
      <c r="A2307" s="4" t="s">
        <v>85</v>
      </c>
      <c r="B2307" s="4" t="s">
        <v>23</v>
      </c>
      <c r="C2307" s="4" t="s">
        <v>21</v>
      </c>
      <c r="D2307" s="4">
        <v>2006</v>
      </c>
      <c r="E2307" s="4">
        <v>0</v>
      </c>
      <c r="F2307" s="4" t="s">
        <v>29</v>
      </c>
    </row>
    <row r="2308" spans="1:6" x14ac:dyDescent="0.25">
      <c r="A2308" s="4" t="s">
        <v>85</v>
      </c>
      <c r="B2308" s="4" t="s">
        <v>23</v>
      </c>
      <c r="C2308" s="4" t="s">
        <v>21</v>
      </c>
      <c r="D2308" s="4">
        <v>2007</v>
      </c>
      <c r="E2308" s="4">
        <v>0</v>
      </c>
      <c r="F2308" s="4" t="s">
        <v>29</v>
      </c>
    </row>
    <row r="2309" spans="1:6" x14ac:dyDescent="0.25">
      <c r="A2309" s="4" t="s">
        <v>85</v>
      </c>
      <c r="B2309" s="4" t="s">
        <v>23</v>
      </c>
      <c r="C2309" s="4" t="s">
        <v>21</v>
      </c>
      <c r="D2309" s="4">
        <v>2008</v>
      </c>
      <c r="E2309" s="4">
        <v>0</v>
      </c>
      <c r="F2309" s="4" t="s">
        <v>29</v>
      </c>
    </row>
    <row r="2310" spans="1:6" x14ac:dyDescent="0.25">
      <c r="A2310" s="4" t="s">
        <v>85</v>
      </c>
      <c r="B2310" s="4" t="s">
        <v>23</v>
      </c>
      <c r="C2310" s="4" t="s">
        <v>21</v>
      </c>
      <c r="D2310" s="4">
        <v>2009</v>
      </c>
      <c r="E2310" s="4">
        <v>0</v>
      </c>
      <c r="F2310" s="4" t="s">
        <v>29</v>
      </c>
    </row>
    <row r="2311" spans="1:6" x14ac:dyDescent="0.25">
      <c r="A2311" s="4" t="s">
        <v>85</v>
      </c>
      <c r="B2311" s="4" t="s">
        <v>23</v>
      </c>
      <c r="C2311" s="4" t="s">
        <v>21</v>
      </c>
      <c r="D2311" s="4">
        <v>2010</v>
      </c>
      <c r="E2311" s="4">
        <v>0</v>
      </c>
      <c r="F2311" s="4" t="s">
        <v>29</v>
      </c>
    </row>
    <row r="2312" spans="1:6" x14ac:dyDescent="0.25">
      <c r="A2312" s="4" t="s">
        <v>85</v>
      </c>
      <c r="B2312" s="4" t="s">
        <v>23</v>
      </c>
      <c r="C2312" s="4" t="s">
        <v>21</v>
      </c>
      <c r="D2312" s="4">
        <v>2011</v>
      </c>
      <c r="E2312" s="4">
        <v>0</v>
      </c>
      <c r="F2312" s="4" t="s">
        <v>29</v>
      </c>
    </row>
    <row r="2313" spans="1:6" x14ac:dyDescent="0.25">
      <c r="A2313" s="4" t="s">
        <v>85</v>
      </c>
      <c r="B2313" s="4" t="s">
        <v>23</v>
      </c>
      <c r="C2313" s="4" t="s">
        <v>21</v>
      </c>
      <c r="D2313" s="4">
        <v>2012</v>
      </c>
      <c r="E2313" s="4">
        <v>0</v>
      </c>
      <c r="F2313" s="4" t="s">
        <v>29</v>
      </c>
    </row>
    <row r="2314" spans="1:6" x14ac:dyDescent="0.25">
      <c r="A2314" s="4" t="s">
        <v>85</v>
      </c>
      <c r="B2314" s="4" t="s">
        <v>23</v>
      </c>
      <c r="C2314" s="4" t="s">
        <v>21</v>
      </c>
      <c r="D2314" s="4">
        <v>2013</v>
      </c>
      <c r="E2314" s="4">
        <v>0</v>
      </c>
      <c r="F2314" s="4" t="s">
        <v>29</v>
      </c>
    </row>
    <row r="2315" spans="1:6" x14ac:dyDescent="0.25">
      <c r="A2315" s="4" t="s">
        <v>85</v>
      </c>
      <c r="B2315" s="4" t="s">
        <v>23</v>
      </c>
      <c r="C2315" s="4" t="s">
        <v>21</v>
      </c>
      <c r="D2315" s="4">
        <v>2014</v>
      </c>
      <c r="E2315" s="4">
        <v>0</v>
      </c>
      <c r="F2315" s="4" t="s">
        <v>29</v>
      </c>
    </row>
    <row r="2316" spans="1:6" x14ac:dyDescent="0.25">
      <c r="A2316" s="4" t="s">
        <v>85</v>
      </c>
      <c r="B2316" s="4" t="s">
        <v>23</v>
      </c>
      <c r="C2316" s="4" t="s">
        <v>21</v>
      </c>
      <c r="D2316" s="4">
        <v>2015</v>
      </c>
      <c r="E2316" s="4">
        <v>0</v>
      </c>
      <c r="F2316" s="4" t="s">
        <v>29</v>
      </c>
    </row>
    <row r="2317" spans="1:6" x14ac:dyDescent="0.25">
      <c r="A2317" s="4" t="s">
        <v>85</v>
      </c>
      <c r="B2317" s="4" t="s">
        <v>23</v>
      </c>
      <c r="C2317" s="4" t="s">
        <v>21</v>
      </c>
      <c r="D2317" s="4">
        <v>2016</v>
      </c>
      <c r="E2317" s="4">
        <v>0</v>
      </c>
      <c r="F2317" s="4" t="s">
        <v>29</v>
      </c>
    </row>
    <row r="2318" spans="1:6" x14ac:dyDescent="0.25">
      <c r="A2318" s="4" t="s">
        <v>85</v>
      </c>
      <c r="B2318" s="4" t="s">
        <v>23</v>
      </c>
      <c r="C2318" s="4" t="s">
        <v>21</v>
      </c>
      <c r="D2318" s="4">
        <v>2017</v>
      </c>
      <c r="E2318" s="4">
        <v>0</v>
      </c>
      <c r="F2318" s="4" t="s">
        <v>29</v>
      </c>
    </row>
    <row r="2319" spans="1:6" x14ac:dyDescent="0.25">
      <c r="A2319" s="4" t="s">
        <v>85</v>
      </c>
      <c r="B2319" s="4" t="s">
        <v>23</v>
      </c>
      <c r="C2319" s="4" t="s">
        <v>21</v>
      </c>
      <c r="D2319" s="4">
        <v>2018</v>
      </c>
      <c r="E2319" s="4">
        <v>0</v>
      </c>
      <c r="F2319" s="4" t="s">
        <v>29</v>
      </c>
    </row>
    <row r="2320" spans="1:6" x14ac:dyDescent="0.25">
      <c r="A2320" s="4" t="s">
        <v>85</v>
      </c>
      <c r="B2320" s="4" t="s">
        <v>23</v>
      </c>
      <c r="C2320" s="4" t="s">
        <v>21</v>
      </c>
      <c r="D2320" s="4">
        <v>2019</v>
      </c>
      <c r="E2320" s="4">
        <v>0</v>
      </c>
      <c r="F2320" s="4" t="s">
        <v>29</v>
      </c>
    </row>
    <row r="2321" spans="1:6" x14ac:dyDescent="0.25">
      <c r="A2321" s="4" t="s">
        <v>85</v>
      </c>
      <c r="B2321" s="4" t="s">
        <v>23</v>
      </c>
      <c r="C2321" s="4" t="s">
        <v>21</v>
      </c>
      <c r="D2321" s="4">
        <v>2020</v>
      </c>
      <c r="E2321" s="4">
        <v>0</v>
      </c>
      <c r="F2321" s="4" t="s">
        <v>29</v>
      </c>
    </row>
    <row r="2322" spans="1:6" x14ac:dyDescent="0.25">
      <c r="A2322" s="4" t="s">
        <v>85</v>
      </c>
      <c r="B2322" s="4" t="s">
        <v>23</v>
      </c>
      <c r="C2322" s="4" t="s">
        <v>21</v>
      </c>
      <c r="D2322" s="4">
        <v>2021</v>
      </c>
      <c r="E2322" s="4">
        <v>0</v>
      </c>
      <c r="F2322" s="4" t="s">
        <v>29</v>
      </c>
    </row>
    <row r="2323" spans="1:6" x14ac:dyDescent="0.25">
      <c r="A2323" s="4" t="s">
        <v>85</v>
      </c>
      <c r="B2323" s="4" t="s">
        <v>23</v>
      </c>
      <c r="C2323" s="4" t="s">
        <v>21</v>
      </c>
      <c r="D2323" s="4">
        <v>2022</v>
      </c>
      <c r="E2323" s="4">
        <v>0</v>
      </c>
      <c r="F2323" s="4" t="s">
        <v>29</v>
      </c>
    </row>
    <row r="2324" spans="1:6" x14ac:dyDescent="0.25">
      <c r="A2324" s="4" t="s">
        <v>85</v>
      </c>
      <c r="B2324" s="4" t="s">
        <v>23</v>
      </c>
      <c r="C2324" s="4" t="s">
        <v>21</v>
      </c>
      <c r="D2324" s="4">
        <v>2023</v>
      </c>
      <c r="E2324" s="4">
        <v>0</v>
      </c>
      <c r="F2324" s="4" t="s">
        <v>29</v>
      </c>
    </row>
    <row r="2325" spans="1:6" x14ac:dyDescent="0.25">
      <c r="A2325" s="4" t="s">
        <v>85</v>
      </c>
      <c r="B2325" s="4" t="s">
        <v>23</v>
      </c>
      <c r="C2325" s="4" t="s">
        <v>21</v>
      </c>
      <c r="D2325" s="4">
        <v>2024</v>
      </c>
      <c r="E2325" s="4">
        <v>0</v>
      </c>
      <c r="F2325" s="4" t="s">
        <v>29</v>
      </c>
    </row>
    <row r="2326" spans="1:6" x14ac:dyDescent="0.25">
      <c r="A2326" s="4" t="s">
        <v>85</v>
      </c>
      <c r="B2326" s="4" t="s">
        <v>23</v>
      </c>
      <c r="C2326" s="4" t="s">
        <v>21</v>
      </c>
      <c r="D2326" s="4">
        <v>2025</v>
      </c>
      <c r="E2326" s="4">
        <v>0</v>
      </c>
      <c r="F2326" s="4" t="s">
        <v>29</v>
      </c>
    </row>
    <row r="2327" spans="1:6" x14ac:dyDescent="0.25">
      <c r="A2327" s="4" t="s">
        <v>85</v>
      </c>
      <c r="B2327" s="4" t="s">
        <v>23</v>
      </c>
      <c r="C2327" s="4" t="s">
        <v>21</v>
      </c>
      <c r="D2327" s="4">
        <v>2026</v>
      </c>
      <c r="E2327" s="4">
        <v>0</v>
      </c>
      <c r="F2327" s="4" t="s">
        <v>29</v>
      </c>
    </row>
    <row r="2328" spans="1:6" x14ac:dyDescent="0.25">
      <c r="A2328" s="4" t="s">
        <v>85</v>
      </c>
      <c r="B2328" s="4" t="s">
        <v>23</v>
      </c>
      <c r="C2328" s="4" t="s">
        <v>21</v>
      </c>
      <c r="D2328" s="4">
        <v>2027</v>
      </c>
      <c r="E2328" s="4">
        <v>0</v>
      </c>
      <c r="F2328" s="4" t="s">
        <v>29</v>
      </c>
    </row>
    <row r="2329" spans="1:6" x14ac:dyDescent="0.25">
      <c r="A2329" s="4" t="s">
        <v>85</v>
      </c>
      <c r="B2329" s="4" t="s">
        <v>23</v>
      </c>
      <c r="C2329" s="4" t="s">
        <v>21</v>
      </c>
      <c r="D2329" s="4">
        <v>2028</v>
      </c>
      <c r="E2329" s="4">
        <v>0</v>
      </c>
      <c r="F2329" s="4" t="s">
        <v>29</v>
      </c>
    </row>
    <row r="2330" spans="1:6" x14ac:dyDescent="0.25">
      <c r="A2330" s="4" t="s">
        <v>85</v>
      </c>
      <c r="B2330" s="4" t="s">
        <v>23</v>
      </c>
      <c r="C2330" s="4" t="s">
        <v>21</v>
      </c>
      <c r="D2330" s="4">
        <v>2029</v>
      </c>
      <c r="E2330" s="4">
        <v>0</v>
      </c>
      <c r="F2330" s="4" t="s">
        <v>29</v>
      </c>
    </row>
    <row r="2331" spans="1:6" x14ac:dyDescent="0.25">
      <c r="A2331" s="4" t="s">
        <v>85</v>
      </c>
      <c r="B2331" s="4" t="s">
        <v>23</v>
      </c>
      <c r="C2331" s="4" t="s">
        <v>21</v>
      </c>
      <c r="D2331" s="4">
        <v>2030</v>
      </c>
      <c r="E2331" s="4">
        <v>0</v>
      </c>
      <c r="F2331" s="4" t="s">
        <v>29</v>
      </c>
    </row>
    <row r="2332" spans="1:6" x14ac:dyDescent="0.25">
      <c r="A2332" s="4" t="s">
        <v>85</v>
      </c>
      <c r="B2332" s="4" t="s">
        <v>23</v>
      </c>
      <c r="C2332" s="4" t="s">
        <v>21</v>
      </c>
      <c r="D2332" s="4">
        <v>2031</v>
      </c>
      <c r="E2332" s="4">
        <v>0</v>
      </c>
      <c r="F2332" s="4" t="s">
        <v>29</v>
      </c>
    </row>
    <row r="2333" spans="1:6" x14ac:dyDescent="0.25">
      <c r="A2333" s="4" t="s">
        <v>85</v>
      </c>
      <c r="B2333" s="4" t="s">
        <v>23</v>
      </c>
      <c r="C2333" s="4" t="s">
        <v>21</v>
      </c>
      <c r="D2333" s="4">
        <v>2032</v>
      </c>
      <c r="E2333" s="4">
        <v>0</v>
      </c>
      <c r="F2333" s="4" t="s">
        <v>29</v>
      </c>
    </row>
    <row r="2334" spans="1:6" x14ac:dyDescent="0.25">
      <c r="A2334" s="4" t="s">
        <v>85</v>
      </c>
      <c r="B2334" s="4" t="s">
        <v>23</v>
      </c>
      <c r="C2334" s="4" t="s">
        <v>21</v>
      </c>
      <c r="D2334" s="4">
        <v>2033</v>
      </c>
      <c r="E2334" s="4">
        <v>0</v>
      </c>
      <c r="F2334" s="4" t="s">
        <v>29</v>
      </c>
    </row>
    <row r="2335" spans="1:6" x14ac:dyDescent="0.25">
      <c r="A2335" s="4" t="s">
        <v>85</v>
      </c>
      <c r="B2335" s="4" t="s">
        <v>23</v>
      </c>
      <c r="C2335" s="4" t="s">
        <v>21</v>
      </c>
      <c r="D2335" s="4">
        <v>2034</v>
      </c>
      <c r="E2335" s="4">
        <v>0</v>
      </c>
      <c r="F2335" s="4" t="s">
        <v>29</v>
      </c>
    </row>
    <row r="2336" spans="1:6" x14ac:dyDescent="0.25">
      <c r="A2336" s="4" t="s">
        <v>85</v>
      </c>
      <c r="B2336" s="4" t="s">
        <v>23</v>
      </c>
      <c r="C2336" s="4" t="s">
        <v>21</v>
      </c>
      <c r="D2336" s="4">
        <v>2035</v>
      </c>
      <c r="E2336" s="4">
        <v>0</v>
      </c>
      <c r="F2336" s="4" t="s">
        <v>29</v>
      </c>
    </row>
    <row r="2337" spans="1:6" x14ac:dyDescent="0.25">
      <c r="A2337" s="4" t="s">
        <v>85</v>
      </c>
      <c r="B2337" s="4" t="s">
        <v>23</v>
      </c>
      <c r="C2337" s="4" t="s">
        <v>21</v>
      </c>
      <c r="D2337" s="4">
        <v>2036</v>
      </c>
      <c r="E2337" s="4">
        <v>0</v>
      </c>
      <c r="F2337" s="4" t="s">
        <v>29</v>
      </c>
    </row>
    <row r="2338" spans="1:6" x14ac:dyDescent="0.25">
      <c r="A2338" s="4" t="s">
        <v>85</v>
      </c>
      <c r="B2338" s="4" t="s">
        <v>23</v>
      </c>
      <c r="C2338" s="4" t="s">
        <v>21</v>
      </c>
      <c r="D2338" s="4">
        <v>2037</v>
      </c>
      <c r="E2338" s="4">
        <v>0</v>
      </c>
      <c r="F2338" s="4" t="s">
        <v>29</v>
      </c>
    </row>
    <row r="2339" spans="1:6" x14ac:dyDescent="0.25">
      <c r="A2339" s="4" t="s">
        <v>85</v>
      </c>
      <c r="B2339" s="4" t="s">
        <v>23</v>
      </c>
      <c r="C2339" s="4" t="s">
        <v>21</v>
      </c>
      <c r="D2339" s="4">
        <v>2038</v>
      </c>
      <c r="E2339" s="4">
        <v>0</v>
      </c>
      <c r="F2339" s="4" t="s">
        <v>29</v>
      </c>
    </row>
    <row r="2340" spans="1:6" x14ac:dyDescent="0.25">
      <c r="A2340" s="4" t="s">
        <v>85</v>
      </c>
      <c r="B2340" s="4" t="s">
        <v>23</v>
      </c>
      <c r="C2340" s="4" t="s">
        <v>21</v>
      </c>
      <c r="D2340" s="4">
        <v>2039</v>
      </c>
      <c r="E2340" s="4">
        <v>0</v>
      </c>
      <c r="F2340" s="4" t="s">
        <v>29</v>
      </c>
    </row>
    <row r="2341" spans="1:6" x14ac:dyDescent="0.25">
      <c r="A2341" s="4" t="s">
        <v>85</v>
      </c>
      <c r="B2341" s="4" t="s">
        <v>23</v>
      </c>
      <c r="C2341" s="4" t="s">
        <v>21</v>
      </c>
      <c r="D2341" s="4">
        <v>2040</v>
      </c>
      <c r="E2341" s="4">
        <v>0</v>
      </c>
      <c r="F2341" s="4" t="s">
        <v>29</v>
      </c>
    </row>
    <row r="2342" spans="1:6" x14ac:dyDescent="0.25">
      <c r="A2342" s="4" t="s">
        <v>0</v>
      </c>
      <c r="B2342" s="4" t="s">
        <v>1</v>
      </c>
      <c r="C2342" s="4" t="s">
        <v>34</v>
      </c>
      <c r="D2342" s="4">
        <v>2005</v>
      </c>
      <c r="E2342" s="4">
        <v>120393.94465812801</v>
      </c>
      <c r="F2342" s="4" t="s">
        <v>29</v>
      </c>
    </row>
    <row r="2343" spans="1:6" x14ac:dyDescent="0.25">
      <c r="A2343" s="4" t="s">
        <v>0</v>
      </c>
      <c r="B2343" s="4" t="s">
        <v>1</v>
      </c>
      <c r="C2343" s="4" t="s">
        <v>34</v>
      </c>
      <c r="D2343" s="4">
        <v>2006</v>
      </c>
      <c r="E2343" s="4">
        <v>119335.10154082894</v>
      </c>
      <c r="F2343" s="4" t="s">
        <v>29</v>
      </c>
    </row>
    <row r="2344" spans="1:6" x14ac:dyDescent="0.25">
      <c r="A2344" s="4" t="s">
        <v>0</v>
      </c>
      <c r="B2344" s="4" t="s">
        <v>1</v>
      </c>
      <c r="C2344" s="4" t="s">
        <v>34</v>
      </c>
      <c r="D2344" s="4">
        <v>2007</v>
      </c>
      <c r="E2344" s="4">
        <v>128495.40715258461</v>
      </c>
      <c r="F2344" s="4" t="s">
        <v>29</v>
      </c>
    </row>
    <row r="2345" spans="1:6" x14ac:dyDescent="0.25">
      <c r="A2345" s="4" t="s">
        <v>0</v>
      </c>
      <c r="B2345" s="4" t="s">
        <v>1</v>
      </c>
      <c r="C2345" s="4" t="s">
        <v>34</v>
      </c>
      <c r="D2345" s="4">
        <v>2008</v>
      </c>
      <c r="E2345" s="4">
        <v>126621.04200308448</v>
      </c>
      <c r="F2345" s="4" t="s">
        <v>29</v>
      </c>
    </row>
    <row r="2346" spans="1:6" x14ac:dyDescent="0.25">
      <c r="A2346" s="4" t="s">
        <v>0</v>
      </c>
      <c r="B2346" s="4" t="s">
        <v>1</v>
      </c>
      <c r="C2346" s="4" t="s">
        <v>34</v>
      </c>
      <c r="D2346" s="4">
        <v>2009</v>
      </c>
      <c r="E2346" s="4">
        <v>113421.70271813478</v>
      </c>
      <c r="F2346" s="4" t="s">
        <v>29</v>
      </c>
    </row>
    <row r="2347" spans="1:6" x14ac:dyDescent="0.25">
      <c r="A2347" s="4" t="s">
        <v>0</v>
      </c>
      <c r="B2347" s="4" t="s">
        <v>1</v>
      </c>
      <c r="C2347" s="4" t="s">
        <v>34</v>
      </c>
      <c r="D2347" s="4">
        <v>2010</v>
      </c>
      <c r="E2347" s="4">
        <v>115275.72885841444</v>
      </c>
      <c r="F2347" s="4" t="s">
        <v>29</v>
      </c>
    </row>
    <row r="2348" spans="1:6" x14ac:dyDescent="0.25">
      <c r="A2348" s="4" t="s">
        <v>0</v>
      </c>
      <c r="B2348" s="4" t="s">
        <v>1</v>
      </c>
      <c r="C2348" s="4" t="s">
        <v>34</v>
      </c>
      <c r="D2348" s="4">
        <v>2011</v>
      </c>
      <c r="E2348" s="4">
        <v>119783.42174049366</v>
      </c>
      <c r="F2348" s="4" t="s">
        <v>29</v>
      </c>
    </row>
    <row r="2349" spans="1:6" x14ac:dyDescent="0.25">
      <c r="A2349" s="4" t="s">
        <v>0</v>
      </c>
      <c r="B2349" s="4" t="s">
        <v>1</v>
      </c>
      <c r="C2349" s="4" t="s">
        <v>34</v>
      </c>
      <c r="D2349" s="4">
        <v>2012</v>
      </c>
      <c r="E2349" s="4">
        <v>121609.88327665607</v>
      </c>
      <c r="F2349" s="4" t="s">
        <v>29</v>
      </c>
    </row>
    <row r="2350" spans="1:6" x14ac:dyDescent="0.25">
      <c r="A2350" s="4" t="s">
        <v>0</v>
      </c>
      <c r="B2350" s="4" t="s">
        <v>1</v>
      </c>
      <c r="C2350" s="4" t="s">
        <v>34</v>
      </c>
      <c r="D2350" s="4">
        <v>2013</v>
      </c>
      <c r="E2350" s="4">
        <v>130779.05255603722</v>
      </c>
      <c r="F2350" s="4" t="s">
        <v>29</v>
      </c>
    </row>
    <row r="2351" spans="1:6" x14ac:dyDescent="0.25">
      <c r="A2351" s="4" t="s">
        <v>0</v>
      </c>
      <c r="B2351" s="4" t="s">
        <v>1</v>
      </c>
      <c r="C2351" s="4" t="s">
        <v>34</v>
      </c>
      <c r="D2351" s="4">
        <v>2014</v>
      </c>
      <c r="E2351" s="4">
        <v>130908.71006835497</v>
      </c>
      <c r="F2351" s="4" t="s">
        <v>29</v>
      </c>
    </row>
    <row r="2352" spans="1:6" x14ac:dyDescent="0.25">
      <c r="A2352" s="4" t="s">
        <v>0</v>
      </c>
      <c r="B2352" s="4" t="s">
        <v>1</v>
      </c>
      <c r="C2352" s="4" t="s">
        <v>34</v>
      </c>
      <c r="D2352" s="4">
        <v>2015</v>
      </c>
      <c r="E2352" s="4">
        <v>114675.48064994118</v>
      </c>
      <c r="F2352" s="4" t="s">
        <v>29</v>
      </c>
    </row>
    <row r="2353" spans="1:6" x14ac:dyDescent="0.25">
      <c r="A2353" s="4" t="s">
        <v>0</v>
      </c>
      <c r="B2353" s="4" t="s">
        <v>1</v>
      </c>
      <c r="C2353" s="4" t="s">
        <v>34</v>
      </c>
      <c r="D2353" s="4">
        <v>2016</v>
      </c>
      <c r="E2353" s="4">
        <v>107569.05421700577</v>
      </c>
      <c r="F2353" s="4" t="s">
        <v>29</v>
      </c>
    </row>
    <row r="2354" spans="1:6" x14ac:dyDescent="0.25">
      <c r="A2354" s="4" t="s">
        <v>0</v>
      </c>
      <c r="B2354" s="4" t="s">
        <v>1</v>
      </c>
      <c r="C2354" s="4" t="s">
        <v>34</v>
      </c>
      <c r="D2354" s="4">
        <v>2017</v>
      </c>
      <c r="E2354" s="4">
        <v>106408.59598512293</v>
      </c>
      <c r="F2354" s="4" t="s">
        <v>29</v>
      </c>
    </row>
    <row r="2355" spans="1:6" x14ac:dyDescent="0.25">
      <c r="A2355" s="4" t="s">
        <v>0</v>
      </c>
      <c r="B2355" s="4" t="s">
        <v>1</v>
      </c>
      <c r="C2355" s="4" t="s">
        <v>34</v>
      </c>
      <c r="D2355" s="4">
        <v>2018</v>
      </c>
      <c r="E2355" s="4">
        <v>102117.39161406262</v>
      </c>
      <c r="F2355" s="4" t="s">
        <v>29</v>
      </c>
    </row>
    <row r="2356" spans="1:6" x14ac:dyDescent="0.25">
      <c r="A2356" s="4" t="s">
        <v>0</v>
      </c>
      <c r="B2356" s="4" t="s">
        <v>1</v>
      </c>
      <c r="C2356" s="4" t="s">
        <v>34</v>
      </c>
      <c r="D2356" s="4">
        <v>2019</v>
      </c>
      <c r="E2356" s="4">
        <v>104344.22985776157</v>
      </c>
      <c r="F2356" s="4" t="s">
        <v>29</v>
      </c>
    </row>
    <row r="2357" spans="1:6" x14ac:dyDescent="0.25">
      <c r="A2357" s="4" t="s">
        <v>0</v>
      </c>
      <c r="B2357" s="4" t="s">
        <v>1</v>
      </c>
      <c r="C2357" s="4" t="s">
        <v>34</v>
      </c>
      <c r="D2357" s="4">
        <v>2020</v>
      </c>
      <c r="E2357" s="4">
        <v>99946.667115910997</v>
      </c>
      <c r="F2357" s="4" t="s">
        <v>29</v>
      </c>
    </row>
    <row r="2358" spans="1:6" x14ac:dyDescent="0.25">
      <c r="A2358" s="4" t="s">
        <v>0</v>
      </c>
      <c r="B2358" s="4" t="s">
        <v>1</v>
      </c>
      <c r="C2358" s="4" t="s">
        <v>34</v>
      </c>
      <c r="D2358" s="4">
        <v>2021</v>
      </c>
      <c r="E2358" s="4">
        <v>104689.77252582119</v>
      </c>
      <c r="F2358" s="4" t="s">
        <v>29</v>
      </c>
    </row>
    <row r="2359" spans="1:6" x14ac:dyDescent="0.25">
      <c r="A2359" s="4" t="s">
        <v>0</v>
      </c>
      <c r="B2359" s="4" t="s">
        <v>1</v>
      </c>
      <c r="C2359" s="4" t="s">
        <v>34</v>
      </c>
      <c r="D2359" s="4">
        <v>2022</v>
      </c>
      <c r="E2359" s="4">
        <v>108001.50132929854</v>
      </c>
      <c r="F2359" s="4" t="s">
        <v>29</v>
      </c>
    </row>
    <row r="2360" spans="1:6" x14ac:dyDescent="0.25">
      <c r="A2360" s="4" t="s">
        <v>0</v>
      </c>
      <c r="B2360" s="4" t="s">
        <v>1</v>
      </c>
      <c r="C2360" s="4" t="s">
        <v>34</v>
      </c>
      <c r="D2360" s="4">
        <v>2023</v>
      </c>
      <c r="E2360" s="4">
        <v>119938.08371217751</v>
      </c>
      <c r="F2360" s="4" t="s">
        <v>29</v>
      </c>
    </row>
    <row r="2361" spans="1:6" x14ac:dyDescent="0.25">
      <c r="A2361" s="4" t="s">
        <v>0</v>
      </c>
      <c r="B2361" s="4" t="s">
        <v>1</v>
      </c>
      <c r="C2361" s="4" t="s">
        <v>34</v>
      </c>
      <c r="D2361" s="4">
        <v>2024</v>
      </c>
      <c r="E2361" s="4">
        <v>129972.08714917843</v>
      </c>
      <c r="F2361" s="4" t="s">
        <v>29</v>
      </c>
    </row>
    <row r="2362" spans="1:6" x14ac:dyDescent="0.25">
      <c r="A2362" s="4" t="s">
        <v>0</v>
      </c>
      <c r="B2362" s="4" t="s">
        <v>1</v>
      </c>
      <c r="C2362" s="4" t="s">
        <v>34</v>
      </c>
      <c r="D2362" s="4">
        <v>2025</v>
      </c>
      <c r="E2362" s="4">
        <v>139277.29801817157</v>
      </c>
      <c r="F2362" s="4" t="s">
        <v>29</v>
      </c>
    </row>
    <row r="2363" spans="1:6" x14ac:dyDescent="0.25">
      <c r="A2363" s="4" t="s">
        <v>0</v>
      </c>
      <c r="B2363" s="4" t="s">
        <v>1</v>
      </c>
      <c r="C2363" s="4" t="s">
        <v>34</v>
      </c>
      <c r="D2363" s="4">
        <v>2026</v>
      </c>
      <c r="E2363" s="4">
        <v>148182.88841923504</v>
      </c>
      <c r="F2363" s="4" t="s">
        <v>29</v>
      </c>
    </row>
    <row r="2364" spans="1:6" x14ac:dyDescent="0.25">
      <c r="A2364" s="4" t="s">
        <v>0</v>
      </c>
      <c r="B2364" s="4" t="s">
        <v>1</v>
      </c>
      <c r="C2364" s="4" t="s">
        <v>34</v>
      </c>
      <c r="D2364" s="4">
        <v>2027</v>
      </c>
      <c r="E2364" s="4">
        <v>158279.52058449667</v>
      </c>
      <c r="F2364" s="4" t="s">
        <v>29</v>
      </c>
    </row>
    <row r="2365" spans="1:6" x14ac:dyDescent="0.25">
      <c r="A2365" s="4" t="s">
        <v>0</v>
      </c>
      <c r="B2365" s="4" t="s">
        <v>1</v>
      </c>
      <c r="C2365" s="4" t="s">
        <v>34</v>
      </c>
      <c r="D2365" s="4">
        <v>2028</v>
      </c>
      <c r="E2365" s="4">
        <v>164586.39403720622</v>
      </c>
      <c r="F2365" s="4" t="s">
        <v>29</v>
      </c>
    </row>
    <row r="2366" spans="1:6" x14ac:dyDescent="0.25">
      <c r="A2366" s="4" t="s">
        <v>0</v>
      </c>
      <c r="B2366" s="4" t="s">
        <v>1</v>
      </c>
      <c r="C2366" s="4" t="s">
        <v>34</v>
      </c>
      <c r="D2366" s="4">
        <v>2029</v>
      </c>
      <c r="E2366" s="4">
        <v>171498.86556431939</v>
      </c>
      <c r="F2366" s="4" t="s">
        <v>29</v>
      </c>
    </row>
    <row r="2367" spans="1:6" x14ac:dyDescent="0.25">
      <c r="A2367" s="4" t="s">
        <v>0</v>
      </c>
      <c r="B2367" s="4" t="s">
        <v>1</v>
      </c>
      <c r="C2367" s="4" t="s">
        <v>34</v>
      </c>
      <c r="D2367" s="4">
        <v>2030</v>
      </c>
      <c r="E2367" s="4">
        <v>176541.24176947473</v>
      </c>
      <c r="F2367" s="4" t="s">
        <v>29</v>
      </c>
    </row>
    <row r="2368" spans="1:6" x14ac:dyDescent="0.25">
      <c r="A2368" s="4" t="s">
        <v>0</v>
      </c>
      <c r="B2368" s="4" t="s">
        <v>1</v>
      </c>
      <c r="C2368" s="4" t="s">
        <v>34</v>
      </c>
      <c r="D2368" s="4">
        <v>2031</v>
      </c>
      <c r="E2368" s="4">
        <v>180541.988389715</v>
      </c>
      <c r="F2368" s="4" t="s">
        <v>29</v>
      </c>
    </row>
    <row r="2369" spans="1:6" x14ac:dyDescent="0.25">
      <c r="A2369" s="4" t="s">
        <v>0</v>
      </c>
      <c r="B2369" s="4" t="s">
        <v>1</v>
      </c>
      <c r="C2369" s="4" t="s">
        <v>34</v>
      </c>
      <c r="D2369" s="4">
        <v>2032</v>
      </c>
      <c r="E2369" s="4">
        <v>184591.75862665908</v>
      </c>
      <c r="F2369" s="4" t="s">
        <v>29</v>
      </c>
    </row>
    <row r="2370" spans="1:6" x14ac:dyDescent="0.25">
      <c r="A2370" s="4" t="s">
        <v>0</v>
      </c>
      <c r="B2370" s="4" t="s">
        <v>1</v>
      </c>
      <c r="C2370" s="4" t="s">
        <v>34</v>
      </c>
      <c r="D2370" s="4">
        <v>2033</v>
      </c>
      <c r="E2370" s="4">
        <v>191308.44168159823</v>
      </c>
      <c r="F2370" s="4" t="s">
        <v>29</v>
      </c>
    </row>
    <row r="2371" spans="1:6" x14ac:dyDescent="0.25">
      <c r="A2371" s="4" t="s">
        <v>0</v>
      </c>
      <c r="B2371" s="4" t="s">
        <v>1</v>
      </c>
      <c r="C2371" s="4" t="s">
        <v>34</v>
      </c>
      <c r="D2371" s="4">
        <v>2034</v>
      </c>
      <c r="E2371" s="4">
        <v>195373.96853774282</v>
      </c>
      <c r="F2371" s="4" t="s">
        <v>29</v>
      </c>
    </row>
    <row r="2372" spans="1:6" x14ac:dyDescent="0.25">
      <c r="A2372" s="4" t="s">
        <v>0</v>
      </c>
      <c r="B2372" s="4" t="s">
        <v>1</v>
      </c>
      <c r="C2372" s="4" t="s">
        <v>34</v>
      </c>
      <c r="D2372" s="4">
        <v>2035</v>
      </c>
      <c r="E2372" s="4">
        <v>200240.79643194657</v>
      </c>
      <c r="F2372" s="4" t="s">
        <v>29</v>
      </c>
    </row>
    <row r="2373" spans="1:6" x14ac:dyDescent="0.25">
      <c r="A2373" s="4" t="s">
        <v>0</v>
      </c>
      <c r="B2373" s="4" t="s">
        <v>1</v>
      </c>
      <c r="C2373" s="4" t="s">
        <v>34</v>
      </c>
      <c r="D2373" s="4">
        <v>2036</v>
      </c>
      <c r="E2373" s="4">
        <v>205428.00478350875</v>
      </c>
      <c r="F2373" s="4" t="s">
        <v>29</v>
      </c>
    </row>
    <row r="2374" spans="1:6" x14ac:dyDescent="0.25">
      <c r="A2374" s="4" t="s">
        <v>0</v>
      </c>
      <c r="B2374" s="4" t="s">
        <v>1</v>
      </c>
      <c r="C2374" s="4" t="s">
        <v>34</v>
      </c>
      <c r="D2374" s="4">
        <v>2037</v>
      </c>
      <c r="E2374" s="4">
        <v>208931.82213707306</v>
      </c>
      <c r="F2374" s="4" t="s">
        <v>29</v>
      </c>
    </row>
    <row r="2375" spans="1:6" x14ac:dyDescent="0.25">
      <c r="A2375" s="4" t="s">
        <v>0</v>
      </c>
      <c r="B2375" s="4" t="s">
        <v>1</v>
      </c>
      <c r="C2375" s="4" t="s">
        <v>34</v>
      </c>
      <c r="D2375" s="4">
        <v>2038</v>
      </c>
      <c r="E2375" s="4">
        <v>209160.6035063219</v>
      </c>
      <c r="F2375" s="4" t="s">
        <v>29</v>
      </c>
    </row>
    <row r="2376" spans="1:6" x14ac:dyDescent="0.25">
      <c r="A2376" s="4" t="s">
        <v>0</v>
      </c>
      <c r="B2376" s="4" t="s">
        <v>1</v>
      </c>
      <c r="C2376" s="4" t="s">
        <v>34</v>
      </c>
      <c r="D2376" s="4">
        <v>2039</v>
      </c>
      <c r="E2376" s="4">
        <v>210531.61513357155</v>
      </c>
      <c r="F2376" s="4" t="s">
        <v>29</v>
      </c>
    </row>
    <row r="2377" spans="1:6" x14ac:dyDescent="0.25">
      <c r="A2377" s="4" t="s">
        <v>0</v>
      </c>
      <c r="B2377" s="4" t="s">
        <v>1</v>
      </c>
      <c r="C2377" s="4" t="s">
        <v>34</v>
      </c>
      <c r="D2377" s="4">
        <v>2040</v>
      </c>
      <c r="E2377" s="4">
        <v>210768.79175762302</v>
      </c>
      <c r="F2377" s="4" t="s">
        <v>29</v>
      </c>
    </row>
    <row r="2378" spans="1:6" x14ac:dyDescent="0.25">
      <c r="A2378" s="4" t="s">
        <v>0</v>
      </c>
      <c r="B2378" s="4" t="s">
        <v>2</v>
      </c>
      <c r="C2378" s="4" t="s">
        <v>34</v>
      </c>
      <c r="D2378" s="4">
        <v>2005</v>
      </c>
      <c r="E2378" s="4">
        <v>95714.371685317979</v>
      </c>
      <c r="F2378" s="4" t="s">
        <v>29</v>
      </c>
    </row>
    <row r="2379" spans="1:6" x14ac:dyDescent="0.25">
      <c r="A2379" s="4" t="s">
        <v>0</v>
      </c>
      <c r="B2379" s="4" t="s">
        <v>2</v>
      </c>
      <c r="C2379" s="4" t="s">
        <v>34</v>
      </c>
      <c r="D2379" s="4">
        <v>2006</v>
      </c>
      <c r="E2379" s="4">
        <v>94533.324805817247</v>
      </c>
      <c r="F2379" s="4" t="s">
        <v>29</v>
      </c>
    </row>
    <row r="2380" spans="1:6" x14ac:dyDescent="0.25">
      <c r="A2380" s="4" t="s">
        <v>0</v>
      </c>
      <c r="B2380" s="4" t="s">
        <v>2</v>
      </c>
      <c r="C2380" s="4" t="s">
        <v>34</v>
      </c>
      <c r="D2380" s="4">
        <v>2007</v>
      </c>
      <c r="E2380" s="4">
        <v>92093.948245520878</v>
      </c>
      <c r="F2380" s="4" t="s">
        <v>29</v>
      </c>
    </row>
    <row r="2381" spans="1:6" x14ac:dyDescent="0.25">
      <c r="A2381" s="4" t="s">
        <v>0</v>
      </c>
      <c r="B2381" s="4" t="s">
        <v>2</v>
      </c>
      <c r="C2381" s="4" t="s">
        <v>34</v>
      </c>
      <c r="D2381" s="4">
        <v>2008</v>
      </c>
      <c r="E2381" s="4">
        <v>87985.541330248874</v>
      </c>
      <c r="F2381" s="4" t="s">
        <v>29</v>
      </c>
    </row>
    <row r="2382" spans="1:6" x14ac:dyDescent="0.25">
      <c r="A2382" s="4" t="s">
        <v>0</v>
      </c>
      <c r="B2382" s="4" t="s">
        <v>2</v>
      </c>
      <c r="C2382" s="4" t="s">
        <v>34</v>
      </c>
      <c r="D2382" s="4">
        <v>2009</v>
      </c>
      <c r="E2382" s="4">
        <v>80184.157122495002</v>
      </c>
      <c r="F2382" s="4" t="s">
        <v>29</v>
      </c>
    </row>
    <row r="2383" spans="1:6" x14ac:dyDescent="0.25">
      <c r="A2383" s="4" t="s">
        <v>0</v>
      </c>
      <c r="B2383" s="4" t="s">
        <v>2</v>
      </c>
      <c r="C2383" s="4" t="s">
        <v>34</v>
      </c>
      <c r="D2383" s="4">
        <v>2010</v>
      </c>
      <c r="E2383" s="4">
        <v>79544.775663474953</v>
      </c>
      <c r="F2383" s="4" t="s">
        <v>29</v>
      </c>
    </row>
    <row r="2384" spans="1:6" x14ac:dyDescent="0.25">
      <c r="A2384" s="4" t="s">
        <v>0</v>
      </c>
      <c r="B2384" s="4" t="s">
        <v>2</v>
      </c>
      <c r="C2384" s="4" t="s">
        <v>34</v>
      </c>
      <c r="D2384" s="4">
        <v>2011</v>
      </c>
      <c r="E2384" s="4">
        <v>79770.543291508366</v>
      </c>
      <c r="F2384" s="4" t="s">
        <v>29</v>
      </c>
    </row>
    <row r="2385" spans="1:6" x14ac:dyDescent="0.25">
      <c r="A2385" s="4" t="s">
        <v>0</v>
      </c>
      <c r="B2385" s="4" t="s">
        <v>2</v>
      </c>
      <c r="C2385" s="4" t="s">
        <v>34</v>
      </c>
      <c r="D2385" s="4">
        <v>2012</v>
      </c>
      <c r="E2385" s="4">
        <v>86935.674939329067</v>
      </c>
      <c r="F2385" s="4" t="s">
        <v>29</v>
      </c>
    </row>
    <row r="2386" spans="1:6" x14ac:dyDescent="0.25">
      <c r="A2386" s="4" t="s">
        <v>0</v>
      </c>
      <c r="B2386" s="4" t="s">
        <v>2</v>
      </c>
      <c r="C2386" s="4" t="s">
        <v>34</v>
      </c>
      <c r="D2386" s="4">
        <v>2013</v>
      </c>
      <c r="E2386" s="4">
        <v>89225.079665544938</v>
      </c>
      <c r="F2386" s="4" t="s">
        <v>29</v>
      </c>
    </row>
    <row r="2387" spans="1:6" x14ac:dyDescent="0.25">
      <c r="A2387" s="4" t="s">
        <v>0</v>
      </c>
      <c r="B2387" s="4" t="s">
        <v>2</v>
      </c>
      <c r="C2387" s="4" t="s">
        <v>34</v>
      </c>
      <c r="D2387" s="4">
        <v>2014</v>
      </c>
      <c r="E2387" s="4">
        <v>98750.054845239487</v>
      </c>
      <c r="F2387" s="4" t="s">
        <v>29</v>
      </c>
    </row>
    <row r="2388" spans="1:6" x14ac:dyDescent="0.25">
      <c r="A2388" s="4" t="s">
        <v>0</v>
      </c>
      <c r="B2388" s="4" t="s">
        <v>2</v>
      </c>
      <c r="C2388" s="4" t="s">
        <v>34</v>
      </c>
      <c r="D2388" s="4">
        <v>2015</v>
      </c>
      <c r="E2388" s="4">
        <v>86709.106279142259</v>
      </c>
      <c r="F2388" s="4" t="s">
        <v>29</v>
      </c>
    </row>
    <row r="2389" spans="1:6" x14ac:dyDescent="0.25">
      <c r="A2389" s="4" t="s">
        <v>0</v>
      </c>
      <c r="B2389" s="4" t="s">
        <v>2</v>
      </c>
      <c r="C2389" s="4" t="s">
        <v>34</v>
      </c>
      <c r="D2389" s="4">
        <v>2016</v>
      </c>
      <c r="E2389" s="4">
        <v>81282.378465617643</v>
      </c>
      <c r="F2389" s="4" t="s">
        <v>29</v>
      </c>
    </row>
    <row r="2390" spans="1:6" x14ac:dyDescent="0.25">
      <c r="A2390" s="4" t="s">
        <v>0</v>
      </c>
      <c r="B2390" s="4" t="s">
        <v>2</v>
      </c>
      <c r="C2390" s="4" t="s">
        <v>34</v>
      </c>
      <c r="D2390" s="4">
        <v>2017</v>
      </c>
      <c r="E2390" s="4">
        <v>85919.878422883514</v>
      </c>
      <c r="F2390" s="4" t="s">
        <v>29</v>
      </c>
    </row>
    <row r="2391" spans="1:6" x14ac:dyDescent="0.25">
      <c r="A2391" s="4" t="s">
        <v>0</v>
      </c>
      <c r="B2391" s="4" t="s">
        <v>2</v>
      </c>
      <c r="C2391" s="4" t="s">
        <v>34</v>
      </c>
      <c r="D2391" s="4">
        <v>2018</v>
      </c>
      <c r="E2391" s="4">
        <v>96369.73646591611</v>
      </c>
      <c r="F2391" s="4" t="s">
        <v>29</v>
      </c>
    </row>
    <row r="2392" spans="1:6" x14ac:dyDescent="0.25">
      <c r="A2392" s="4" t="s">
        <v>0</v>
      </c>
      <c r="B2392" s="4" t="s">
        <v>2</v>
      </c>
      <c r="C2392" s="4" t="s">
        <v>34</v>
      </c>
      <c r="D2392" s="4">
        <v>2019</v>
      </c>
      <c r="E2392" s="4">
        <v>105022.61164423369</v>
      </c>
      <c r="F2392" s="4" t="s">
        <v>29</v>
      </c>
    </row>
    <row r="2393" spans="1:6" x14ac:dyDescent="0.25">
      <c r="A2393" s="4" t="s">
        <v>0</v>
      </c>
      <c r="B2393" s="4" t="s">
        <v>2</v>
      </c>
      <c r="C2393" s="4" t="s">
        <v>34</v>
      </c>
      <c r="D2393" s="4">
        <v>2020</v>
      </c>
      <c r="E2393" s="4">
        <v>115855.94313284609</v>
      </c>
      <c r="F2393" s="4" t="s">
        <v>29</v>
      </c>
    </row>
    <row r="2394" spans="1:6" x14ac:dyDescent="0.25">
      <c r="A2394" s="4" t="s">
        <v>0</v>
      </c>
      <c r="B2394" s="4" t="s">
        <v>2</v>
      </c>
      <c r="C2394" s="4" t="s">
        <v>34</v>
      </c>
      <c r="D2394" s="4">
        <v>2021</v>
      </c>
      <c r="E2394" s="4">
        <v>124738.39194470838</v>
      </c>
      <c r="F2394" s="4" t="s">
        <v>29</v>
      </c>
    </row>
    <row r="2395" spans="1:6" x14ac:dyDescent="0.25">
      <c r="A2395" s="4" t="s">
        <v>0</v>
      </c>
      <c r="B2395" s="4" t="s">
        <v>2</v>
      </c>
      <c r="C2395" s="4" t="s">
        <v>34</v>
      </c>
      <c r="D2395" s="4">
        <v>2022</v>
      </c>
      <c r="E2395" s="4">
        <v>131534.73498324875</v>
      </c>
      <c r="F2395" s="4" t="s">
        <v>29</v>
      </c>
    </row>
    <row r="2396" spans="1:6" x14ac:dyDescent="0.25">
      <c r="A2396" s="4" t="s">
        <v>0</v>
      </c>
      <c r="B2396" s="4" t="s">
        <v>2</v>
      </c>
      <c r="C2396" s="4" t="s">
        <v>34</v>
      </c>
      <c r="D2396" s="4">
        <v>2023</v>
      </c>
      <c r="E2396" s="4">
        <v>139946.6522674484</v>
      </c>
      <c r="F2396" s="4" t="s">
        <v>29</v>
      </c>
    </row>
    <row r="2397" spans="1:6" x14ac:dyDescent="0.25">
      <c r="A2397" s="4" t="s">
        <v>0</v>
      </c>
      <c r="B2397" s="4" t="s">
        <v>2</v>
      </c>
      <c r="C2397" s="4" t="s">
        <v>34</v>
      </c>
      <c r="D2397" s="4">
        <v>2024</v>
      </c>
      <c r="E2397" s="4">
        <v>149138.02407883841</v>
      </c>
      <c r="F2397" s="4" t="s">
        <v>29</v>
      </c>
    </row>
    <row r="2398" spans="1:6" x14ac:dyDescent="0.25">
      <c r="A2398" s="4" t="s">
        <v>0</v>
      </c>
      <c r="B2398" s="4" t="s">
        <v>2</v>
      </c>
      <c r="C2398" s="4" t="s">
        <v>34</v>
      </c>
      <c r="D2398" s="4">
        <v>2025</v>
      </c>
      <c r="E2398" s="4">
        <v>157695.1334625005</v>
      </c>
      <c r="F2398" s="4" t="s">
        <v>29</v>
      </c>
    </row>
    <row r="2399" spans="1:6" x14ac:dyDescent="0.25">
      <c r="A2399" s="4" t="s">
        <v>0</v>
      </c>
      <c r="B2399" s="4" t="s">
        <v>2</v>
      </c>
      <c r="C2399" s="4" t="s">
        <v>34</v>
      </c>
      <c r="D2399" s="4">
        <v>2026</v>
      </c>
      <c r="E2399" s="4">
        <v>163705.75745292861</v>
      </c>
      <c r="F2399" s="4" t="s">
        <v>29</v>
      </c>
    </row>
    <row r="2400" spans="1:6" x14ac:dyDescent="0.25">
      <c r="A2400" s="4" t="s">
        <v>0</v>
      </c>
      <c r="B2400" s="4" t="s">
        <v>2</v>
      </c>
      <c r="C2400" s="4" t="s">
        <v>34</v>
      </c>
      <c r="D2400" s="4">
        <v>2027</v>
      </c>
      <c r="E2400" s="4">
        <v>169089.55745304364</v>
      </c>
      <c r="F2400" s="4" t="s">
        <v>29</v>
      </c>
    </row>
    <row r="2401" spans="1:6" x14ac:dyDescent="0.25">
      <c r="A2401" s="4" t="s">
        <v>0</v>
      </c>
      <c r="B2401" s="4" t="s">
        <v>2</v>
      </c>
      <c r="C2401" s="4" t="s">
        <v>34</v>
      </c>
      <c r="D2401" s="4">
        <v>2028</v>
      </c>
      <c r="E2401" s="4">
        <v>173183.52844842049</v>
      </c>
      <c r="F2401" s="4" t="s">
        <v>29</v>
      </c>
    </row>
    <row r="2402" spans="1:6" x14ac:dyDescent="0.25">
      <c r="A2402" s="4" t="s">
        <v>0</v>
      </c>
      <c r="B2402" s="4" t="s">
        <v>2</v>
      </c>
      <c r="C2402" s="4" t="s">
        <v>34</v>
      </c>
      <c r="D2402" s="4">
        <v>2029</v>
      </c>
      <c r="E2402" s="4">
        <v>176888.20270259111</v>
      </c>
      <c r="F2402" s="4" t="s">
        <v>29</v>
      </c>
    </row>
    <row r="2403" spans="1:6" x14ac:dyDescent="0.25">
      <c r="A2403" s="4" t="s">
        <v>0</v>
      </c>
      <c r="B2403" s="4" t="s">
        <v>2</v>
      </c>
      <c r="C2403" s="4" t="s">
        <v>34</v>
      </c>
      <c r="D2403" s="4">
        <v>2030</v>
      </c>
      <c r="E2403" s="4">
        <v>180703.15096444404</v>
      </c>
      <c r="F2403" s="4" t="s">
        <v>29</v>
      </c>
    </row>
    <row r="2404" spans="1:6" x14ac:dyDescent="0.25">
      <c r="A2404" s="4" t="s">
        <v>0</v>
      </c>
      <c r="B2404" s="4" t="s">
        <v>2</v>
      </c>
      <c r="C2404" s="4" t="s">
        <v>34</v>
      </c>
      <c r="D2404" s="4">
        <v>2031</v>
      </c>
      <c r="E2404" s="4">
        <v>184731.54919326631</v>
      </c>
      <c r="F2404" s="4" t="s">
        <v>29</v>
      </c>
    </row>
    <row r="2405" spans="1:6" x14ac:dyDescent="0.25">
      <c r="A2405" s="4" t="s">
        <v>0</v>
      </c>
      <c r="B2405" s="4" t="s">
        <v>2</v>
      </c>
      <c r="C2405" s="4" t="s">
        <v>34</v>
      </c>
      <c r="D2405" s="4">
        <v>2032</v>
      </c>
      <c r="E2405" s="4">
        <v>188812.46103040967</v>
      </c>
      <c r="F2405" s="4" t="s">
        <v>29</v>
      </c>
    </row>
    <row r="2406" spans="1:6" x14ac:dyDescent="0.25">
      <c r="A2406" s="4" t="s">
        <v>0</v>
      </c>
      <c r="B2406" s="4" t="s">
        <v>2</v>
      </c>
      <c r="C2406" s="4" t="s">
        <v>34</v>
      </c>
      <c r="D2406" s="4">
        <v>2033</v>
      </c>
      <c r="E2406" s="4">
        <v>192049.39641870136</v>
      </c>
      <c r="F2406" s="4" t="s">
        <v>29</v>
      </c>
    </row>
    <row r="2407" spans="1:6" x14ac:dyDescent="0.25">
      <c r="A2407" s="4" t="s">
        <v>0</v>
      </c>
      <c r="B2407" s="4" t="s">
        <v>2</v>
      </c>
      <c r="C2407" s="4" t="s">
        <v>34</v>
      </c>
      <c r="D2407" s="4">
        <v>2034</v>
      </c>
      <c r="E2407" s="4">
        <v>195009.22684353092</v>
      </c>
      <c r="F2407" s="4" t="s">
        <v>29</v>
      </c>
    </row>
    <row r="2408" spans="1:6" x14ac:dyDescent="0.25">
      <c r="A2408" s="4" t="s">
        <v>0</v>
      </c>
      <c r="B2408" s="4" t="s">
        <v>2</v>
      </c>
      <c r="C2408" s="4" t="s">
        <v>34</v>
      </c>
      <c r="D2408" s="4">
        <v>2035</v>
      </c>
      <c r="E2408" s="4">
        <v>198066.76774403217</v>
      </c>
      <c r="F2408" s="4" t="s">
        <v>29</v>
      </c>
    </row>
    <row r="2409" spans="1:6" x14ac:dyDescent="0.25">
      <c r="A2409" s="4" t="s">
        <v>0</v>
      </c>
      <c r="B2409" s="4" t="s">
        <v>2</v>
      </c>
      <c r="C2409" s="4" t="s">
        <v>34</v>
      </c>
      <c r="D2409" s="4">
        <v>2036</v>
      </c>
      <c r="E2409" s="4">
        <v>200484.50987379489</v>
      </c>
      <c r="F2409" s="4" t="s">
        <v>29</v>
      </c>
    </row>
    <row r="2410" spans="1:6" x14ac:dyDescent="0.25">
      <c r="A2410" s="4" t="s">
        <v>0</v>
      </c>
      <c r="B2410" s="4" t="s">
        <v>2</v>
      </c>
      <c r="C2410" s="4" t="s">
        <v>34</v>
      </c>
      <c r="D2410" s="4">
        <v>2037</v>
      </c>
      <c r="E2410" s="4">
        <v>202944.78436252722</v>
      </c>
      <c r="F2410" s="4" t="s">
        <v>29</v>
      </c>
    </row>
    <row r="2411" spans="1:6" x14ac:dyDescent="0.25">
      <c r="A2411" s="4" t="s">
        <v>0</v>
      </c>
      <c r="B2411" s="4" t="s">
        <v>2</v>
      </c>
      <c r="C2411" s="4" t="s">
        <v>34</v>
      </c>
      <c r="D2411" s="4">
        <v>2038</v>
      </c>
      <c r="E2411" s="4">
        <v>204226.94947267708</v>
      </c>
      <c r="F2411" s="4" t="s">
        <v>29</v>
      </c>
    </row>
    <row r="2412" spans="1:6" x14ac:dyDescent="0.25">
      <c r="A2412" s="4" t="s">
        <v>0</v>
      </c>
      <c r="B2412" s="4" t="s">
        <v>2</v>
      </c>
      <c r="C2412" s="4" t="s">
        <v>34</v>
      </c>
      <c r="D2412" s="4">
        <v>2039</v>
      </c>
      <c r="E2412" s="4">
        <v>204970.16999945277</v>
      </c>
      <c r="F2412" s="4" t="s">
        <v>29</v>
      </c>
    </row>
    <row r="2413" spans="1:6" x14ac:dyDescent="0.25">
      <c r="A2413" s="4" t="s">
        <v>0</v>
      </c>
      <c r="B2413" s="4" t="s">
        <v>2</v>
      </c>
      <c r="C2413" s="4" t="s">
        <v>34</v>
      </c>
      <c r="D2413" s="4">
        <v>2040</v>
      </c>
      <c r="E2413" s="4">
        <v>205274.69302214662</v>
      </c>
      <c r="F2413" s="4" t="s">
        <v>29</v>
      </c>
    </row>
    <row r="2414" spans="1:6" x14ac:dyDescent="0.25">
      <c r="A2414" s="4" t="s">
        <v>0</v>
      </c>
      <c r="B2414" s="4" t="s">
        <v>3</v>
      </c>
      <c r="C2414" s="4" t="s">
        <v>34</v>
      </c>
      <c r="D2414" s="4">
        <v>2005</v>
      </c>
      <c r="E2414" s="4">
        <v>24140</v>
      </c>
      <c r="F2414" s="4" t="s">
        <v>29</v>
      </c>
    </row>
    <row r="2415" spans="1:6" x14ac:dyDescent="0.25">
      <c r="A2415" s="4" t="s">
        <v>0</v>
      </c>
      <c r="B2415" s="4" t="s">
        <v>3</v>
      </c>
      <c r="C2415" s="4" t="s">
        <v>34</v>
      </c>
      <c r="D2415" s="4">
        <v>2006</v>
      </c>
      <c r="E2415" s="4">
        <v>24810</v>
      </c>
      <c r="F2415" s="4" t="s">
        <v>29</v>
      </c>
    </row>
    <row r="2416" spans="1:6" x14ac:dyDescent="0.25">
      <c r="A2416" s="4" t="s">
        <v>0</v>
      </c>
      <c r="B2416" s="4" t="s">
        <v>3</v>
      </c>
      <c r="C2416" s="4" t="s">
        <v>34</v>
      </c>
      <c r="D2416" s="4">
        <v>2007</v>
      </c>
      <c r="E2416" s="4">
        <v>24540</v>
      </c>
      <c r="F2416" s="4" t="s">
        <v>29</v>
      </c>
    </row>
    <row r="2417" spans="1:6" x14ac:dyDescent="0.25">
      <c r="A2417" s="4" t="s">
        <v>0</v>
      </c>
      <c r="B2417" s="4" t="s">
        <v>3</v>
      </c>
      <c r="C2417" s="4" t="s">
        <v>34</v>
      </c>
      <c r="D2417" s="4">
        <v>2008</v>
      </c>
      <c r="E2417" s="4">
        <v>23110</v>
      </c>
      <c r="F2417" s="4" t="s">
        <v>29</v>
      </c>
    </row>
    <row r="2418" spans="1:6" x14ac:dyDescent="0.25">
      <c r="A2418" s="4" t="s">
        <v>0</v>
      </c>
      <c r="B2418" s="4" t="s">
        <v>3</v>
      </c>
      <c r="C2418" s="4" t="s">
        <v>34</v>
      </c>
      <c r="D2418" s="4">
        <v>2009</v>
      </c>
      <c r="E2418" s="4">
        <v>21400</v>
      </c>
      <c r="F2418" s="4" t="s">
        <v>29</v>
      </c>
    </row>
    <row r="2419" spans="1:6" x14ac:dyDescent="0.25">
      <c r="A2419" s="4" t="s">
        <v>0</v>
      </c>
      <c r="B2419" s="4" t="s">
        <v>3</v>
      </c>
      <c r="C2419" s="4" t="s">
        <v>34</v>
      </c>
      <c r="D2419" s="4">
        <v>2010</v>
      </c>
      <c r="E2419" s="4">
        <v>20920</v>
      </c>
      <c r="F2419" s="4" t="s">
        <v>29</v>
      </c>
    </row>
    <row r="2420" spans="1:6" x14ac:dyDescent="0.25">
      <c r="A2420" s="4" t="s">
        <v>0</v>
      </c>
      <c r="B2420" s="4" t="s">
        <v>3</v>
      </c>
      <c r="C2420" s="4" t="s">
        <v>34</v>
      </c>
      <c r="D2420" s="4">
        <v>2011</v>
      </c>
      <c r="E2420" s="4">
        <v>20460</v>
      </c>
      <c r="F2420" s="4" t="s">
        <v>29</v>
      </c>
    </row>
    <row r="2421" spans="1:6" x14ac:dyDescent="0.25">
      <c r="A2421" s="4" t="s">
        <v>0</v>
      </c>
      <c r="B2421" s="4" t="s">
        <v>3</v>
      </c>
      <c r="C2421" s="4" t="s">
        <v>34</v>
      </c>
      <c r="D2421" s="4">
        <v>2012</v>
      </c>
      <c r="E2421" s="4">
        <v>20000</v>
      </c>
      <c r="F2421" s="4" t="s">
        <v>29</v>
      </c>
    </row>
    <row r="2422" spans="1:6" x14ac:dyDescent="0.25">
      <c r="A2422" s="4" t="s">
        <v>0</v>
      </c>
      <c r="B2422" s="4" t="s">
        <v>3</v>
      </c>
      <c r="C2422" s="4" t="s">
        <v>34</v>
      </c>
      <c r="D2422" s="4">
        <v>2013</v>
      </c>
      <c r="E2422" s="4">
        <v>21050</v>
      </c>
      <c r="F2422" s="4" t="s">
        <v>29</v>
      </c>
    </row>
    <row r="2423" spans="1:6" x14ac:dyDescent="0.25">
      <c r="A2423" s="4" t="s">
        <v>0</v>
      </c>
      <c r="B2423" s="4" t="s">
        <v>3</v>
      </c>
      <c r="C2423" s="4" t="s">
        <v>34</v>
      </c>
      <c r="D2423" s="4">
        <v>2014</v>
      </c>
      <c r="E2423" s="4">
        <v>24800</v>
      </c>
      <c r="F2423" s="4" t="s">
        <v>29</v>
      </c>
    </row>
    <row r="2424" spans="1:6" x14ac:dyDescent="0.25">
      <c r="A2424" s="4" t="s">
        <v>0</v>
      </c>
      <c r="B2424" s="4" t="s">
        <v>3</v>
      </c>
      <c r="C2424" s="4" t="s">
        <v>34</v>
      </c>
      <c r="D2424" s="4">
        <v>2015</v>
      </c>
      <c r="E2424" s="4">
        <v>30699.223013698629</v>
      </c>
      <c r="F2424" s="4" t="s">
        <v>29</v>
      </c>
    </row>
    <row r="2425" spans="1:6" x14ac:dyDescent="0.25">
      <c r="A2425" s="4" t="s">
        <v>0</v>
      </c>
      <c r="B2425" s="4" t="s">
        <v>3</v>
      </c>
      <c r="C2425" s="4" t="s">
        <v>34</v>
      </c>
      <c r="D2425" s="4">
        <v>2016</v>
      </c>
      <c r="E2425" s="4">
        <v>32409.198894809721</v>
      </c>
      <c r="F2425" s="4" t="s">
        <v>29</v>
      </c>
    </row>
    <row r="2426" spans="1:6" x14ac:dyDescent="0.25">
      <c r="A2426" s="4" t="s">
        <v>0</v>
      </c>
      <c r="B2426" s="4" t="s">
        <v>3</v>
      </c>
      <c r="C2426" s="4" t="s">
        <v>34</v>
      </c>
      <c r="D2426" s="4">
        <v>2017</v>
      </c>
      <c r="E2426" s="4">
        <v>39484.485890410957</v>
      </c>
      <c r="F2426" s="4" t="s">
        <v>29</v>
      </c>
    </row>
    <row r="2427" spans="1:6" x14ac:dyDescent="0.25">
      <c r="A2427" s="4" t="s">
        <v>0</v>
      </c>
      <c r="B2427" s="4" t="s">
        <v>3</v>
      </c>
      <c r="C2427" s="4" t="s">
        <v>34</v>
      </c>
      <c r="D2427" s="4">
        <v>2018</v>
      </c>
      <c r="E2427" s="4">
        <v>40589.192108215597</v>
      </c>
      <c r="F2427" s="4" t="s">
        <v>29</v>
      </c>
    </row>
    <row r="2428" spans="1:6" x14ac:dyDescent="0.25">
      <c r="A2428" s="4" t="s">
        <v>0</v>
      </c>
      <c r="B2428" s="4" t="s">
        <v>3</v>
      </c>
      <c r="C2428" s="4" t="s">
        <v>34</v>
      </c>
      <c r="D2428" s="4">
        <v>2019</v>
      </c>
      <c r="E2428" s="4">
        <v>40724.696288375359</v>
      </c>
      <c r="F2428" s="4" t="s">
        <v>29</v>
      </c>
    </row>
    <row r="2429" spans="1:6" x14ac:dyDescent="0.25">
      <c r="A2429" s="4" t="s">
        <v>0</v>
      </c>
      <c r="B2429" s="4" t="s">
        <v>3</v>
      </c>
      <c r="C2429" s="4" t="s">
        <v>34</v>
      </c>
      <c r="D2429" s="4">
        <v>2020</v>
      </c>
      <c r="E2429" s="4">
        <v>41217.173677214261</v>
      </c>
      <c r="F2429" s="4" t="s">
        <v>29</v>
      </c>
    </row>
    <row r="2430" spans="1:6" x14ac:dyDescent="0.25">
      <c r="A2430" s="4" t="s">
        <v>0</v>
      </c>
      <c r="B2430" s="4" t="s">
        <v>3</v>
      </c>
      <c r="C2430" s="4" t="s">
        <v>34</v>
      </c>
      <c r="D2430" s="4">
        <v>2021</v>
      </c>
      <c r="E2430" s="4">
        <v>41820.105848391388</v>
      </c>
      <c r="F2430" s="4" t="s">
        <v>29</v>
      </c>
    </row>
    <row r="2431" spans="1:6" x14ac:dyDescent="0.25">
      <c r="A2431" s="4" t="s">
        <v>0</v>
      </c>
      <c r="B2431" s="4" t="s">
        <v>3</v>
      </c>
      <c r="C2431" s="4" t="s">
        <v>34</v>
      </c>
      <c r="D2431" s="4">
        <v>2022</v>
      </c>
      <c r="E2431" s="4">
        <v>42328.063992321899</v>
      </c>
      <c r="F2431" s="4" t="s">
        <v>29</v>
      </c>
    </row>
    <row r="2432" spans="1:6" x14ac:dyDescent="0.25">
      <c r="A2432" s="4" t="s">
        <v>0</v>
      </c>
      <c r="B2432" s="4" t="s">
        <v>3</v>
      </c>
      <c r="C2432" s="4" t="s">
        <v>34</v>
      </c>
      <c r="D2432" s="4">
        <v>2023</v>
      </c>
      <c r="E2432" s="4">
        <v>43311.418019616394</v>
      </c>
      <c r="F2432" s="4" t="s">
        <v>29</v>
      </c>
    </row>
    <row r="2433" spans="1:6" x14ac:dyDescent="0.25">
      <c r="A2433" s="4" t="s">
        <v>0</v>
      </c>
      <c r="B2433" s="4" t="s">
        <v>3</v>
      </c>
      <c r="C2433" s="4" t="s">
        <v>34</v>
      </c>
      <c r="D2433" s="4">
        <v>2024</v>
      </c>
      <c r="E2433" s="4">
        <v>44620.318907746747</v>
      </c>
      <c r="F2433" s="4" t="s">
        <v>29</v>
      </c>
    </row>
    <row r="2434" spans="1:6" x14ac:dyDescent="0.25">
      <c r="A2434" s="4" t="s">
        <v>0</v>
      </c>
      <c r="B2434" s="4" t="s">
        <v>3</v>
      </c>
      <c r="C2434" s="4" t="s">
        <v>34</v>
      </c>
      <c r="D2434" s="4">
        <v>2025</v>
      </c>
      <c r="E2434" s="4">
        <v>46256.267912255978</v>
      </c>
      <c r="F2434" s="4" t="s">
        <v>29</v>
      </c>
    </row>
    <row r="2435" spans="1:6" x14ac:dyDescent="0.25">
      <c r="A2435" s="4" t="s">
        <v>0</v>
      </c>
      <c r="B2435" s="4" t="s">
        <v>3</v>
      </c>
      <c r="C2435" s="4" t="s">
        <v>34</v>
      </c>
      <c r="D2435" s="4">
        <v>2026</v>
      </c>
      <c r="E2435" s="4">
        <v>48112.051521013447</v>
      </c>
      <c r="F2435" s="4" t="s">
        <v>29</v>
      </c>
    </row>
    <row r="2436" spans="1:6" x14ac:dyDescent="0.25">
      <c r="A2436" s="4" t="s">
        <v>0</v>
      </c>
      <c r="B2436" s="4" t="s">
        <v>3</v>
      </c>
      <c r="C2436" s="4" t="s">
        <v>34</v>
      </c>
      <c r="D2436" s="4">
        <v>2027</v>
      </c>
      <c r="E2436" s="4">
        <v>50104.993653582947</v>
      </c>
      <c r="F2436" s="4" t="s">
        <v>29</v>
      </c>
    </row>
    <row r="2437" spans="1:6" x14ac:dyDescent="0.25">
      <c r="A2437" s="4" t="s">
        <v>0</v>
      </c>
      <c r="B2437" s="4" t="s">
        <v>3</v>
      </c>
      <c r="C2437" s="4" t="s">
        <v>34</v>
      </c>
      <c r="D2437" s="4">
        <v>2028</v>
      </c>
      <c r="E2437" s="4">
        <v>52206.563828087295</v>
      </c>
      <c r="F2437" s="4" t="s">
        <v>29</v>
      </c>
    </row>
    <row r="2438" spans="1:6" x14ac:dyDescent="0.25">
      <c r="A2438" s="4" t="s">
        <v>0</v>
      </c>
      <c r="B2438" s="4" t="s">
        <v>3</v>
      </c>
      <c r="C2438" s="4" t="s">
        <v>34</v>
      </c>
      <c r="D2438" s="4">
        <v>2029</v>
      </c>
      <c r="E2438" s="4">
        <v>54384.835429952669</v>
      </c>
      <c r="F2438" s="4" t="s">
        <v>29</v>
      </c>
    </row>
    <row r="2439" spans="1:6" x14ac:dyDescent="0.25">
      <c r="A2439" s="4" t="s">
        <v>0</v>
      </c>
      <c r="B2439" s="4" t="s">
        <v>3</v>
      </c>
      <c r="C2439" s="4" t="s">
        <v>34</v>
      </c>
      <c r="D2439" s="4">
        <v>2030</v>
      </c>
      <c r="E2439" s="4">
        <v>56750.877610585339</v>
      </c>
      <c r="F2439" s="4" t="s">
        <v>29</v>
      </c>
    </row>
    <row r="2440" spans="1:6" x14ac:dyDescent="0.25">
      <c r="A2440" s="4" t="s">
        <v>0</v>
      </c>
      <c r="B2440" s="4" t="s">
        <v>3</v>
      </c>
      <c r="C2440" s="4" t="s">
        <v>34</v>
      </c>
      <c r="D2440" s="4">
        <v>2031</v>
      </c>
      <c r="E2440" s="4">
        <v>59308.18808437376</v>
      </c>
      <c r="F2440" s="4" t="s">
        <v>29</v>
      </c>
    </row>
    <row r="2441" spans="1:6" x14ac:dyDescent="0.25">
      <c r="A2441" s="4" t="s">
        <v>0</v>
      </c>
      <c r="B2441" s="4" t="s">
        <v>3</v>
      </c>
      <c r="C2441" s="4" t="s">
        <v>34</v>
      </c>
      <c r="D2441" s="4">
        <v>2032</v>
      </c>
      <c r="E2441" s="4">
        <v>61927.85626562564</v>
      </c>
      <c r="F2441" s="4" t="s">
        <v>29</v>
      </c>
    </row>
    <row r="2442" spans="1:6" x14ac:dyDescent="0.25">
      <c r="A2442" s="4" t="s">
        <v>0</v>
      </c>
      <c r="B2442" s="4" t="s">
        <v>3</v>
      </c>
      <c r="C2442" s="4" t="s">
        <v>34</v>
      </c>
      <c r="D2442" s="4">
        <v>2033</v>
      </c>
      <c r="E2442" s="4">
        <v>64639.735242906885</v>
      </c>
      <c r="F2442" s="4" t="s">
        <v>29</v>
      </c>
    </row>
    <row r="2443" spans="1:6" x14ac:dyDescent="0.25">
      <c r="A2443" s="4" t="s">
        <v>0</v>
      </c>
      <c r="B2443" s="4" t="s">
        <v>3</v>
      </c>
      <c r="C2443" s="4" t="s">
        <v>34</v>
      </c>
      <c r="D2443" s="4">
        <v>2034</v>
      </c>
      <c r="E2443" s="4">
        <v>67499.322789926373</v>
      </c>
      <c r="F2443" s="4" t="s">
        <v>29</v>
      </c>
    </row>
    <row r="2444" spans="1:6" x14ac:dyDescent="0.25">
      <c r="A2444" s="4" t="s">
        <v>0</v>
      </c>
      <c r="B2444" s="4" t="s">
        <v>3</v>
      </c>
      <c r="C2444" s="4" t="s">
        <v>34</v>
      </c>
      <c r="D2444" s="4">
        <v>2035</v>
      </c>
      <c r="E2444" s="4">
        <v>70496.739642814675</v>
      </c>
      <c r="F2444" s="4" t="s">
        <v>29</v>
      </c>
    </row>
    <row r="2445" spans="1:6" x14ac:dyDescent="0.25">
      <c r="A2445" s="4" t="s">
        <v>0</v>
      </c>
      <c r="B2445" s="4" t="s">
        <v>3</v>
      </c>
      <c r="C2445" s="4" t="s">
        <v>34</v>
      </c>
      <c r="D2445" s="4">
        <v>2036</v>
      </c>
      <c r="E2445" s="4">
        <v>73630.816962372191</v>
      </c>
      <c r="F2445" s="4" t="s">
        <v>29</v>
      </c>
    </row>
    <row r="2446" spans="1:6" x14ac:dyDescent="0.25">
      <c r="A2446" s="4" t="s">
        <v>0</v>
      </c>
      <c r="B2446" s="4" t="s">
        <v>3</v>
      </c>
      <c r="C2446" s="4" t="s">
        <v>34</v>
      </c>
      <c r="D2446" s="4">
        <v>2037</v>
      </c>
      <c r="E2446" s="4">
        <v>76921.663567396812</v>
      </c>
      <c r="F2446" s="4" t="s">
        <v>29</v>
      </c>
    </row>
    <row r="2447" spans="1:6" x14ac:dyDescent="0.25">
      <c r="A2447" s="4" t="s">
        <v>0</v>
      </c>
      <c r="B2447" s="4" t="s">
        <v>3</v>
      </c>
      <c r="C2447" s="4" t="s">
        <v>34</v>
      </c>
      <c r="D2447" s="4">
        <v>2038</v>
      </c>
      <c r="E2447" s="4">
        <v>80386.25999701304</v>
      </c>
      <c r="F2447" s="4" t="s">
        <v>29</v>
      </c>
    </row>
    <row r="2448" spans="1:6" x14ac:dyDescent="0.25">
      <c r="A2448" s="4" t="s">
        <v>0</v>
      </c>
      <c r="B2448" s="4" t="s">
        <v>3</v>
      </c>
      <c r="C2448" s="4" t="s">
        <v>34</v>
      </c>
      <c r="D2448" s="4">
        <v>2039</v>
      </c>
      <c r="E2448" s="4">
        <v>83972.05758529884</v>
      </c>
      <c r="F2448" s="4" t="s">
        <v>29</v>
      </c>
    </row>
    <row r="2449" spans="1:6" x14ac:dyDescent="0.25">
      <c r="A2449" s="4" t="s">
        <v>0</v>
      </c>
      <c r="B2449" s="4" t="s">
        <v>3</v>
      </c>
      <c r="C2449" s="4" t="s">
        <v>34</v>
      </c>
      <c r="D2449" s="4">
        <v>2040</v>
      </c>
      <c r="E2449" s="4">
        <v>87669.072206648576</v>
      </c>
      <c r="F2449" s="4" t="s">
        <v>29</v>
      </c>
    </row>
    <row r="2450" spans="1:6" x14ac:dyDescent="0.25">
      <c r="A2450" s="4" t="s">
        <v>0</v>
      </c>
      <c r="B2450" s="4" t="s">
        <v>4</v>
      </c>
      <c r="C2450" s="4" t="s">
        <v>34</v>
      </c>
      <c r="D2450" s="4">
        <v>2005</v>
      </c>
      <c r="E2450" s="4">
        <v>2090</v>
      </c>
      <c r="F2450" s="4" t="s">
        <v>29</v>
      </c>
    </row>
    <row r="2451" spans="1:6" x14ac:dyDescent="0.25">
      <c r="A2451" s="4" t="s">
        <v>0</v>
      </c>
      <c r="B2451" s="4" t="s">
        <v>4</v>
      </c>
      <c r="C2451" s="4" t="s">
        <v>34</v>
      </c>
      <c r="D2451" s="4">
        <v>2006</v>
      </c>
      <c r="E2451" s="4">
        <v>2350</v>
      </c>
      <c r="F2451" s="4" t="s">
        <v>29</v>
      </c>
    </row>
    <row r="2452" spans="1:6" x14ac:dyDescent="0.25">
      <c r="A2452" s="4" t="s">
        <v>0</v>
      </c>
      <c r="B2452" s="4" t="s">
        <v>4</v>
      </c>
      <c r="C2452" s="4" t="s">
        <v>34</v>
      </c>
      <c r="D2452" s="4">
        <v>2007</v>
      </c>
      <c r="E2452" s="4">
        <v>2750</v>
      </c>
      <c r="F2452" s="4" t="s">
        <v>29</v>
      </c>
    </row>
    <row r="2453" spans="1:6" x14ac:dyDescent="0.25">
      <c r="A2453" s="4" t="s">
        <v>0</v>
      </c>
      <c r="B2453" s="4" t="s">
        <v>4</v>
      </c>
      <c r="C2453" s="4" t="s">
        <v>34</v>
      </c>
      <c r="D2453" s="4">
        <v>2008</v>
      </c>
      <c r="E2453" s="4">
        <v>3130</v>
      </c>
      <c r="F2453" s="4" t="s">
        <v>29</v>
      </c>
    </row>
    <row r="2454" spans="1:6" x14ac:dyDescent="0.25">
      <c r="A2454" s="4" t="s">
        <v>0</v>
      </c>
      <c r="B2454" s="4" t="s">
        <v>4</v>
      </c>
      <c r="C2454" s="4" t="s">
        <v>34</v>
      </c>
      <c r="D2454" s="4">
        <v>2009</v>
      </c>
      <c r="E2454" s="4">
        <v>2900</v>
      </c>
      <c r="F2454" s="4" t="s">
        <v>29</v>
      </c>
    </row>
    <row r="2455" spans="1:6" x14ac:dyDescent="0.25">
      <c r="A2455" s="4" t="s">
        <v>0</v>
      </c>
      <c r="B2455" s="4" t="s">
        <v>4</v>
      </c>
      <c r="C2455" s="4" t="s">
        <v>34</v>
      </c>
      <c r="D2455" s="4">
        <v>2010</v>
      </c>
      <c r="E2455" s="4">
        <v>2710</v>
      </c>
      <c r="F2455" s="4" t="s">
        <v>29</v>
      </c>
    </row>
    <row r="2456" spans="1:6" x14ac:dyDescent="0.25">
      <c r="A2456" s="4" t="s">
        <v>0</v>
      </c>
      <c r="B2456" s="4" t="s">
        <v>4</v>
      </c>
      <c r="C2456" s="4" t="s">
        <v>34</v>
      </c>
      <c r="D2456" s="4">
        <v>2011</v>
      </c>
      <c r="E2456" s="4">
        <v>2820</v>
      </c>
      <c r="F2456" s="4" t="s">
        <v>29</v>
      </c>
    </row>
    <row r="2457" spans="1:6" x14ac:dyDescent="0.25">
      <c r="A2457" s="4" t="s">
        <v>0</v>
      </c>
      <c r="B2457" s="4" t="s">
        <v>4</v>
      </c>
      <c r="C2457" s="4" t="s">
        <v>34</v>
      </c>
      <c r="D2457" s="4">
        <v>2012</v>
      </c>
      <c r="E2457" s="4">
        <v>2900</v>
      </c>
      <c r="F2457" s="4" t="s">
        <v>29</v>
      </c>
    </row>
    <row r="2458" spans="1:6" x14ac:dyDescent="0.25">
      <c r="A2458" s="4" t="s">
        <v>0</v>
      </c>
      <c r="B2458" s="4" t="s">
        <v>4</v>
      </c>
      <c r="C2458" s="4" t="s">
        <v>34</v>
      </c>
      <c r="D2458" s="4">
        <v>2013</v>
      </c>
      <c r="E2458" s="4">
        <v>3550</v>
      </c>
      <c r="F2458" s="4" t="s">
        <v>29</v>
      </c>
    </row>
    <row r="2459" spans="1:6" x14ac:dyDescent="0.25">
      <c r="A2459" s="4" t="s">
        <v>0</v>
      </c>
      <c r="B2459" s="4" t="s">
        <v>4</v>
      </c>
      <c r="C2459" s="4" t="s">
        <v>34</v>
      </c>
      <c r="D2459" s="4">
        <v>2014</v>
      </c>
      <c r="E2459" s="4">
        <v>5210</v>
      </c>
      <c r="F2459" s="4" t="s">
        <v>29</v>
      </c>
    </row>
    <row r="2460" spans="1:6" x14ac:dyDescent="0.25">
      <c r="A2460" s="4" t="s">
        <v>0</v>
      </c>
      <c r="B2460" s="4" t="s">
        <v>4</v>
      </c>
      <c r="C2460" s="4" t="s">
        <v>34</v>
      </c>
      <c r="D2460" s="4">
        <v>2015</v>
      </c>
      <c r="E2460" s="4">
        <v>5570</v>
      </c>
      <c r="F2460" s="4" t="s">
        <v>29</v>
      </c>
    </row>
    <row r="2461" spans="1:6" x14ac:dyDescent="0.25">
      <c r="A2461" s="4" t="s">
        <v>0</v>
      </c>
      <c r="B2461" s="4" t="s">
        <v>4</v>
      </c>
      <c r="C2461" s="4" t="s">
        <v>34</v>
      </c>
      <c r="D2461" s="4">
        <v>2016</v>
      </c>
      <c r="E2461" s="4">
        <v>10168.111506849318</v>
      </c>
      <c r="F2461" s="4" t="s">
        <v>29</v>
      </c>
    </row>
    <row r="2462" spans="1:6" x14ac:dyDescent="0.25">
      <c r="A2462" s="4" t="s">
        <v>0</v>
      </c>
      <c r="B2462" s="4" t="s">
        <v>4</v>
      </c>
      <c r="C2462" s="4" t="s">
        <v>34</v>
      </c>
      <c r="D2462" s="4">
        <v>2017</v>
      </c>
      <c r="E2462" s="4">
        <v>12126.514109589039</v>
      </c>
      <c r="F2462" s="4" t="s">
        <v>29</v>
      </c>
    </row>
    <row r="2463" spans="1:6" x14ac:dyDescent="0.25">
      <c r="A2463" s="4" t="s">
        <v>0</v>
      </c>
      <c r="B2463" s="4" t="s">
        <v>4</v>
      </c>
      <c r="C2463" s="4" t="s">
        <v>34</v>
      </c>
      <c r="D2463" s="4">
        <v>2018</v>
      </c>
      <c r="E2463" s="4">
        <v>12648.110926962849</v>
      </c>
      <c r="F2463" s="4" t="s">
        <v>29</v>
      </c>
    </row>
    <row r="2464" spans="1:6" x14ac:dyDescent="0.25">
      <c r="A2464" s="4" t="s">
        <v>0</v>
      </c>
      <c r="B2464" s="4" t="s">
        <v>4</v>
      </c>
      <c r="C2464" s="4" t="s">
        <v>34</v>
      </c>
      <c r="D2464" s="4">
        <v>2019</v>
      </c>
      <c r="E2464" s="4">
        <v>12838.970775567706</v>
      </c>
      <c r="F2464" s="4" t="s">
        <v>29</v>
      </c>
    </row>
    <row r="2465" spans="1:6" x14ac:dyDescent="0.25">
      <c r="A2465" s="4" t="s">
        <v>0</v>
      </c>
      <c r="B2465" s="4" t="s">
        <v>4</v>
      </c>
      <c r="C2465" s="4" t="s">
        <v>34</v>
      </c>
      <c r="D2465" s="4">
        <v>2020</v>
      </c>
      <c r="E2465" s="4">
        <v>13152.384885359757</v>
      </c>
      <c r="F2465" s="4" t="s">
        <v>29</v>
      </c>
    </row>
    <row r="2466" spans="1:6" x14ac:dyDescent="0.25">
      <c r="A2466" s="4" t="s">
        <v>0</v>
      </c>
      <c r="B2466" s="4" t="s">
        <v>4</v>
      </c>
      <c r="C2466" s="4" t="s">
        <v>34</v>
      </c>
      <c r="D2466" s="4">
        <v>2021</v>
      </c>
      <c r="E2466" s="4">
        <v>13517.179526198008</v>
      </c>
      <c r="F2466" s="4" t="s">
        <v>29</v>
      </c>
    </row>
    <row r="2467" spans="1:6" x14ac:dyDescent="0.25">
      <c r="A2467" s="4" t="s">
        <v>0</v>
      </c>
      <c r="B2467" s="4" t="s">
        <v>4</v>
      </c>
      <c r="C2467" s="4" t="s">
        <v>34</v>
      </c>
      <c r="D2467" s="4">
        <v>2022</v>
      </c>
      <c r="E2467" s="4">
        <v>13925.131835586748</v>
      </c>
      <c r="F2467" s="4" t="s">
        <v>29</v>
      </c>
    </row>
    <row r="2468" spans="1:6" x14ac:dyDescent="0.25">
      <c r="A2468" s="4" t="s">
        <v>0</v>
      </c>
      <c r="B2468" s="4" t="s">
        <v>4</v>
      </c>
      <c r="C2468" s="4" t="s">
        <v>34</v>
      </c>
      <c r="D2468" s="4">
        <v>2023</v>
      </c>
      <c r="E2468" s="4">
        <v>14411.540030345168</v>
      </c>
      <c r="F2468" s="4" t="s">
        <v>29</v>
      </c>
    </row>
    <row r="2469" spans="1:6" x14ac:dyDescent="0.25">
      <c r="A2469" s="4" t="s">
        <v>0</v>
      </c>
      <c r="B2469" s="4" t="s">
        <v>4</v>
      </c>
      <c r="C2469" s="4" t="s">
        <v>34</v>
      </c>
      <c r="D2469" s="4">
        <v>2024</v>
      </c>
      <c r="E2469" s="4">
        <v>15012.32721196644</v>
      </c>
      <c r="F2469" s="4" t="s">
        <v>29</v>
      </c>
    </row>
    <row r="2470" spans="1:6" x14ac:dyDescent="0.25">
      <c r="A2470" s="4" t="s">
        <v>0</v>
      </c>
      <c r="B2470" s="4" t="s">
        <v>4</v>
      </c>
      <c r="C2470" s="4" t="s">
        <v>34</v>
      </c>
      <c r="D2470" s="4">
        <v>2025</v>
      </c>
      <c r="E2470" s="4">
        <v>15733.722235004228</v>
      </c>
      <c r="F2470" s="4" t="s">
        <v>29</v>
      </c>
    </row>
    <row r="2471" spans="1:6" x14ac:dyDescent="0.25">
      <c r="A2471" s="4" t="s">
        <v>0</v>
      </c>
      <c r="B2471" s="4" t="s">
        <v>4</v>
      </c>
      <c r="C2471" s="4" t="s">
        <v>34</v>
      </c>
      <c r="D2471" s="4">
        <v>2026</v>
      </c>
      <c r="E2471" s="4">
        <v>16543.396270370678</v>
      </c>
      <c r="F2471" s="4" t="s">
        <v>29</v>
      </c>
    </row>
    <row r="2472" spans="1:6" x14ac:dyDescent="0.25">
      <c r="A2472" s="4" t="s">
        <v>0</v>
      </c>
      <c r="B2472" s="4" t="s">
        <v>4</v>
      </c>
      <c r="C2472" s="4" t="s">
        <v>34</v>
      </c>
      <c r="D2472" s="4">
        <v>2027</v>
      </c>
      <c r="E2472" s="4">
        <v>17414.221494120786</v>
      </c>
      <c r="F2472" s="4" t="s">
        <v>29</v>
      </c>
    </row>
    <row r="2473" spans="1:6" x14ac:dyDescent="0.25">
      <c r="A2473" s="4" t="s">
        <v>0</v>
      </c>
      <c r="B2473" s="4" t="s">
        <v>4</v>
      </c>
      <c r="C2473" s="4" t="s">
        <v>34</v>
      </c>
      <c r="D2473" s="4">
        <v>2028</v>
      </c>
      <c r="E2473" s="4">
        <v>18339.357420243599</v>
      </c>
      <c r="F2473" s="4" t="s">
        <v>29</v>
      </c>
    </row>
    <row r="2474" spans="1:6" x14ac:dyDescent="0.25">
      <c r="A2474" s="4" t="s">
        <v>0</v>
      </c>
      <c r="B2474" s="4" t="s">
        <v>4</v>
      </c>
      <c r="C2474" s="4" t="s">
        <v>34</v>
      </c>
      <c r="D2474" s="4">
        <v>2029</v>
      </c>
      <c r="E2474" s="4">
        <v>19309.482573818652</v>
      </c>
      <c r="F2474" s="4" t="s">
        <v>29</v>
      </c>
    </row>
    <row r="2475" spans="1:6" x14ac:dyDescent="0.25">
      <c r="A2475" s="4" t="s">
        <v>0</v>
      </c>
      <c r="B2475" s="4" t="s">
        <v>4</v>
      </c>
      <c r="C2475" s="4" t="s">
        <v>34</v>
      </c>
      <c r="D2475" s="4">
        <v>2030</v>
      </c>
      <c r="E2475" s="4">
        <v>20365.721103359378</v>
      </c>
      <c r="F2475" s="4" t="s">
        <v>29</v>
      </c>
    </row>
    <row r="2476" spans="1:6" x14ac:dyDescent="0.25">
      <c r="A2476" s="4" t="s">
        <v>0</v>
      </c>
      <c r="B2476" s="4" t="s">
        <v>4</v>
      </c>
      <c r="C2476" s="4" t="s">
        <v>34</v>
      </c>
      <c r="D2476" s="4">
        <v>2031</v>
      </c>
      <c r="E2476" s="4">
        <v>21509.986418115215</v>
      </c>
      <c r="F2476" s="4" t="s">
        <v>29</v>
      </c>
    </row>
    <row r="2477" spans="1:6" x14ac:dyDescent="0.25">
      <c r="A2477" s="4" t="s">
        <v>0</v>
      </c>
      <c r="B2477" s="4" t="s">
        <v>4</v>
      </c>
      <c r="C2477" s="4" t="s">
        <v>34</v>
      </c>
      <c r="D2477" s="4">
        <v>2032</v>
      </c>
      <c r="E2477" s="4">
        <v>22700.105924181658</v>
      </c>
      <c r="F2477" s="4" t="s">
        <v>29</v>
      </c>
    </row>
    <row r="2478" spans="1:6" x14ac:dyDescent="0.25">
      <c r="A2478" s="4" t="s">
        <v>0</v>
      </c>
      <c r="B2478" s="4" t="s">
        <v>4</v>
      </c>
      <c r="C2478" s="4" t="s">
        <v>34</v>
      </c>
      <c r="D2478" s="4">
        <v>2033</v>
      </c>
      <c r="E2478" s="4">
        <v>23947.797415235742</v>
      </c>
      <c r="F2478" s="4" t="s">
        <v>29</v>
      </c>
    </row>
    <row r="2479" spans="1:6" x14ac:dyDescent="0.25">
      <c r="A2479" s="4" t="s">
        <v>0</v>
      </c>
      <c r="B2479" s="4" t="s">
        <v>4</v>
      </c>
      <c r="C2479" s="4" t="s">
        <v>34</v>
      </c>
      <c r="D2479" s="4">
        <v>2034</v>
      </c>
      <c r="E2479" s="4">
        <v>25273.582495356364</v>
      </c>
      <c r="F2479" s="4" t="s">
        <v>29</v>
      </c>
    </row>
    <row r="2480" spans="1:6" x14ac:dyDescent="0.25">
      <c r="A2480" s="4" t="s">
        <v>0</v>
      </c>
      <c r="B2480" s="4" t="s">
        <v>4</v>
      </c>
      <c r="C2480" s="4" t="s">
        <v>34</v>
      </c>
      <c r="D2480" s="4">
        <v>2035</v>
      </c>
      <c r="E2480" s="4">
        <v>26674.964976037256</v>
      </c>
      <c r="F2480" s="4" t="s">
        <v>29</v>
      </c>
    </row>
    <row r="2481" spans="1:6" x14ac:dyDescent="0.25">
      <c r="A2481" s="4" t="s">
        <v>0</v>
      </c>
      <c r="B2481" s="4" t="s">
        <v>4</v>
      </c>
      <c r="C2481" s="4" t="s">
        <v>34</v>
      </c>
      <c r="D2481" s="4">
        <v>2036</v>
      </c>
      <c r="E2481" s="4">
        <v>28154.16914920447</v>
      </c>
      <c r="F2481" s="4" t="s">
        <v>29</v>
      </c>
    </row>
    <row r="2482" spans="1:6" x14ac:dyDescent="0.25">
      <c r="A2482" s="4" t="s">
        <v>0</v>
      </c>
      <c r="B2482" s="4" t="s">
        <v>4</v>
      </c>
      <c r="C2482" s="4" t="s">
        <v>34</v>
      </c>
      <c r="D2482" s="4">
        <v>2037</v>
      </c>
      <c r="E2482" s="4">
        <v>29720.556328680887</v>
      </c>
      <c r="F2482" s="4" t="s">
        <v>29</v>
      </c>
    </row>
    <row r="2483" spans="1:6" x14ac:dyDescent="0.25">
      <c r="A2483" s="4" t="s">
        <v>0</v>
      </c>
      <c r="B2483" s="4" t="s">
        <v>4</v>
      </c>
      <c r="C2483" s="4" t="s">
        <v>34</v>
      </c>
      <c r="D2483" s="4">
        <v>2038</v>
      </c>
      <c r="E2483" s="4">
        <v>31382.736874854643</v>
      </c>
      <c r="F2483" s="4" t="s">
        <v>29</v>
      </c>
    </row>
    <row r="2484" spans="1:6" x14ac:dyDescent="0.25">
      <c r="A2484" s="4" t="s">
        <v>0</v>
      </c>
      <c r="B2484" s="4" t="s">
        <v>4</v>
      </c>
      <c r="C2484" s="4" t="s">
        <v>34</v>
      </c>
      <c r="D2484" s="4">
        <v>2039</v>
      </c>
      <c r="E2484" s="4">
        <v>33126.70926935679</v>
      </c>
      <c r="F2484" s="4" t="s">
        <v>29</v>
      </c>
    </row>
    <row r="2485" spans="1:6" x14ac:dyDescent="0.25">
      <c r="A2485" s="4" t="s">
        <v>0</v>
      </c>
      <c r="B2485" s="4" t="s">
        <v>4</v>
      </c>
      <c r="C2485" s="4" t="s">
        <v>34</v>
      </c>
      <c r="D2485" s="4">
        <v>2040</v>
      </c>
      <c r="E2485" s="4">
        <v>34950.062330565124</v>
      </c>
      <c r="F2485" s="4" t="s">
        <v>29</v>
      </c>
    </row>
    <row r="2486" spans="1:6" x14ac:dyDescent="0.25">
      <c r="A2486" s="4" t="s">
        <v>0</v>
      </c>
      <c r="B2486" s="4" t="s">
        <v>5</v>
      </c>
      <c r="C2486" s="4" t="s">
        <v>34</v>
      </c>
      <c r="D2486" s="4">
        <v>2005</v>
      </c>
      <c r="E2486" s="4">
        <v>99600</v>
      </c>
      <c r="F2486" s="4" t="s">
        <v>29</v>
      </c>
    </row>
    <row r="2487" spans="1:6" x14ac:dyDescent="0.25">
      <c r="A2487" s="4" t="s">
        <v>0</v>
      </c>
      <c r="B2487" s="4" t="s">
        <v>5</v>
      </c>
      <c r="C2487" s="4" t="s">
        <v>34</v>
      </c>
      <c r="D2487" s="4">
        <v>2006</v>
      </c>
      <c r="E2487" s="4">
        <v>120900</v>
      </c>
      <c r="F2487" s="4" t="s">
        <v>29</v>
      </c>
    </row>
    <row r="2488" spans="1:6" x14ac:dyDescent="0.25">
      <c r="A2488" s="4" t="s">
        <v>0</v>
      </c>
      <c r="B2488" s="4" t="s">
        <v>5</v>
      </c>
      <c r="C2488" s="4" t="s">
        <v>34</v>
      </c>
      <c r="D2488" s="4">
        <v>2007</v>
      </c>
      <c r="E2488" s="4">
        <v>124700</v>
      </c>
      <c r="F2488" s="4" t="s">
        <v>29</v>
      </c>
    </row>
    <row r="2489" spans="1:6" x14ac:dyDescent="0.25">
      <c r="A2489" s="4" t="s">
        <v>0</v>
      </c>
      <c r="B2489" s="4" t="s">
        <v>5</v>
      </c>
      <c r="C2489" s="4" t="s">
        <v>34</v>
      </c>
      <c r="D2489" s="4">
        <v>2008</v>
      </c>
      <c r="E2489" s="4">
        <v>114700</v>
      </c>
      <c r="F2489" s="4" t="s">
        <v>29</v>
      </c>
    </row>
    <row r="2490" spans="1:6" x14ac:dyDescent="0.25">
      <c r="A2490" s="4" t="s">
        <v>0</v>
      </c>
      <c r="B2490" s="4" t="s">
        <v>5</v>
      </c>
      <c r="C2490" s="4" t="s">
        <v>34</v>
      </c>
      <c r="D2490" s="4">
        <v>2009</v>
      </c>
      <c r="E2490" s="4">
        <v>131200</v>
      </c>
      <c r="F2490" s="4" t="s">
        <v>29</v>
      </c>
    </row>
    <row r="2491" spans="1:6" x14ac:dyDescent="0.25">
      <c r="A2491" s="4" t="s">
        <v>0</v>
      </c>
      <c r="B2491" s="4" t="s">
        <v>5</v>
      </c>
      <c r="C2491" s="4" t="s">
        <v>34</v>
      </c>
      <c r="D2491" s="4">
        <v>2010</v>
      </c>
      <c r="E2491" s="4">
        <v>136242.99205479454</v>
      </c>
      <c r="F2491" s="4" t="s">
        <v>29</v>
      </c>
    </row>
    <row r="2492" spans="1:6" x14ac:dyDescent="0.25">
      <c r="A2492" s="4" t="s">
        <v>0</v>
      </c>
      <c r="B2492" s="4" t="s">
        <v>5</v>
      </c>
      <c r="C2492" s="4" t="s">
        <v>34</v>
      </c>
      <c r="D2492" s="4">
        <v>2011</v>
      </c>
      <c r="E2492" s="4">
        <v>141899.05890410958</v>
      </c>
      <c r="F2492" s="4" t="s">
        <v>29</v>
      </c>
    </row>
    <row r="2493" spans="1:6" x14ac:dyDescent="0.25">
      <c r="A2493" s="4" t="s">
        <v>0</v>
      </c>
      <c r="B2493" s="4" t="s">
        <v>5</v>
      </c>
      <c r="C2493" s="4" t="s">
        <v>34</v>
      </c>
      <c r="D2493" s="4">
        <v>2012</v>
      </c>
      <c r="E2493" s="4">
        <v>148216.19643835619</v>
      </c>
      <c r="F2493" s="4" t="s">
        <v>29</v>
      </c>
    </row>
    <row r="2494" spans="1:6" x14ac:dyDescent="0.25">
      <c r="A2494" s="4" t="s">
        <v>0</v>
      </c>
      <c r="B2494" s="4" t="s">
        <v>5</v>
      </c>
      <c r="C2494" s="4" t="s">
        <v>34</v>
      </c>
      <c r="D2494" s="4">
        <v>2013</v>
      </c>
      <c r="E2494" s="4">
        <v>155178.08602739728</v>
      </c>
      <c r="F2494" s="4" t="s">
        <v>29</v>
      </c>
    </row>
    <row r="2495" spans="1:6" x14ac:dyDescent="0.25">
      <c r="A2495" s="4" t="s">
        <v>0</v>
      </c>
      <c r="B2495" s="4" t="s">
        <v>5</v>
      </c>
      <c r="C2495" s="4" t="s">
        <v>34</v>
      </c>
      <c r="D2495" s="4">
        <v>2014</v>
      </c>
      <c r="E2495" s="4">
        <v>152653.42301369866</v>
      </c>
      <c r="F2495" s="4" t="s">
        <v>29</v>
      </c>
    </row>
    <row r="2496" spans="1:6" x14ac:dyDescent="0.25">
      <c r="A2496" s="4" t="s">
        <v>0</v>
      </c>
      <c r="B2496" s="4" t="s">
        <v>5</v>
      </c>
      <c r="C2496" s="4" t="s">
        <v>34</v>
      </c>
      <c r="D2496" s="4">
        <v>2015</v>
      </c>
      <c r="E2496" s="4">
        <v>184650.64986301371</v>
      </c>
      <c r="F2496" s="4" t="s">
        <v>29</v>
      </c>
    </row>
    <row r="2497" spans="1:6" x14ac:dyDescent="0.25">
      <c r="A2497" s="4" t="s">
        <v>0</v>
      </c>
      <c r="B2497" s="4" t="s">
        <v>5</v>
      </c>
      <c r="C2497" s="4" t="s">
        <v>34</v>
      </c>
      <c r="D2497" s="4">
        <v>2016</v>
      </c>
      <c r="E2497" s="4">
        <v>182833.43972602743</v>
      </c>
      <c r="F2497" s="4" t="s">
        <v>29</v>
      </c>
    </row>
    <row r="2498" spans="1:6" x14ac:dyDescent="0.25">
      <c r="A2498" s="4" t="s">
        <v>0</v>
      </c>
      <c r="B2498" s="4" t="s">
        <v>5</v>
      </c>
      <c r="C2498" s="4" t="s">
        <v>34</v>
      </c>
      <c r="D2498" s="4">
        <v>2017</v>
      </c>
      <c r="E2498" s="4">
        <v>202815.78219178083</v>
      </c>
      <c r="F2498" s="4" t="s">
        <v>29</v>
      </c>
    </row>
    <row r="2499" spans="1:6" x14ac:dyDescent="0.25">
      <c r="A2499" s="4" t="s">
        <v>0</v>
      </c>
      <c r="B2499" s="4" t="s">
        <v>5</v>
      </c>
      <c r="C2499" s="4" t="s">
        <v>34</v>
      </c>
      <c r="D2499" s="4">
        <v>2018</v>
      </c>
      <c r="E2499" s="4">
        <v>234799.82978469165</v>
      </c>
      <c r="F2499" s="4" t="s">
        <v>29</v>
      </c>
    </row>
    <row r="2500" spans="1:6" x14ac:dyDescent="0.25">
      <c r="A2500" s="4" t="s">
        <v>0</v>
      </c>
      <c r="B2500" s="4" t="s">
        <v>5</v>
      </c>
      <c r="C2500" s="4" t="s">
        <v>34</v>
      </c>
      <c r="D2500" s="4">
        <v>2019</v>
      </c>
      <c r="E2500" s="4">
        <v>255498.09139782851</v>
      </c>
      <c r="F2500" s="4" t="s">
        <v>29</v>
      </c>
    </row>
    <row r="2501" spans="1:6" x14ac:dyDescent="0.25">
      <c r="A2501" s="4" t="s">
        <v>0</v>
      </c>
      <c r="B2501" s="4" t="s">
        <v>5</v>
      </c>
      <c r="C2501" s="4" t="s">
        <v>34</v>
      </c>
      <c r="D2501" s="4">
        <v>2020</v>
      </c>
      <c r="E2501" s="4">
        <v>264148.97687696363</v>
      </c>
      <c r="F2501" s="4" t="s">
        <v>29</v>
      </c>
    </row>
    <row r="2502" spans="1:6" x14ac:dyDescent="0.25">
      <c r="A2502" s="4" t="s">
        <v>0</v>
      </c>
      <c r="B2502" s="4" t="s">
        <v>5</v>
      </c>
      <c r="C2502" s="4" t="s">
        <v>34</v>
      </c>
      <c r="D2502" s="4">
        <v>2021</v>
      </c>
      <c r="E2502" s="4">
        <v>265762.39362081629</v>
      </c>
      <c r="F2502" s="4" t="s">
        <v>29</v>
      </c>
    </row>
    <row r="2503" spans="1:6" x14ac:dyDescent="0.25">
      <c r="A2503" s="4" t="s">
        <v>0</v>
      </c>
      <c r="B2503" s="4" t="s">
        <v>5</v>
      </c>
      <c r="C2503" s="4" t="s">
        <v>34</v>
      </c>
      <c r="D2503" s="4">
        <v>2022</v>
      </c>
      <c r="E2503" s="4">
        <v>270713.36543377477</v>
      </c>
      <c r="F2503" s="4" t="s">
        <v>29</v>
      </c>
    </row>
    <row r="2504" spans="1:6" x14ac:dyDescent="0.25">
      <c r="A2504" s="4" t="s">
        <v>0</v>
      </c>
      <c r="B2504" s="4" t="s">
        <v>5</v>
      </c>
      <c r="C2504" s="4" t="s">
        <v>34</v>
      </c>
      <c r="D2504" s="4">
        <v>2023</v>
      </c>
      <c r="E2504" s="4">
        <v>277741.92541826161</v>
      </c>
      <c r="F2504" s="4" t="s">
        <v>29</v>
      </c>
    </row>
    <row r="2505" spans="1:6" x14ac:dyDescent="0.25">
      <c r="A2505" s="4" t="s">
        <v>0</v>
      </c>
      <c r="B2505" s="4" t="s">
        <v>5</v>
      </c>
      <c r="C2505" s="4" t="s">
        <v>34</v>
      </c>
      <c r="D2505" s="4">
        <v>2024</v>
      </c>
      <c r="E2505" s="4">
        <v>279116.51529491914</v>
      </c>
      <c r="F2505" s="4" t="s">
        <v>29</v>
      </c>
    </row>
    <row r="2506" spans="1:6" x14ac:dyDescent="0.25">
      <c r="A2506" s="4" t="s">
        <v>0</v>
      </c>
      <c r="B2506" s="4" t="s">
        <v>5</v>
      </c>
      <c r="C2506" s="4" t="s">
        <v>34</v>
      </c>
      <c r="D2506" s="4">
        <v>2025</v>
      </c>
      <c r="E2506" s="4">
        <v>281799.43080545263</v>
      </c>
      <c r="F2506" s="4" t="s">
        <v>29</v>
      </c>
    </row>
    <row r="2507" spans="1:6" x14ac:dyDescent="0.25">
      <c r="A2507" s="4" t="s">
        <v>0</v>
      </c>
      <c r="B2507" s="4" t="s">
        <v>5</v>
      </c>
      <c r="C2507" s="4" t="s">
        <v>34</v>
      </c>
      <c r="D2507" s="4">
        <v>2026</v>
      </c>
      <c r="E2507" s="4">
        <v>287019.52247198479</v>
      </c>
      <c r="F2507" s="4" t="s">
        <v>29</v>
      </c>
    </row>
    <row r="2508" spans="1:6" x14ac:dyDescent="0.25">
      <c r="A2508" s="4" t="s">
        <v>0</v>
      </c>
      <c r="B2508" s="4" t="s">
        <v>5</v>
      </c>
      <c r="C2508" s="4" t="s">
        <v>34</v>
      </c>
      <c r="D2508" s="4">
        <v>2027</v>
      </c>
      <c r="E2508" s="4">
        <v>291007.46060946607</v>
      </c>
      <c r="F2508" s="4" t="s">
        <v>29</v>
      </c>
    </row>
    <row r="2509" spans="1:6" x14ac:dyDescent="0.25">
      <c r="A2509" s="4" t="s">
        <v>0</v>
      </c>
      <c r="B2509" s="4" t="s">
        <v>5</v>
      </c>
      <c r="C2509" s="4" t="s">
        <v>34</v>
      </c>
      <c r="D2509" s="4">
        <v>2028</v>
      </c>
      <c r="E2509" s="4">
        <v>291040.58302083064</v>
      </c>
      <c r="F2509" s="4" t="s">
        <v>29</v>
      </c>
    </row>
    <row r="2510" spans="1:6" x14ac:dyDescent="0.25">
      <c r="A2510" s="4" t="s">
        <v>0</v>
      </c>
      <c r="B2510" s="4" t="s">
        <v>5</v>
      </c>
      <c r="C2510" s="4" t="s">
        <v>34</v>
      </c>
      <c r="D2510" s="4">
        <v>2029</v>
      </c>
      <c r="E2510" s="4">
        <v>291040.58302092546</v>
      </c>
      <c r="F2510" s="4" t="s">
        <v>29</v>
      </c>
    </row>
    <row r="2511" spans="1:6" x14ac:dyDescent="0.25">
      <c r="A2511" s="4" t="s">
        <v>0</v>
      </c>
      <c r="B2511" s="4" t="s">
        <v>5</v>
      </c>
      <c r="C2511" s="4" t="s">
        <v>34</v>
      </c>
      <c r="D2511" s="4">
        <v>2030</v>
      </c>
      <c r="E2511" s="4">
        <v>296406.41341296962</v>
      </c>
      <c r="F2511" s="4" t="s">
        <v>29</v>
      </c>
    </row>
    <row r="2512" spans="1:6" x14ac:dyDescent="0.25">
      <c r="A2512" s="4" t="s">
        <v>0</v>
      </c>
      <c r="B2512" s="4" t="s">
        <v>5</v>
      </c>
      <c r="C2512" s="4" t="s">
        <v>34</v>
      </c>
      <c r="D2512" s="4">
        <v>2031</v>
      </c>
      <c r="E2512" s="4">
        <v>299625.91164820618</v>
      </c>
      <c r="F2512" s="4" t="s">
        <v>29</v>
      </c>
    </row>
    <row r="2513" spans="1:6" x14ac:dyDescent="0.25">
      <c r="A2513" s="4" t="s">
        <v>0</v>
      </c>
      <c r="B2513" s="4" t="s">
        <v>5</v>
      </c>
      <c r="C2513" s="4" t="s">
        <v>34</v>
      </c>
      <c r="D2513" s="4">
        <v>2032</v>
      </c>
      <c r="E2513" s="4">
        <v>299625.91164820635</v>
      </c>
      <c r="F2513" s="4" t="s">
        <v>29</v>
      </c>
    </row>
    <row r="2514" spans="1:6" x14ac:dyDescent="0.25">
      <c r="A2514" s="4" t="s">
        <v>0</v>
      </c>
      <c r="B2514" s="4" t="s">
        <v>5</v>
      </c>
      <c r="C2514" s="4" t="s">
        <v>34</v>
      </c>
      <c r="D2514" s="4">
        <v>2033</v>
      </c>
      <c r="E2514" s="4">
        <v>299625.91164820635</v>
      </c>
      <c r="F2514" s="4" t="s">
        <v>29</v>
      </c>
    </row>
    <row r="2515" spans="1:6" x14ac:dyDescent="0.25">
      <c r="A2515" s="4" t="s">
        <v>0</v>
      </c>
      <c r="B2515" s="4" t="s">
        <v>5</v>
      </c>
      <c r="C2515" s="4" t="s">
        <v>34</v>
      </c>
      <c r="D2515" s="4">
        <v>2034</v>
      </c>
      <c r="E2515" s="4">
        <v>299625.91164820635</v>
      </c>
      <c r="F2515" s="4" t="s">
        <v>29</v>
      </c>
    </row>
    <row r="2516" spans="1:6" x14ac:dyDescent="0.25">
      <c r="A2516" s="4" t="s">
        <v>0</v>
      </c>
      <c r="B2516" s="4" t="s">
        <v>5</v>
      </c>
      <c r="C2516" s="4" t="s">
        <v>34</v>
      </c>
      <c r="D2516" s="4">
        <v>2035</v>
      </c>
      <c r="E2516" s="4">
        <v>299625.91164820635</v>
      </c>
      <c r="F2516" s="4" t="s">
        <v>29</v>
      </c>
    </row>
    <row r="2517" spans="1:6" x14ac:dyDescent="0.25">
      <c r="A2517" s="4" t="s">
        <v>0</v>
      </c>
      <c r="B2517" s="4" t="s">
        <v>5</v>
      </c>
      <c r="C2517" s="4" t="s">
        <v>34</v>
      </c>
      <c r="D2517" s="4">
        <v>2036</v>
      </c>
      <c r="E2517" s="4">
        <v>299625.91164820635</v>
      </c>
      <c r="F2517" s="4" t="s">
        <v>29</v>
      </c>
    </row>
    <row r="2518" spans="1:6" x14ac:dyDescent="0.25">
      <c r="A2518" s="4" t="s">
        <v>0</v>
      </c>
      <c r="B2518" s="4" t="s">
        <v>5</v>
      </c>
      <c r="C2518" s="4" t="s">
        <v>34</v>
      </c>
      <c r="D2518" s="4">
        <v>2037</v>
      </c>
      <c r="E2518" s="4">
        <v>299625.91164820635</v>
      </c>
      <c r="F2518" s="4" t="s">
        <v>29</v>
      </c>
    </row>
    <row r="2519" spans="1:6" x14ac:dyDescent="0.25">
      <c r="A2519" s="4" t="s">
        <v>0</v>
      </c>
      <c r="B2519" s="4" t="s">
        <v>5</v>
      </c>
      <c r="C2519" s="4" t="s">
        <v>34</v>
      </c>
      <c r="D2519" s="4">
        <v>2038</v>
      </c>
      <c r="E2519" s="4">
        <v>299625.91164820635</v>
      </c>
      <c r="F2519" s="4" t="s">
        <v>29</v>
      </c>
    </row>
    <row r="2520" spans="1:6" x14ac:dyDescent="0.25">
      <c r="A2520" s="4" t="s">
        <v>0</v>
      </c>
      <c r="B2520" s="4" t="s">
        <v>5</v>
      </c>
      <c r="C2520" s="4" t="s">
        <v>34</v>
      </c>
      <c r="D2520" s="4">
        <v>2039</v>
      </c>
      <c r="E2520" s="4">
        <v>299625.91164820635</v>
      </c>
      <c r="F2520" s="4" t="s">
        <v>29</v>
      </c>
    </row>
    <row r="2521" spans="1:6" x14ac:dyDescent="0.25">
      <c r="A2521" s="4" t="s">
        <v>0</v>
      </c>
      <c r="B2521" s="4" t="s">
        <v>5</v>
      </c>
      <c r="C2521" s="4" t="s">
        <v>34</v>
      </c>
      <c r="D2521" s="4">
        <v>2040</v>
      </c>
      <c r="E2521" s="4">
        <v>299625.91164820635</v>
      </c>
      <c r="F2521" s="4" t="s">
        <v>29</v>
      </c>
    </row>
    <row r="2522" spans="1:6" x14ac:dyDescent="0.25">
      <c r="A2522" s="4" t="s">
        <v>0</v>
      </c>
      <c r="B2522" s="4" t="s">
        <v>6</v>
      </c>
      <c r="C2522" s="4" t="s">
        <v>34</v>
      </c>
      <c r="D2522" s="4">
        <v>2005</v>
      </c>
      <c r="E2522" s="4">
        <v>69700</v>
      </c>
      <c r="F2522" s="4" t="s">
        <v>29</v>
      </c>
    </row>
    <row r="2523" spans="1:6" x14ac:dyDescent="0.25">
      <c r="A2523" s="4" t="s">
        <v>0</v>
      </c>
      <c r="B2523" s="4" t="s">
        <v>6</v>
      </c>
      <c r="C2523" s="4" t="s">
        <v>34</v>
      </c>
      <c r="D2523" s="4">
        <v>2006</v>
      </c>
      <c r="E2523" s="4">
        <v>78500</v>
      </c>
      <c r="F2523" s="4" t="s">
        <v>29</v>
      </c>
    </row>
    <row r="2524" spans="1:6" x14ac:dyDescent="0.25">
      <c r="A2524" s="4" t="s">
        <v>0</v>
      </c>
      <c r="B2524" s="4" t="s">
        <v>6</v>
      </c>
      <c r="C2524" s="4" t="s">
        <v>34</v>
      </c>
      <c r="D2524" s="4">
        <v>2007</v>
      </c>
      <c r="E2524" s="4">
        <v>85200</v>
      </c>
      <c r="F2524" s="4" t="s">
        <v>29</v>
      </c>
    </row>
    <row r="2525" spans="1:6" x14ac:dyDescent="0.25">
      <c r="A2525" s="4" t="s">
        <v>0</v>
      </c>
      <c r="B2525" s="4" t="s">
        <v>6</v>
      </c>
      <c r="C2525" s="4" t="s">
        <v>34</v>
      </c>
      <c r="D2525" s="4">
        <v>2008</v>
      </c>
      <c r="E2525" s="4">
        <v>92700</v>
      </c>
      <c r="F2525" s="4" t="s">
        <v>29</v>
      </c>
    </row>
    <row r="2526" spans="1:6" x14ac:dyDescent="0.25">
      <c r="A2526" s="4" t="s">
        <v>0</v>
      </c>
      <c r="B2526" s="4" t="s">
        <v>6</v>
      </c>
      <c r="C2526" s="4" t="s">
        <v>34</v>
      </c>
      <c r="D2526" s="4">
        <v>2009</v>
      </c>
      <c r="E2526" s="4">
        <v>105500</v>
      </c>
      <c r="F2526" s="4" t="s">
        <v>29</v>
      </c>
    </row>
    <row r="2527" spans="1:6" x14ac:dyDescent="0.25">
      <c r="A2527" s="4" t="s">
        <v>0</v>
      </c>
      <c r="B2527" s="4" t="s">
        <v>6</v>
      </c>
      <c r="C2527" s="4" t="s">
        <v>34</v>
      </c>
      <c r="D2527" s="4">
        <v>2010</v>
      </c>
      <c r="E2527" s="4">
        <v>119629.14712328766</v>
      </c>
      <c r="F2527" s="4" t="s">
        <v>29</v>
      </c>
    </row>
    <row r="2528" spans="1:6" x14ac:dyDescent="0.25">
      <c r="A2528" s="4" t="s">
        <v>0</v>
      </c>
      <c r="B2528" s="4" t="s">
        <v>6</v>
      </c>
      <c r="C2528" s="4" t="s">
        <v>34</v>
      </c>
      <c r="D2528" s="4">
        <v>2011</v>
      </c>
      <c r="E2528" s="4">
        <v>134719.58268493149</v>
      </c>
      <c r="F2528" s="4" t="s">
        <v>29</v>
      </c>
    </row>
    <row r="2529" spans="1:6" x14ac:dyDescent="0.25">
      <c r="A2529" s="4" t="s">
        <v>0</v>
      </c>
      <c r="B2529" s="4" t="s">
        <v>6</v>
      </c>
      <c r="C2529" s="4" t="s">
        <v>34</v>
      </c>
      <c r="D2529" s="4">
        <v>2012</v>
      </c>
      <c r="E2529" s="4">
        <v>157385.20219178079</v>
      </c>
      <c r="F2529" s="4" t="s">
        <v>29</v>
      </c>
    </row>
    <row r="2530" spans="1:6" x14ac:dyDescent="0.25">
      <c r="A2530" s="4" t="s">
        <v>0</v>
      </c>
      <c r="B2530" s="4" t="s">
        <v>6</v>
      </c>
      <c r="C2530" s="4" t="s">
        <v>34</v>
      </c>
      <c r="D2530" s="4">
        <v>2013</v>
      </c>
      <c r="E2530" s="4">
        <v>175859.07172602741</v>
      </c>
      <c r="F2530" s="4" t="s">
        <v>29</v>
      </c>
    </row>
    <row r="2531" spans="1:6" x14ac:dyDescent="0.25">
      <c r="A2531" s="4" t="s">
        <v>0</v>
      </c>
      <c r="B2531" s="4" t="s">
        <v>6</v>
      </c>
      <c r="C2531" s="4" t="s">
        <v>34</v>
      </c>
      <c r="D2531" s="4">
        <v>2014</v>
      </c>
      <c r="E2531" s="4">
        <v>200748.64076712329</v>
      </c>
      <c r="F2531" s="4" t="s">
        <v>29</v>
      </c>
    </row>
    <row r="2532" spans="1:6" x14ac:dyDescent="0.25">
      <c r="A2532" s="4" t="s">
        <v>0</v>
      </c>
      <c r="B2532" s="4" t="s">
        <v>6</v>
      </c>
      <c r="C2532" s="4" t="s">
        <v>34</v>
      </c>
      <c r="D2532" s="4">
        <v>2015</v>
      </c>
      <c r="E2532" s="4">
        <v>216516.94391559192</v>
      </c>
      <c r="F2532" s="4" t="s">
        <v>29</v>
      </c>
    </row>
    <row r="2533" spans="1:6" x14ac:dyDescent="0.25">
      <c r="A2533" s="4" t="s">
        <v>0</v>
      </c>
      <c r="B2533" s="4" t="s">
        <v>6</v>
      </c>
      <c r="C2533" s="4" t="s">
        <v>34</v>
      </c>
      <c r="D2533" s="4">
        <v>2016</v>
      </c>
      <c r="E2533" s="4">
        <v>222306.83333061248</v>
      </c>
      <c r="F2533" s="4" t="s">
        <v>29</v>
      </c>
    </row>
    <row r="2534" spans="1:6" x14ac:dyDescent="0.25">
      <c r="A2534" s="4" t="s">
        <v>0</v>
      </c>
      <c r="B2534" s="4" t="s">
        <v>6</v>
      </c>
      <c r="C2534" s="4" t="s">
        <v>34</v>
      </c>
      <c r="D2534" s="4">
        <v>2017</v>
      </c>
      <c r="E2534" s="4">
        <v>245914.92329379948</v>
      </c>
      <c r="F2534" s="4" t="s">
        <v>29</v>
      </c>
    </row>
    <row r="2535" spans="1:6" x14ac:dyDescent="0.25">
      <c r="A2535" s="4" t="s">
        <v>0</v>
      </c>
      <c r="B2535" s="4" t="s">
        <v>6</v>
      </c>
      <c r="C2535" s="4" t="s">
        <v>34</v>
      </c>
      <c r="D2535" s="4">
        <v>2018</v>
      </c>
      <c r="E2535" s="4">
        <v>272762.17768442695</v>
      </c>
      <c r="F2535" s="4" t="s">
        <v>29</v>
      </c>
    </row>
    <row r="2536" spans="1:6" x14ac:dyDescent="0.25">
      <c r="A2536" s="4" t="s">
        <v>0</v>
      </c>
      <c r="B2536" s="4" t="s">
        <v>6</v>
      </c>
      <c r="C2536" s="4" t="s">
        <v>34</v>
      </c>
      <c r="D2536" s="4">
        <v>2019</v>
      </c>
      <c r="E2536" s="4">
        <v>284162.61891845125</v>
      </c>
      <c r="F2536" s="4" t="s">
        <v>29</v>
      </c>
    </row>
    <row r="2537" spans="1:6" x14ac:dyDescent="0.25">
      <c r="A2537" s="4" t="s">
        <v>0</v>
      </c>
      <c r="B2537" s="4" t="s">
        <v>6</v>
      </c>
      <c r="C2537" s="4" t="s">
        <v>34</v>
      </c>
      <c r="D2537" s="4">
        <v>2020</v>
      </c>
      <c r="E2537" s="4">
        <v>295882.20606529893</v>
      </c>
      <c r="F2537" s="4" t="s">
        <v>29</v>
      </c>
    </row>
    <row r="2538" spans="1:6" x14ac:dyDescent="0.25">
      <c r="A2538" s="4" t="s">
        <v>0</v>
      </c>
      <c r="B2538" s="4" t="s">
        <v>6</v>
      </c>
      <c r="C2538" s="4" t="s">
        <v>34</v>
      </c>
      <c r="D2538" s="4">
        <v>2021</v>
      </c>
      <c r="E2538" s="4">
        <v>312045.04483255232</v>
      </c>
      <c r="F2538" s="4" t="s">
        <v>29</v>
      </c>
    </row>
    <row r="2539" spans="1:6" x14ac:dyDescent="0.25">
      <c r="A2539" s="4" t="s">
        <v>0</v>
      </c>
      <c r="B2539" s="4" t="s">
        <v>6</v>
      </c>
      <c r="C2539" s="4" t="s">
        <v>34</v>
      </c>
      <c r="D2539" s="4">
        <v>2022</v>
      </c>
      <c r="E2539" s="4">
        <v>330001.52106524771</v>
      </c>
      <c r="F2539" s="4" t="s">
        <v>29</v>
      </c>
    </row>
    <row r="2540" spans="1:6" x14ac:dyDescent="0.25">
      <c r="A2540" s="4" t="s">
        <v>0</v>
      </c>
      <c r="B2540" s="4" t="s">
        <v>6</v>
      </c>
      <c r="C2540" s="4" t="s">
        <v>34</v>
      </c>
      <c r="D2540" s="4">
        <v>2023</v>
      </c>
      <c r="E2540" s="4">
        <v>360761.47673649504</v>
      </c>
      <c r="F2540" s="4" t="s">
        <v>29</v>
      </c>
    </row>
    <row r="2541" spans="1:6" x14ac:dyDescent="0.25">
      <c r="A2541" s="4" t="s">
        <v>0</v>
      </c>
      <c r="B2541" s="4" t="s">
        <v>6</v>
      </c>
      <c r="C2541" s="4" t="s">
        <v>34</v>
      </c>
      <c r="D2541" s="4">
        <v>2024</v>
      </c>
      <c r="E2541" s="4">
        <v>385834.40092542779</v>
      </c>
      <c r="F2541" s="4" t="s">
        <v>29</v>
      </c>
    </row>
    <row r="2542" spans="1:6" x14ac:dyDescent="0.25">
      <c r="A2542" s="4" t="s">
        <v>0</v>
      </c>
      <c r="B2542" s="4" t="s">
        <v>6</v>
      </c>
      <c r="C2542" s="4" t="s">
        <v>34</v>
      </c>
      <c r="D2542" s="4">
        <v>2025</v>
      </c>
      <c r="E2542" s="4">
        <v>400520.32671273896</v>
      </c>
      <c r="F2542" s="4" t="s">
        <v>29</v>
      </c>
    </row>
    <row r="2543" spans="1:6" x14ac:dyDescent="0.25">
      <c r="A2543" s="4" t="s">
        <v>0</v>
      </c>
      <c r="B2543" s="4" t="s">
        <v>6</v>
      </c>
      <c r="C2543" s="4" t="s">
        <v>34</v>
      </c>
      <c r="D2543" s="4">
        <v>2026</v>
      </c>
      <c r="E2543" s="4">
        <v>424148.91973252734</v>
      </c>
      <c r="F2543" s="4" t="s">
        <v>29</v>
      </c>
    </row>
    <row r="2544" spans="1:6" x14ac:dyDescent="0.25">
      <c r="A2544" s="4" t="s">
        <v>0</v>
      </c>
      <c r="B2544" s="4" t="s">
        <v>6</v>
      </c>
      <c r="C2544" s="4" t="s">
        <v>34</v>
      </c>
      <c r="D2544" s="4">
        <v>2027</v>
      </c>
      <c r="E2544" s="4">
        <v>435257.79760184925</v>
      </c>
      <c r="F2544" s="4" t="s">
        <v>29</v>
      </c>
    </row>
    <row r="2545" spans="1:6" x14ac:dyDescent="0.25">
      <c r="A2545" s="4" t="s">
        <v>0</v>
      </c>
      <c r="B2545" s="4" t="s">
        <v>6</v>
      </c>
      <c r="C2545" s="4" t="s">
        <v>34</v>
      </c>
      <c r="D2545" s="4">
        <v>2028</v>
      </c>
      <c r="E2545" s="4">
        <v>448795.07437364658</v>
      </c>
      <c r="F2545" s="4" t="s">
        <v>29</v>
      </c>
    </row>
    <row r="2546" spans="1:6" x14ac:dyDescent="0.25">
      <c r="A2546" s="4" t="s">
        <v>0</v>
      </c>
      <c r="B2546" s="4" t="s">
        <v>6</v>
      </c>
      <c r="C2546" s="4" t="s">
        <v>34</v>
      </c>
      <c r="D2546" s="4">
        <v>2029</v>
      </c>
      <c r="E2546" s="4">
        <v>457629.38591975474</v>
      </c>
      <c r="F2546" s="4" t="s">
        <v>29</v>
      </c>
    </row>
    <row r="2547" spans="1:6" x14ac:dyDescent="0.25">
      <c r="A2547" s="4" t="s">
        <v>0</v>
      </c>
      <c r="B2547" s="4" t="s">
        <v>6</v>
      </c>
      <c r="C2547" s="4" t="s">
        <v>34</v>
      </c>
      <c r="D2547" s="4">
        <v>2030</v>
      </c>
      <c r="E2547" s="4">
        <v>474185.94174517418</v>
      </c>
      <c r="F2547" s="4" t="s">
        <v>29</v>
      </c>
    </row>
    <row r="2548" spans="1:6" x14ac:dyDescent="0.25">
      <c r="A2548" s="4" t="s">
        <v>0</v>
      </c>
      <c r="B2548" s="4" t="s">
        <v>6</v>
      </c>
      <c r="C2548" s="4" t="s">
        <v>34</v>
      </c>
      <c r="D2548" s="4">
        <v>2031</v>
      </c>
      <c r="E2548" s="4">
        <v>492709.27301912702</v>
      </c>
      <c r="F2548" s="4" t="s">
        <v>29</v>
      </c>
    </row>
    <row r="2549" spans="1:6" x14ac:dyDescent="0.25">
      <c r="A2549" s="4" t="s">
        <v>0</v>
      </c>
      <c r="B2549" s="4" t="s">
        <v>6</v>
      </c>
      <c r="C2549" s="4" t="s">
        <v>34</v>
      </c>
      <c r="D2549" s="4">
        <v>2032</v>
      </c>
      <c r="E2549" s="4">
        <v>502549.04666740081</v>
      </c>
      <c r="F2549" s="4" t="s">
        <v>29</v>
      </c>
    </row>
    <row r="2550" spans="1:6" x14ac:dyDescent="0.25">
      <c r="A2550" s="4" t="s">
        <v>0</v>
      </c>
      <c r="B2550" s="4" t="s">
        <v>6</v>
      </c>
      <c r="C2550" s="4" t="s">
        <v>34</v>
      </c>
      <c r="D2550" s="4">
        <v>2033</v>
      </c>
      <c r="E2550" s="4">
        <v>512267.27668526414</v>
      </c>
      <c r="F2550" s="4" t="s">
        <v>29</v>
      </c>
    </row>
    <row r="2551" spans="1:6" x14ac:dyDescent="0.25">
      <c r="A2551" s="4" t="s">
        <v>0</v>
      </c>
      <c r="B2551" s="4" t="s">
        <v>6</v>
      </c>
      <c r="C2551" s="4" t="s">
        <v>34</v>
      </c>
      <c r="D2551" s="4">
        <v>2034</v>
      </c>
      <c r="E2551" s="4">
        <v>519567.43155508721</v>
      </c>
      <c r="F2551" s="4" t="s">
        <v>29</v>
      </c>
    </row>
    <row r="2552" spans="1:6" x14ac:dyDescent="0.25">
      <c r="A2552" s="4" t="s">
        <v>0</v>
      </c>
      <c r="B2552" s="4" t="s">
        <v>6</v>
      </c>
      <c r="C2552" s="4" t="s">
        <v>34</v>
      </c>
      <c r="D2552" s="4">
        <v>2035</v>
      </c>
      <c r="E2552" s="4">
        <v>524521.70072984754</v>
      </c>
      <c r="F2552" s="4" t="s">
        <v>29</v>
      </c>
    </row>
    <row r="2553" spans="1:6" x14ac:dyDescent="0.25">
      <c r="A2553" s="4" t="s">
        <v>0</v>
      </c>
      <c r="B2553" s="4" t="s">
        <v>6</v>
      </c>
      <c r="C2553" s="4" t="s">
        <v>34</v>
      </c>
      <c r="D2553" s="4">
        <v>2036</v>
      </c>
      <c r="E2553" s="4">
        <v>532984.51721051568</v>
      </c>
      <c r="F2553" s="4" t="s">
        <v>29</v>
      </c>
    </row>
    <row r="2554" spans="1:6" x14ac:dyDescent="0.25">
      <c r="A2554" s="4" t="s">
        <v>0</v>
      </c>
      <c r="B2554" s="4" t="s">
        <v>6</v>
      </c>
      <c r="C2554" s="4" t="s">
        <v>34</v>
      </c>
      <c r="D2554" s="4">
        <v>2037</v>
      </c>
      <c r="E2554" s="4">
        <v>543164.45912687574</v>
      </c>
      <c r="F2554" s="4" t="s">
        <v>29</v>
      </c>
    </row>
    <row r="2555" spans="1:6" x14ac:dyDescent="0.25">
      <c r="A2555" s="4" t="s">
        <v>0</v>
      </c>
      <c r="B2555" s="4" t="s">
        <v>6</v>
      </c>
      <c r="C2555" s="4" t="s">
        <v>34</v>
      </c>
      <c r="D2555" s="4">
        <v>2038</v>
      </c>
      <c r="E2555" s="4">
        <v>549853.68815716414</v>
      </c>
      <c r="F2555" s="4" t="s">
        <v>29</v>
      </c>
    </row>
    <row r="2556" spans="1:6" x14ac:dyDescent="0.25">
      <c r="A2556" s="4" t="s">
        <v>0</v>
      </c>
      <c r="B2556" s="4" t="s">
        <v>6</v>
      </c>
      <c r="C2556" s="4" t="s">
        <v>34</v>
      </c>
      <c r="D2556" s="4">
        <v>2039</v>
      </c>
      <c r="E2556" s="4">
        <v>552106.14308349392</v>
      </c>
      <c r="F2556" s="4" t="s">
        <v>29</v>
      </c>
    </row>
    <row r="2557" spans="1:6" x14ac:dyDescent="0.25">
      <c r="A2557" s="4" t="s">
        <v>0</v>
      </c>
      <c r="B2557" s="4" t="s">
        <v>6</v>
      </c>
      <c r="C2557" s="4" t="s">
        <v>34</v>
      </c>
      <c r="D2557" s="4">
        <v>2040</v>
      </c>
      <c r="E2557" s="4">
        <v>553393.24972269603</v>
      </c>
      <c r="F2557" s="4" t="s">
        <v>29</v>
      </c>
    </row>
    <row r="2558" spans="1:6" x14ac:dyDescent="0.25">
      <c r="A2558" s="4" t="s">
        <v>0</v>
      </c>
      <c r="B2558" s="4" t="s">
        <v>23</v>
      </c>
      <c r="C2558" s="4" t="s">
        <v>34</v>
      </c>
      <c r="D2558" s="4">
        <v>2005</v>
      </c>
      <c r="E2558" s="4">
        <v>411638.31634344597</v>
      </c>
      <c r="F2558" s="4" t="s">
        <v>29</v>
      </c>
    </row>
    <row r="2559" spans="1:6" x14ac:dyDescent="0.25">
      <c r="A2559" s="4" t="s">
        <v>0</v>
      </c>
      <c r="B2559" s="4" t="s">
        <v>23</v>
      </c>
      <c r="C2559" s="4" t="s">
        <v>34</v>
      </c>
      <c r="D2559" s="4">
        <v>2006</v>
      </c>
      <c r="E2559" s="4">
        <v>440428.42634664616</v>
      </c>
      <c r="F2559" s="4" t="s">
        <v>29</v>
      </c>
    </row>
    <row r="2560" spans="1:6" x14ac:dyDescent="0.25">
      <c r="A2560" s="4" t="s">
        <v>0</v>
      </c>
      <c r="B2560" s="4" t="s">
        <v>23</v>
      </c>
      <c r="C2560" s="4" t="s">
        <v>34</v>
      </c>
      <c r="D2560" s="4">
        <v>2007</v>
      </c>
      <c r="E2560" s="4">
        <v>457779.35539810546</v>
      </c>
      <c r="F2560" s="4" t="s">
        <v>29</v>
      </c>
    </row>
    <row r="2561" spans="1:6" x14ac:dyDescent="0.25">
      <c r="A2561" s="4" t="s">
        <v>0</v>
      </c>
      <c r="B2561" s="4" t="s">
        <v>23</v>
      </c>
      <c r="C2561" s="4" t="s">
        <v>34</v>
      </c>
      <c r="D2561" s="4">
        <v>2008</v>
      </c>
      <c r="E2561" s="4">
        <v>448246.58333333337</v>
      </c>
      <c r="F2561" s="4" t="s">
        <v>29</v>
      </c>
    </row>
    <row r="2562" spans="1:6" x14ac:dyDescent="0.25">
      <c r="A2562" s="4" t="s">
        <v>0</v>
      </c>
      <c r="B2562" s="4" t="s">
        <v>23</v>
      </c>
      <c r="C2562" s="4" t="s">
        <v>34</v>
      </c>
      <c r="D2562" s="4">
        <v>2009</v>
      </c>
      <c r="E2562" s="4">
        <v>454605.8598406298</v>
      </c>
      <c r="F2562" s="4" t="s">
        <v>29</v>
      </c>
    </row>
    <row r="2563" spans="1:6" x14ac:dyDescent="0.25">
      <c r="A2563" s="4" t="s">
        <v>0</v>
      </c>
      <c r="B2563" s="4" t="s">
        <v>23</v>
      </c>
      <c r="C2563" s="4" t="s">
        <v>34</v>
      </c>
      <c r="D2563" s="4">
        <v>2010</v>
      </c>
      <c r="E2563" s="4">
        <v>474322.64369997161</v>
      </c>
      <c r="F2563" s="4" t="s">
        <v>29</v>
      </c>
    </row>
    <row r="2564" spans="1:6" x14ac:dyDescent="0.25">
      <c r="A2564" s="4" t="s">
        <v>0</v>
      </c>
      <c r="B2564" s="4" t="s">
        <v>23</v>
      </c>
      <c r="C2564" s="4" t="s">
        <v>34</v>
      </c>
      <c r="D2564" s="4">
        <v>2011</v>
      </c>
      <c r="E2564" s="4">
        <v>499452.60662104306</v>
      </c>
      <c r="F2564" s="4" t="s">
        <v>29</v>
      </c>
    </row>
    <row r="2565" spans="1:6" x14ac:dyDescent="0.25">
      <c r="A2565" s="4" t="s">
        <v>0</v>
      </c>
      <c r="B2565" s="4" t="s">
        <v>23</v>
      </c>
      <c r="C2565" s="4" t="s">
        <v>34</v>
      </c>
      <c r="D2565" s="4">
        <v>2012</v>
      </c>
      <c r="E2565" s="4">
        <v>537046.95684612216</v>
      </c>
      <c r="F2565" s="4" t="s">
        <v>29</v>
      </c>
    </row>
    <row r="2566" spans="1:6" x14ac:dyDescent="0.25">
      <c r="A2566" s="4" t="s">
        <v>0</v>
      </c>
      <c r="B2566" s="4" t="s">
        <v>23</v>
      </c>
      <c r="C2566" s="4" t="s">
        <v>34</v>
      </c>
      <c r="D2566" s="4">
        <v>2013</v>
      </c>
      <c r="E2566" s="4">
        <v>575641.28997500683</v>
      </c>
      <c r="F2566" s="4" t="s">
        <v>29</v>
      </c>
    </row>
    <row r="2567" spans="1:6" x14ac:dyDescent="0.25">
      <c r="A2567" s="4" t="s">
        <v>0</v>
      </c>
      <c r="B2567" s="4" t="s">
        <v>23</v>
      </c>
      <c r="C2567" s="4" t="s">
        <v>34</v>
      </c>
      <c r="D2567" s="4">
        <v>2014</v>
      </c>
      <c r="E2567" s="4">
        <v>613070.82869441644</v>
      </c>
      <c r="F2567" s="4" t="s">
        <v>29</v>
      </c>
    </row>
    <row r="2568" spans="1:6" x14ac:dyDescent="0.25">
      <c r="A2568" s="4" t="s">
        <v>0</v>
      </c>
      <c r="B2568" s="4" t="s">
        <v>23</v>
      </c>
      <c r="C2568" s="4" t="s">
        <v>34</v>
      </c>
      <c r="D2568" s="4">
        <v>2015</v>
      </c>
      <c r="E2568" s="4">
        <v>638821.40372138773</v>
      </c>
      <c r="F2568" s="4" t="s">
        <v>29</v>
      </c>
    </row>
    <row r="2569" spans="1:6" x14ac:dyDescent="0.25">
      <c r="A2569" s="4" t="s">
        <v>0</v>
      </c>
      <c r="B2569" s="4" t="s">
        <v>23</v>
      </c>
      <c r="C2569" s="4" t="s">
        <v>34</v>
      </c>
      <c r="D2569" s="4">
        <v>2016</v>
      </c>
      <c r="E2569" s="4">
        <v>636569.01614092244</v>
      </c>
      <c r="F2569" s="4" t="s">
        <v>29</v>
      </c>
    </row>
    <row r="2570" spans="1:6" x14ac:dyDescent="0.25">
      <c r="A2570" s="4" t="s">
        <v>0</v>
      </c>
      <c r="B2570" s="4" t="s">
        <v>23</v>
      </c>
      <c r="C2570" s="4" t="s">
        <v>34</v>
      </c>
      <c r="D2570" s="4">
        <v>2017</v>
      </c>
      <c r="E2570" s="4">
        <v>692670.17989358678</v>
      </c>
      <c r="F2570" s="4" t="s">
        <v>29</v>
      </c>
    </row>
    <row r="2571" spans="1:6" x14ac:dyDescent="0.25">
      <c r="A2571" s="4" t="s">
        <v>0</v>
      </c>
      <c r="B2571" s="4" t="s">
        <v>23</v>
      </c>
      <c r="C2571" s="4" t="s">
        <v>34</v>
      </c>
      <c r="D2571" s="4">
        <v>2018</v>
      </c>
      <c r="E2571" s="4">
        <v>759286.43858427578</v>
      </c>
      <c r="F2571" s="4" t="s">
        <v>29</v>
      </c>
    </row>
    <row r="2572" spans="1:6" x14ac:dyDescent="0.25">
      <c r="A2572" s="4" t="s">
        <v>0</v>
      </c>
      <c r="B2572" s="4" t="s">
        <v>23</v>
      </c>
      <c r="C2572" s="4" t="s">
        <v>34</v>
      </c>
      <c r="D2572" s="4">
        <v>2019</v>
      </c>
      <c r="E2572" s="4">
        <v>802591.21888221812</v>
      </c>
      <c r="F2572" s="4" t="s">
        <v>29</v>
      </c>
    </row>
    <row r="2573" spans="1:6" x14ac:dyDescent="0.25">
      <c r="A2573" s="4" t="s">
        <v>0</v>
      </c>
      <c r="B2573" s="4" t="s">
        <v>23</v>
      </c>
      <c r="C2573" s="4" t="s">
        <v>34</v>
      </c>
      <c r="D2573" s="4">
        <v>2020</v>
      </c>
      <c r="E2573" s="4">
        <v>830203.35175359366</v>
      </c>
      <c r="F2573" s="4" t="s">
        <v>29</v>
      </c>
    </row>
    <row r="2574" spans="1:6" x14ac:dyDescent="0.25">
      <c r="A2574" s="4" t="s">
        <v>0</v>
      </c>
      <c r="B2574" s="4" t="s">
        <v>23</v>
      </c>
      <c r="C2574" s="4" t="s">
        <v>34</v>
      </c>
      <c r="D2574" s="4">
        <v>2021</v>
      </c>
      <c r="E2574" s="4">
        <v>862572.88829848752</v>
      </c>
      <c r="F2574" s="4" t="s">
        <v>29</v>
      </c>
    </row>
    <row r="2575" spans="1:6" x14ac:dyDescent="0.25">
      <c r="A2575" s="4" t="s">
        <v>0</v>
      </c>
      <c r="B2575" s="4" t="s">
        <v>23</v>
      </c>
      <c r="C2575" s="4" t="s">
        <v>34</v>
      </c>
      <c r="D2575" s="4">
        <v>2022</v>
      </c>
      <c r="E2575" s="4">
        <v>896504.31863947841</v>
      </c>
      <c r="F2575" s="4" t="s">
        <v>29</v>
      </c>
    </row>
    <row r="2576" spans="1:6" x14ac:dyDescent="0.25">
      <c r="A2576" s="4" t="s">
        <v>0</v>
      </c>
      <c r="B2576" s="4" t="s">
        <v>23</v>
      </c>
      <c r="C2576" s="4" t="s">
        <v>34</v>
      </c>
      <c r="D2576" s="4">
        <v>2023</v>
      </c>
      <c r="E2576" s="4">
        <v>956111.09618434403</v>
      </c>
      <c r="F2576" s="4" t="s">
        <v>29</v>
      </c>
    </row>
    <row r="2577" spans="1:6" x14ac:dyDescent="0.25">
      <c r="A2577" s="4" t="s">
        <v>0</v>
      </c>
      <c r="B2577" s="4" t="s">
        <v>23</v>
      </c>
      <c r="C2577" s="4" t="s">
        <v>34</v>
      </c>
      <c r="D2577" s="4">
        <v>2024</v>
      </c>
      <c r="E2577" s="4">
        <v>1003693.673568077</v>
      </c>
      <c r="F2577" s="4" t="s">
        <v>29</v>
      </c>
    </row>
    <row r="2578" spans="1:6" x14ac:dyDescent="0.25">
      <c r="A2578" s="4" t="s">
        <v>0</v>
      </c>
      <c r="B2578" s="4" t="s">
        <v>23</v>
      </c>
      <c r="C2578" s="4" t="s">
        <v>34</v>
      </c>
      <c r="D2578" s="4">
        <v>2025</v>
      </c>
      <c r="E2578" s="4">
        <v>1041282.1791461238</v>
      </c>
      <c r="F2578" s="4" t="s">
        <v>29</v>
      </c>
    </row>
    <row r="2579" spans="1:6" x14ac:dyDescent="0.25">
      <c r="A2579" s="4" t="s">
        <v>0</v>
      </c>
      <c r="B2579" s="4" t="s">
        <v>23</v>
      </c>
      <c r="C2579" s="4" t="s">
        <v>34</v>
      </c>
      <c r="D2579" s="4">
        <v>2026</v>
      </c>
      <c r="E2579" s="4">
        <v>1087712.5358680598</v>
      </c>
      <c r="F2579" s="4" t="s">
        <v>29</v>
      </c>
    </row>
    <row r="2580" spans="1:6" x14ac:dyDescent="0.25">
      <c r="A2580" s="4" t="s">
        <v>0</v>
      </c>
      <c r="B2580" s="4" t="s">
        <v>23</v>
      </c>
      <c r="C2580" s="4" t="s">
        <v>34</v>
      </c>
      <c r="D2580" s="4">
        <v>2027</v>
      </c>
      <c r="E2580" s="4">
        <v>1121153.5513965595</v>
      </c>
      <c r="F2580" s="4" t="s">
        <v>29</v>
      </c>
    </row>
    <row r="2581" spans="1:6" x14ac:dyDescent="0.25">
      <c r="A2581" s="4" t="s">
        <v>0</v>
      </c>
      <c r="B2581" s="4" t="s">
        <v>23</v>
      </c>
      <c r="C2581" s="4" t="s">
        <v>34</v>
      </c>
      <c r="D2581" s="4">
        <v>2028</v>
      </c>
      <c r="E2581" s="4">
        <v>1148151.5011284349</v>
      </c>
      <c r="F2581" s="4" t="s">
        <v>29</v>
      </c>
    </row>
    <row r="2582" spans="1:6" x14ac:dyDescent="0.25">
      <c r="A2582" s="4" t="s">
        <v>0</v>
      </c>
      <c r="B2582" s="4" t="s">
        <v>23</v>
      </c>
      <c r="C2582" s="4" t="s">
        <v>34</v>
      </c>
      <c r="D2582" s="4">
        <v>2029</v>
      </c>
      <c r="E2582" s="4">
        <v>1170751.355211362</v>
      </c>
      <c r="F2582" s="4" t="s">
        <v>29</v>
      </c>
    </row>
    <row r="2583" spans="1:6" x14ac:dyDescent="0.25">
      <c r="A2583" s="4" t="s">
        <v>0</v>
      </c>
      <c r="B2583" s="4" t="s">
        <v>23</v>
      </c>
      <c r="C2583" s="4" t="s">
        <v>34</v>
      </c>
      <c r="D2583" s="4">
        <v>2030</v>
      </c>
      <c r="E2583" s="4">
        <v>1204953.3466060073</v>
      </c>
      <c r="F2583" s="4" t="s">
        <v>29</v>
      </c>
    </row>
    <row r="2584" spans="1:6" x14ac:dyDescent="0.25">
      <c r="A2584" s="4" t="s">
        <v>0</v>
      </c>
      <c r="B2584" s="4" t="s">
        <v>23</v>
      </c>
      <c r="C2584" s="4" t="s">
        <v>34</v>
      </c>
      <c r="D2584" s="4">
        <v>2031</v>
      </c>
      <c r="E2584" s="4">
        <v>1238426.8967528036</v>
      </c>
      <c r="F2584" s="4" t="s">
        <v>29</v>
      </c>
    </row>
    <row r="2585" spans="1:6" x14ac:dyDescent="0.25">
      <c r="A2585" s="4" t="s">
        <v>0</v>
      </c>
      <c r="B2585" s="4" t="s">
        <v>23</v>
      </c>
      <c r="C2585" s="4" t="s">
        <v>34</v>
      </c>
      <c r="D2585" s="4">
        <v>2032</v>
      </c>
      <c r="E2585" s="4">
        <v>1260207.1401624831</v>
      </c>
      <c r="F2585" s="4" t="s">
        <v>29</v>
      </c>
    </row>
    <row r="2586" spans="1:6" x14ac:dyDescent="0.25">
      <c r="A2586" s="4" t="s">
        <v>0</v>
      </c>
      <c r="B2586" s="4" t="s">
        <v>23</v>
      </c>
      <c r="C2586" s="4" t="s">
        <v>34</v>
      </c>
      <c r="D2586" s="4">
        <v>2033</v>
      </c>
      <c r="E2586" s="4">
        <v>1283838.5590919128</v>
      </c>
      <c r="F2586" s="4" t="s">
        <v>29</v>
      </c>
    </row>
    <row r="2587" spans="1:6" x14ac:dyDescent="0.25">
      <c r="A2587" s="4" t="s">
        <v>0</v>
      </c>
      <c r="B2587" s="4" t="s">
        <v>23</v>
      </c>
      <c r="C2587" s="4" t="s">
        <v>34</v>
      </c>
      <c r="D2587" s="4">
        <v>2034</v>
      </c>
      <c r="E2587" s="4">
        <v>1302349.4438698501</v>
      </c>
      <c r="F2587" s="4" t="s">
        <v>29</v>
      </c>
    </row>
    <row r="2588" spans="1:6" x14ac:dyDescent="0.25">
      <c r="A2588" s="4" t="s">
        <v>0</v>
      </c>
      <c r="B2588" s="4" t="s">
        <v>23</v>
      </c>
      <c r="C2588" s="4" t="s">
        <v>34</v>
      </c>
      <c r="D2588" s="4">
        <v>2035</v>
      </c>
      <c r="E2588" s="4">
        <v>1319626.8811728847</v>
      </c>
      <c r="F2588" s="4" t="s">
        <v>29</v>
      </c>
    </row>
    <row r="2589" spans="1:6" x14ac:dyDescent="0.25">
      <c r="A2589" s="4" t="s">
        <v>0</v>
      </c>
      <c r="B2589" s="4" t="s">
        <v>23</v>
      </c>
      <c r="C2589" s="4" t="s">
        <v>34</v>
      </c>
      <c r="D2589" s="4">
        <v>2036</v>
      </c>
      <c r="E2589" s="4">
        <v>1340307.9296276025</v>
      </c>
      <c r="F2589" s="4" t="s">
        <v>29</v>
      </c>
    </row>
    <row r="2590" spans="1:6" x14ac:dyDescent="0.25">
      <c r="A2590" s="4" t="s">
        <v>0</v>
      </c>
      <c r="B2590" s="4" t="s">
        <v>23</v>
      </c>
      <c r="C2590" s="4" t="s">
        <v>34</v>
      </c>
      <c r="D2590" s="4">
        <v>2037</v>
      </c>
      <c r="E2590" s="4">
        <v>1361309.19717076</v>
      </c>
      <c r="F2590" s="4" t="s">
        <v>29</v>
      </c>
    </row>
    <row r="2591" spans="1:6" x14ac:dyDescent="0.25">
      <c r="A2591" s="4" t="s">
        <v>0</v>
      </c>
      <c r="B2591" s="4" t="s">
        <v>23</v>
      </c>
      <c r="C2591" s="4" t="s">
        <v>34</v>
      </c>
      <c r="D2591" s="4">
        <v>2038</v>
      </c>
      <c r="E2591" s="4">
        <v>1374636.1496562371</v>
      </c>
      <c r="F2591" s="4" t="s">
        <v>29</v>
      </c>
    </row>
    <row r="2592" spans="1:6" x14ac:dyDescent="0.25">
      <c r="A2592" s="4" t="s">
        <v>0</v>
      </c>
      <c r="B2592" s="4" t="s">
        <v>23</v>
      </c>
      <c r="C2592" s="4" t="s">
        <v>34</v>
      </c>
      <c r="D2592" s="4">
        <v>2039</v>
      </c>
      <c r="E2592" s="4">
        <v>1384332.6067193802</v>
      </c>
      <c r="F2592" s="4" t="s">
        <v>29</v>
      </c>
    </row>
    <row r="2593" spans="1:6" x14ac:dyDescent="0.25">
      <c r="A2593" s="4" t="s">
        <v>0</v>
      </c>
      <c r="B2593" s="4" t="s">
        <v>23</v>
      </c>
      <c r="C2593" s="4" t="s">
        <v>34</v>
      </c>
      <c r="D2593" s="4">
        <v>2040</v>
      </c>
      <c r="E2593" s="4">
        <v>1391681.7806878858</v>
      </c>
      <c r="F2593" s="4" t="s">
        <v>29</v>
      </c>
    </row>
    <row r="2594" spans="1:6" x14ac:dyDescent="0.25">
      <c r="A2594" s="4" t="s">
        <v>73</v>
      </c>
      <c r="B2594" s="4" t="s">
        <v>1</v>
      </c>
      <c r="C2594" s="4" t="s">
        <v>34</v>
      </c>
      <c r="D2594" s="4">
        <v>2005</v>
      </c>
      <c r="E2594" s="4">
        <v>4645.0814215309774</v>
      </c>
      <c r="F2594" s="4" t="s">
        <v>29</v>
      </c>
    </row>
    <row r="2595" spans="1:6" x14ac:dyDescent="0.25">
      <c r="A2595" s="4" t="s">
        <v>73</v>
      </c>
      <c r="B2595" s="4" t="s">
        <v>1</v>
      </c>
      <c r="C2595" s="4" t="s">
        <v>34</v>
      </c>
      <c r="D2595" s="4">
        <v>2006</v>
      </c>
      <c r="E2595" s="4">
        <v>4506.6333115719408</v>
      </c>
      <c r="F2595" s="4" t="s">
        <v>29</v>
      </c>
    </row>
    <row r="2596" spans="1:6" x14ac:dyDescent="0.25">
      <c r="A2596" s="4" t="s">
        <v>73</v>
      </c>
      <c r="B2596" s="4" t="s">
        <v>1</v>
      </c>
      <c r="C2596" s="4" t="s">
        <v>34</v>
      </c>
      <c r="D2596" s="4">
        <v>2007</v>
      </c>
      <c r="E2596" s="4">
        <v>4045.0273214285717</v>
      </c>
      <c r="F2596" s="4" t="s">
        <v>29</v>
      </c>
    </row>
    <row r="2597" spans="1:6" x14ac:dyDescent="0.25">
      <c r="A2597" s="4" t="s">
        <v>73</v>
      </c>
      <c r="B2597" s="4" t="s">
        <v>1</v>
      </c>
      <c r="C2597" s="4" t="s">
        <v>34</v>
      </c>
      <c r="D2597" s="4">
        <v>2008</v>
      </c>
      <c r="E2597" s="4">
        <v>3676.5833333333326</v>
      </c>
      <c r="F2597" s="4" t="s">
        <v>29</v>
      </c>
    </row>
    <row r="2598" spans="1:6" x14ac:dyDescent="0.25">
      <c r="A2598" s="4" t="s">
        <v>73</v>
      </c>
      <c r="B2598" s="4" t="s">
        <v>1</v>
      </c>
      <c r="C2598" s="4" t="s">
        <v>34</v>
      </c>
      <c r="D2598" s="4">
        <v>2009</v>
      </c>
      <c r="E2598" s="4">
        <v>3498.2216820276499</v>
      </c>
      <c r="F2598" s="4" t="s">
        <v>29</v>
      </c>
    </row>
    <row r="2599" spans="1:6" x14ac:dyDescent="0.25">
      <c r="A2599" s="4" t="s">
        <v>73</v>
      </c>
      <c r="B2599" s="4" t="s">
        <v>1</v>
      </c>
      <c r="C2599" s="4" t="s">
        <v>34</v>
      </c>
      <c r="D2599" s="4">
        <v>2010</v>
      </c>
      <c r="E2599" s="4">
        <v>3464.9128584229393</v>
      </c>
      <c r="F2599" s="4" t="s">
        <v>29</v>
      </c>
    </row>
    <row r="2600" spans="1:6" x14ac:dyDescent="0.25">
      <c r="A2600" s="4" t="s">
        <v>73</v>
      </c>
      <c r="B2600" s="4" t="s">
        <v>1</v>
      </c>
      <c r="C2600" s="4" t="s">
        <v>34</v>
      </c>
      <c r="D2600" s="4">
        <v>2011</v>
      </c>
      <c r="E2600" s="4">
        <v>3237.5430209933434</v>
      </c>
      <c r="F2600" s="4" t="s">
        <v>29</v>
      </c>
    </row>
    <row r="2601" spans="1:6" x14ac:dyDescent="0.25">
      <c r="A2601" s="4" t="s">
        <v>73</v>
      </c>
      <c r="B2601" s="4" t="s">
        <v>1</v>
      </c>
      <c r="C2601" s="4" t="s">
        <v>34</v>
      </c>
      <c r="D2601" s="4">
        <v>2012</v>
      </c>
      <c r="E2601" s="4">
        <v>3325.7563966135208</v>
      </c>
      <c r="F2601" s="4" t="s">
        <v>29</v>
      </c>
    </row>
    <row r="2602" spans="1:6" x14ac:dyDescent="0.25">
      <c r="A2602" s="4" t="s">
        <v>73</v>
      </c>
      <c r="B2602" s="4" t="s">
        <v>1</v>
      </c>
      <c r="C2602" s="4" t="s">
        <v>34</v>
      </c>
      <c r="D2602" s="4">
        <v>2013</v>
      </c>
      <c r="E2602" s="4">
        <v>3123.6676024065546</v>
      </c>
      <c r="F2602" s="4" t="s">
        <v>29</v>
      </c>
    </row>
    <row r="2603" spans="1:6" x14ac:dyDescent="0.25">
      <c r="A2603" s="4" t="s">
        <v>73</v>
      </c>
      <c r="B2603" s="4" t="s">
        <v>1</v>
      </c>
      <c r="C2603" s="4" t="s">
        <v>34</v>
      </c>
      <c r="D2603" s="4">
        <v>2014</v>
      </c>
      <c r="E2603" s="4">
        <v>3412.9239823348694</v>
      </c>
      <c r="F2603" s="4" t="s">
        <v>29</v>
      </c>
    </row>
    <row r="2604" spans="1:6" x14ac:dyDescent="0.25">
      <c r="A2604" s="4" t="s">
        <v>73</v>
      </c>
      <c r="B2604" s="4" t="s">
        <v>1</v>
      </c>
      <c r="C2604" s="4" t="s">
        <v>34</v>
      </c>
      <c r="D2604" s="4">
        <v>2015</v>
      </c>
      <c r="E2604" s="4">
        <v>3376.5470302099329</v>
      </c>
      <c r="F2604" s="4" t="s">
        <v>29</v>
      </c>
    </row>
    <row r="2605" spans="1:6" x14ac:dyDescent="0.25">
      <c r="A2605" s="4" t="s">
        <v>73</v>
      </c>
      <c r="B2605" s="4" t="s">
        <v>1</v>
      </c>
      <c r="C2605" s="4" t="s">
        <v>34</v>
      </c>
      <c r="D2605" s="4">
        <v>2016</v>
      </c>
      <c r="E2605" s="4">
        <v>3694.2616858237539</v>
      </c>
      <c r="F2605" s="4" t="s">
        <v>29</v>
      </c>
    </row>
    <row r="2606" spans="1:6" x14ac:dyDescent="0.25">
      <c r="A2606" s="4" t="s">
        <v>73</v>
      </c>
      <c r="B2606" s="4" t="s">
        <v>1</v>
      </c>
      <c r="C2606" s="4" t="s">
        <v>34</v>
      </c>
      <c r="D2606" s="4">
        <v>2017</v>
      </c>
      <c r="E2606" s="4">
        <v>3350.1810418182517</v>
      </c>
      <c r="F2606" s="4" t="s">
        <v>29</v>
      </c>
    </row>
    <row r="2607" spans="1:6" x14ac:dyDescent="0.25">
      <c r="A2607" s="4" t="s">
        <v>73</v>
      </c>
      <c r="B2607" s="4" t="s">
        <v>1</v>
      </c>
      <c r="C2607" s="4" t="s">
        <v>34</v>
      </c>
      <c r="D2607" s="4">
        <v>2018</v>
      </c>
      <c r="E2607" s="4">
        <v>3193.9120688736821</v>
      </c>
      <c r="F2607" s="4" t="s">
        <v>29</v>
      </c>
    </row>
    <row r="2608" spans="1:6" x14ac:dyDescent="0.25">
      <c r="A2608" s="4" t="s">
        <v>73</v>
      </c>
      <c r="B2608" s="4" t="s">
        <v>1</v>
      </c>
      <c r="C2608" s="4" t="s">
        <v>34</v>
      </c>
      <c r="D2608" s="4">
        <v>2019</v>
      </c>
      <c r="E2608" s="4">
        <v>3074.1669194463352</v>
      </c>
      <c r="F2608" s="4" t="s">
        <v>29</v>
      </c>
    </row>
    <row r="2609" spans="1:6" x14ac:dyDescent="0.25">
      <c r="A2609" s="4" t="s">
        <v>73</v>
      </c>
      <c r="B2609" s="4" t="s">
        <v>1</v>
      </c>
      <c r="C2609" s="4" t="s">
        <v>34</v>
      </c>
      <c r="D2609" s="4">
        <v>2020</v>
      </c>
      <c r="E2609" s="4">
        <v>2976.2591774762891</v>
      </c>
      <c r="F2609" s="4" t="s">
        <v>29</v>
      </c>
    </row>
    <row r="2610" spans="1:6" x14ac:dyDescent="0.25">
      <c r="A2610" s="4" t="s">
        <v>73</v>
      </c>
      <c r="B2610" s="4" t="s">
        <v>1</v>
      </c>
      <c r="C2610" s="4" t="s">
        <v>34</v>
      </c>
      <c r="D2610" s="4">
        <v>2021</v>
      </c>
      <c r="E2610" s="4">
        <v>2970.3345245842606</v>
      </c>
      <c r="F2610" s="4" t="s">
        <v>29</v>
      </c>
    </row>
    <row r="2611" spans="1:6" x14ac:dyDescent="0.25">
      <c r="A2611" s="4" t="s">
        <v>73</v>
      </c>
      <c r="B2611" s="4" t="s">
        <v>1</v>
      </c>
      <c r="C2611" s="4" t="s">
        <v>34</v>
      </c>
      <c r="D2611" s="4">
        <v>2022</v>
      </c>
      <c r="E2611" s="4">
        <v>3045.8452340322483</v>
      </c>
      <c r="F2611" s="4" t="s">
        <v>29</v>
      </c>
    </row>
    <row r="2612" spans="1:6" x14ac:dyDescent="0.25">
      <c r="A2612" s="4" t="s">
        <v>73</v>
      </c>
      <c r="B2612" s="4" t="s">
        <v>1</v>
      </c>
      <c r="C2612" s="4" t="s">
        <v>34</v>
      </c>
      <c r="D2612" s="4">
        <v>2023</v>
      </c>
      <c r="E2612" s="4">
        <v>3061.9878313251129</v>
      </c>
      <c r="F2612" s="4" t="s">
        <v>29</v>
      </c>
    </row>
    <row r="2613" spans="1:6" x14ac:dyDescent="0.25">
      <c r="A2613" s="4" t="s">
        <v>73</v>
      </c>
      <c r="B2613" s="4" t="s">
        <v>1</v>
      </c>
      <c r="C2613" s="4" t="s">
        <v>34</v>
      </c>
      <c r="D2613" s="4">
        <v>2024</v>
      </c>
      <c r="E2613" s="4">
        <v>3030.7212500264022</v>
      </c>
      <c r="F2613" s="4" t="s">
        <v>29</v>
      </c>
    </row>
    <row r="2614" spans="1:6" x14ac:dyDescent="0.25">
      <c r="A2614" s="4" t="s">
        <v>73</v>
      </c>
      <c r="B2614" s="4" t="s">
        <v>1</v>
      </c>
      <c r="C2614" s="4" t="s">
        <v>34</v>
      </c>
      <c r="D2614" s="4">
        <v>2025</v>
      </c>
      <c r="E2614" s="4">
        <v>3037.3367756702382</v>
      </c>
      <c r="F2614" s="4" t="s">
        <v>29</v>
      </c>
    </row>
    <row r="2615" spans="1:6" x14ac:dyDescent="0.25">
      <c r="A2615" s="4" t="s">
        <v>73</v>
      </c>
      <c r="B2615" s="4" t="s">
        <v>1</v>
      </c>
      <c r="C2615" s="4" t="s">
        <v>34</v>
      </c>
      <c r="D2615" s="4">
        <v>2026</v>
      </c>
      <c r="E2615" s="4">
        <v>3051.6329782390339</v>
      </c>
      <c r="F2615" s="4" t="s">
        <v>29</v>
      </c>
    </row>
    <row r="2616" spans="1:6" x14ac:dyDescent="0.25">
      <c r="A2616" s="4" t="s">
        <v>73</v>
      </c>
      <c r="B2616" s="4" t="s">
        <v>1</v>
      </c>
      <c r="C2616" s="4" t="s">
        <v>34</v>
      </c>
      <c r="D2616" s="4">
        <v>2027</v>
      </c>
      <c r="E2616" s="4">
        <v>3080.4033039419073</v>
      </c>
      <c r="F2616" s="4" t="s">
        <v>29</v>
      </c>
    </row>
    <row r="2617" spans="1:6" x14ac:dyDescent="0.25">
      <c r="A2617" s="4" t="s">
        <v>73</v>
      </c>
      <c r="B2617" s="4" t="s">
        <v>1</v>
      </c>
      <c r="C2617" s="4" t="s">
        <v>34</v>
      </c>
      <c r="D2617" s="4">
        <v>2028</v>
      </c>
      <c r="E2617" s="4">
        <v>3121.7597634407903</v>
      </c>
      <c r="F2617" s="4" t="s">
        <v>29</v>
      </c>
    </row>
    <row r="2618" spans="1:6" x14ac:dyDescent="0.25">
      <c r="A2618" s="4" t="s">
        <v>73</v>
      </c>
      <c r="B2618" s="4" t="s">
        <v>1</v>
      </c>
      <c r="C2618" s="4" t="s">
        <v>34</v>
      </c>
      <c r="D2618" s="4">
        <v>2029</v>
      </c>
      <c r="E2618" s="4">
        <v>3170.2288531893391</v>
      </c>
      <c r="F2618" s="4" t="s">
        <v>29</v>
      </c>
    </row>
    <row r="2619" spans="1:6" x14ac:dyDescent="0.25">
      <c r="A2619" s="4" t="s">
        <v>73</v>
      </c>
      <c r="B2619" s="4" t="s">
        <v>1</v>
      </c>
      <c r="C2619" s="4" t="s">
        <v>34</v>
      </c>
      <c r="D2619" s="4">
        <v>2030</v>
      </c>
      <c r="E2619" s="4">
        <v>3222.2083459042392</v>
      </c>
      <c r="F2619" s="4" t="s">
        <v>29</v>
      </c>
    </row>
    <row r="2620" spans="1:6" x14ac:dyDescent="0.25">
      <c r="A2620" s="4" t="s">
        <v>73</v>
      </c>
      <c r="B2620" s="4" t="s">
        <v>1</v>
      </c>
      <c r="C2620" s="4" t="s">
        <v>34</v>
      </c>
      <c r="D2620" s="4">
        <v>2031</v>
      </c>
      <c r="E2620" s="4">
        <v>3277.7065710556258</v>
      </c>
      <c r="F2620" s="4" t="s">
        <v>29</v>
      </c>
    </row>
    <row r="2621" spans="1:6" x14ac:dyDescent="0.25">
      <c r="A2621" s="4" t="s">
        <v>73</v>
      </c>
      <c r="B2621" s="4" t="s">
        <v>1</v>
      </c>
      <c r="C2621" s="4" t="s">
        <v>34</v>
      </c>
      <c r="D2621" s="4">
        <v>2032</v>
      </c>
      <c r="E2621" s="4">
        <v>3339.2279243069015</v>
      </c>
      <c r="F2621" s="4" t="s">
        <v>29</v>
      </c>
    </row>
    <row r="2622" spans="1:6" x14ac:dyDescent="0.25">
      <c r="A2622" s="4" t="s">
        <v>73</v>
      </c>
      <c r="B2622" s="4" t="s">
        <v>1</v>
      </c>
      <c r="C2622" s="4" t="s">
        <v>34</v>
      </c>
      <c r="D2622" s="4">
        <v>2033</v>
      </c>
      <c r="E2622" s="4">
        <v>3406.5755694759532</v>
      </c>
      <c r="F2622" s="4" t="s">
        <v>29</v>
      </c>
    </row>
    <row r="2623" spans="1:6" x14ac:dyDescent="0.25">
      <c r="A2623" s="4" t="s">
        <v>73</v>
      </c>
      <c r="B2623" s="4" t="s">
        <v>1</v>
      </c>
      <c r="C2623" s="4" t="s">
        <v>34</v>
      </c>
      <c r="D2623" s="4">
        <v>2034</v>
      </c>
      <c r="E2623" s="4">
        <v>3479.5499310097134</v>
      </c>
      <c r="F2623" s="4" t="s">
        <v>29</v>
      </c>
    </row>
    <row r="2624" spans="1:6" x14ac:dyDescent="0.25">
      <c r="A2624" s="4" t="s">
        <v>73</v>
      </c>
      <c r="B2624" s="4" t="s">
        <v>1</v>
      </c>
      <c r="C2624" s="4" t="s">
        <v>34</v>
      </c>
      <c r="D2624" s="4">
        <v>2035</v>
      </c>
      <c r="E2624" s="4">
        <v>3552.1857037120021</v>
      </c>
      <c r="F2624" s="4" t="s">
        <v>29</v>
      </c>
    </row>
    <row r="2625" spans="1:6" x14ac:dyDescent="0.25">
      <c r="A2625" s="4" t="s">
        <v>73</v>
      </c>
      <c r="B2625" s="4" t="s">
        <v>1</v>
      </c>
      <c r="C2625" s="4" t="s">
        <v>34</v>
      </c>
      <c r="D2625" s="4">
        <v>2036</v>
      </c>
      <c r="E2625" s="4">
        <v>3624.7959068282694</v>
      </c>
      <c r="F2625" s="4" t="s">
        <v>29</v>
      </c>
    </row>
    <row r="2626" spans="1:6" x14ac:dyDescent="0.25">
      <c r="A2626" s="4" t="s">
        <v>73</v>
      </c>
      <c r="B2626" s="4" t="s">
        <v>1</v>
      </c>
      <c r="C2626" s="4" t="s">
        <v>34</v>
      </c>
      <c r="D2626" s="4">
        <v>2037</v>
      </c>
      <c r="E2626" s="4">
        <v>3705.7425599062026</v>
      </c>
      <c r="F2626" s="4" t="s">
        <v>29</v>
      </c>
    </row>
    <row r="2627" spans="1:6" x14ac:dyDescent="0.25">
      <c r="A2627" s="4" t="s">
        <v>73</v>
      </c>
      <c r="B2627" s="4" t="s">
        <v>1</v>
      </c>
      <c r="C2627" s="4" t="s">
        <v>34</v>
      </c>
      <c r="D2627" s="4">
        <v>2038</v>
      </c>
      <c r="E2627" s="4">
        <v>3791.2562062658117</v>
      </c>
      <c r="F2627" s="4" t="s">
        <v>29</v>
      </c>
    </row>
    <row r="2628" spans="1:6" x14ac:dyDescent="0.25">
      <c r="A2628" s="4" t="s">
        <v>73</v>
      </c>
      <c r="B2628" s="4" t="s">
        <v>1</v>
      </c>
      <c r="C2628" s="4" t="s">
        <v>34</v>
      </c>
      <c r="D2628" s="4">
        <v>2039</v>
      </c>
      <c r="E2628" s="4">
        <v>3880.7473868716279</v>
      </c>
      <c r="F2628" s="4" t="s">
        <v>29</v>
      </c>
    </row>
    <row r="2629" spans="1:6" x14ac:dyDescent="0.25">
      <c r="A2629" s="4" t="s">
        <v>73</v>
      </c>
      <c r="B2629" s="4" t="s">
        <v>1</v>
      </c>
      <c r="C2629" s="4" t="s">
        <v>34</v>
      </c>
      <c r="D2629" s="4">
        <v>2040</v>
      </c>
      <c r="E2629" s="4">
        <v>3975.2699258161197</v>
      </c>
      <c r="F2629" s="4" t="s">
        <v>29</v>
      </c>
    </row>
    <row r="2630" spans="1:6" x14ac:dyDescent="0.25">
      <c r="A2630" s="4" t="s">
        <v>73</v>
      </c>
      <c r="B2630" s="4" t="s">
        <v>2</v>
      </c>
      <c r="C2630" s="4" t="s">
        <v>34</v>
      </c>
      <c r="D2630" s="4">
        <v>2005</v>
      </c>
      <c r="E2630" s="4">
        <v>0</v>
      </c>
      <c r="F2630" s="4" t="s">
        <v>29</v>
      </c>
    </row>
    <row r="2631" spans="1:6" x14ac:dyDescent="0.25">
      <c r="A2631" s="4" t="s">
        <v>73</v>
      </c>
      <c r="B2631" s="4" t="s">
        <v>2</v>
      </c>
      <c r="C2631" s="4" t="s">
        <v>34</v>
      </c>
      <c r="D2631" s="4">
        <v>2006</v>
      </c>
      <c r="E2631" s="4">
        <v>0</v>
      </c>
      <c r="F2631" s="4" t="s">
        <v>29</v>
      </c>
    </row>
    <row r="2632" spans="1:6" x14ac:dyDescent="0.25">
      <c r="A2632" s="4" t="s">
        <v>73</v>
      </c>
      <c r="B2632" s="4" t="s">
        <v>2</v>
      </c>
      <c r="C2632" s="4" t="s">
        <v>34</v>
      </c>
      <c r="D2632" s="4">
        <v>2007</v>
      </c>
      <c r="E2632" s="4">
        <v>0</v>
      </c>
      <c r="F2632" s="4" t="s">
        <v>29</v>
      </c>
    </row>
    <row r="2633" spans="1:6" x14ac:dyDescent="0.25">
      <c r="A2633" s="4" t="s">
        <v>73</v>
      </c>
      <c r="B2633" s="4" t="s">
        <v>2</v>
      </c>
      <c r="C2633" s="4" t="s">
        <v>34</v>
      </c>
      <c r="D2633" s="4">
        <v>2008</v>
      </c>
      <c r="E2633" s="4">
        <v>0</v>
      </c>
      <c r="F2633" s="4" t="s">
        <v>29</v>
      </c>
    </row>
    <row r="2634" spans="1:6" x14ac:dyDescent="0.25">
      <c r="A2634" s="4" t="s">
        <v>73</v>
      </c>
      <c r="B2634" s="4" t="s">
        <v>2</v>
      </c>
      <c r="C2634" s="4" t="s">
        <v>34</v>
      </c>
      <c r="D2634" s="4">
        <v>2009</v>
      </c>
      <c r="E2634" s="4">
        <v>0</v>
      </c>
      <c r="F2634" s="4" t="s">
        <v>29</v>
      </c>
    </row>
    <row r="2635" spans="1:6" x14ac:dyDescent="0.25">
      <c r="A2635" s="4" t="s">
        <v>73</v>
      </c>
      <c r="B2635" s="4" t="s">
        <v>2</v>
      </c>
      <c r="C2635" s="4" t="s">
        <v>34</v>
      </c>
      <c r="D2635" s="4">
        <v>2010</v>
      </c>
      <c r="E2635" s="4">
        <v>0</v>
      </c>
      <c r="F2635" s="4" t="s">
        <v>29</v>
      </c>
    </row>
    <row r="2636" spans="1:6" x14ac:dyDescent="0.25">
      <c r="A2636" s="4" t="s">
        <v>73</v>
      </c>
      <c r="B2636" s="4" t="s">
        <v>2</v>
      </c>
      <c r="C2636" s="4" t="s">
        <v>34</v>
      </c>
      <c r="D2636" s="4">
        <v>2011</v>
      </c>
      <c r="E2636" s="4">
        <v>0</v>
      </c>
      <c r="F2636" s="4" t="s">
        <v>29</v>
      </c>
    </row>
    <row r="2637" spans="1:6" x14ac:dyDescent="0.25">
      <c r="A2637" s="4" t="s">
        <v>73</v>
      </c>
      <c r="B2637" s="4" t="s">
        <v>2</v>
      </c>
      <c r="C2637" s="4" t="s">
        <v>34</v>
      </c>
      <c r="D2637" s="4">
        <v>2012</v>
      </c>
      <c r="E2637" s="4">
        <v>0</v>
      </c>
      <c r="F2637" s="4" t="s">
        <v>29</v>
      </c>
    </row>
    <row r="2638" spans="1:6" x14ac:dyDescent="0.25">
      <c r="A2638" s="4" t="s">
        <v>73</v>
      </c>
      <c r="B2638" s="4" t="s">
        <v>2</v>
      </c>
      <c r="C2638" s="4" t="s">
        <v>34</v>
      </c>
      <c r="D2638" s="4">
        <v>2013</v>
      </c>
      <c r="E2638" s="4">
        <v>0</v>
      </c>
      <c r="F2638" s="4" t="s">
        <v>29</v>
      </c>
    </row>
    <row r="2639" spans="1:6" x14ac:dyDescent="0.25">
      <c r="A2639" s="4" t="s">
        <v>73</v>
      </c>
      <c r="B2639" s="4" t="s">
        <v>2</v>
      </c>
      <c r="C2639" s="4" t="s">
        <v>34</v>
      </c>
      <c r="D2639" s="4">
        <v>2014</v>
      </c>
      <c r="E2639" s="4">
        <v>0</v>
      </c>
      <c r="F2639" s="4" t="s">
        <v>29</v>
      </c>
    </row>
    <row r="2640" spans="1:6" x14ac:dyDescent="0.25">
      <c r="A2640" s="4" t="s">
        <v>73</v>
      </c>
      <c r="B2640" s="4" t="s">
        <v>2</v>
      </c>
      <c r="C2640" s="4" t="s">
        <v>34</v>
      </c>
      <c r="D2640" s="4">
        <v>2015</v>
      </c>
      <c r="E2640" s="4">
        <v>0</v>
      </c>
      <c r="F2640" s="4" t="s">
        <v>29</v>
      </c>
    </row>
    <row r="2641" spans="1:6" x14ac:dyDescent="0.25">
      <c r="A2641" s="4" t="s">
        <v>73</v>
      </c>
      <c r="B2641" s="4" t="s">
        <v>2</v>
      </c>
      <c r="C2641" s="4" t="s">
        <v>34</v>
      </c>
      <c r="D2641" s="4">
        <v>2016</v>
      </c>
      <c r="E2641" s="4">
        <v>0</v>
      </c>
      <c r="F2641" s="4" t="s">
        <v>29</v>
      </c>
    </row>
    <row r="2642" spans="1:6" x14ac:dyDescent="0.25">
      <c r="A2642" s="4" t="s">
        <v>73</v>
      </c>
      <c r="B2642" s="4" t="s">
        <v>2</v>
      </c>
      <c r="C2642" s="4" t="s">
        <v>34</v>
      </c>
      <c r="D2642" s="4">
        <v>2017</v>
      </c>
      <c r="E2642" s="4">
        <v>0</v>
      </c>
      <c r="F2642" s="4" t="s">
        <v>29</v>
      </c>
    </row>
    <row r="2643" spans="1:6" x14ac:dyDescent="0.25">
      <c r="A2643" s="4" t="s">
        <v>73</v>
      </c>
      <c r="B2643" s="4" t="s">
        <v>2</v>
      </c>
      <c r="C2643" s="4" t="s">
        <v>34</v>
      </c>
      <c r="D2643" s="4">
        <v>2018</v>
      </c>
      <c r="E2643" s="4">
        <v>0</v>
      </c>
      <c r="F2643" s="4" t="s">
        <v>29</v>
      </c>
    </row>
    <row r="2644" spans="1:6" x14ac:dyDescent="0.25">
      <c r="A2644" s="4" t="s">
        <v>73</v>
      </c>
      <c r="B2644" s="4" t="s">
        <v>2</v>
      </c>
      <c r="C2644" s="4" t="s">
        <v>34</v>
      </c>
      <c r="D2644" s="4">
        <v>2019</v>
      </c>
      <c r="E2644" s="4">
        <v>0</v>
      </c>
      <c r="F2644" s="4" t="s">
        <v>29</v>
      </c>
    </row>
    <row r="2645" spans="1:6" x14ac:dyDescent="0.25">
      <c r="A2645" s="4" t="s">
        <v>73</v>
      </c>
      <c r="B2645" s="4" t="s">
        <v>2</v>
      </c>
      <c r="C2645" s="4" t="s">
        <v>34</v>
      </c>
      <c r="D2645" s="4">
        <v>2020</v>
      </c>
      <c r="E2645" s="4">
        <v>0</v>
      </c>
      <c r="F2645" s="4" t="s">
        <v>29</v>
      </c>
    </row>
    <row r="2646" spans="1:6" x14ac:dyDescent="0.25">
      <c r="A2646" s="4" t="s">
        <v>73</v>
      </c>
      <c r="B2646" s="4" t="s">
        <v>2</v>
      </c>
      <c r="C2646" s="4" t="s">
        <v>34</v>
      </c>
      <c r="D2646" s="4">
        <v>2021</v>
      </c>
      <c r="E2646" s="4">
        <v>0</v>
      </c>
      <c r="F2646" s="4" t="s">
        <v>29</v>
      </c>
    </row>
    <row r="2647" spans="1:6" x14ac:dyDescent="0.25">
      <c r="A2647" s="4" t="s">
        <v>73</v>
      </c>
      <c r="B2647" s="4" t="s">
        <v>2</v>
      </c>
      <c r="C2647" s="4" t="s">
        <v>34</v>
      </c>
      <c r="D2647" s="4">
        <v>2022</v>
      </c>
      <c r="E2647" s="4">
        <v>0</v>
      </c>
      <c r="F2647" s="4" t="s">
        <v>29</v>
      </c>
    </row>
    <row r="2648" spans="1:6" x14ac:dyDescent="0.25">
      <c r="A2648" s="4" t="s">
        <v>73</v>
      </c>
      <c r="B2648" s="4" t="s">
        <v>2</v>
      </c>
      <c r="C2648" s="4" t="s">
        <v>34</v>
      </c>
      <c r="D2648" s="4">
        <v>2023</v>
      </c>
      <c r="E2648" s="4">
        <v>0</v>
      </c>
      <c r="F2648" s="4" t="s">
        <v>29</v>
      </c>
    </row>
    <row r="2649" spans="1:6" x14ac:dyDescent="0.25">
      <c r="A2649" s="4" t="s">
        <v>73</v>
      </c>
      <c r="B2649" s="4" t="s">
        <v>2</v>
      </c>
      <c r="C2649" s="4" t="s">
        <v>34</v>
      </c>
      <c r="D2649" s="4">
        <v>2024</v>
      </c>
      <c r="E2649" s="4">
        <v>0</v>
      </c>
      <c r="F2649" s="4" t="s">
        <v>29</v>
      </c>
    </row>
    <row r="2650" spans="1:6" x14ac:dyDescent="0.25">
      <c r="A2650" s="4" t="s">
        <v>73</v>
      </c>
      <c r="B2650" s="4" t="s">
        <v>2</v>
      </c>
      <c r="C2650" s="4" t="s">
        <v>34</v>
      </c>
      <c r="D2650" s="4">
        <v>2025</v>
      </c>
      <c r="E2650" s="4">
        <v>0</v>
      </c>
      <c r="F2650" s="4" t="s">
        <v>29</v>
      </c>
    </row>
    <row r="2651" spans="1:6" x14ac:dyDescent="0.25">
      <c r="A2651" s="4" t="s">
        <v>73</v>
      </c>
      <c r="B2651" s="4" t="s">
        <v>2</v>
      </c>
      <c r="C2651" s="4" t="s">
        <v>34</v>
      </c>
      <c r="D2651" s="4">
        <v>2026</v>
      </c>
      <c r="E2651" s="4">
        <v>0</v>
      </c>
      <c r="F2651" s="4" t="s">
        <v>29</v>
      </c>
    </row>
    <row r="2652" spans="1:6" x14ac:dyDescent="0.25">
      <c r="A2652" s="4" t="s">
        <v>73</v>
      </c>
      <c r="B2652" s="4" t="s">
        <v>2</v>
      </c>
      <c r="C2652" s="4" t="s">
        <v>34</v>
      </c>
      <c r="D2652" s="4">
        <v>2027</v>
      </c>
      <c r="E2652" s="4">
        <v>0</v>
      </c>
      <c r="F2652" s="4" t="s">
        <v>29</v>
      </c>
    </row>
    <row r="2653" spans="1:6" x14ac:dyDescent="0.25">
      <c r="A2653" s="4" t="s">
        <v>73</v>
      </c>
      <c r="B2653" s="4" t="s">
        <v>2</v>
      </c>
      <c r="C2653" s="4" t="s">
        <v>34</v>
      </c>
      <c r="D2653" s="4">
        <v>2028</v>
      </c>
      <c r="E2653" s="4">
        <v>0</v>
      </c>
      <c r="F2653" s="4" t="s">
        <v>29</v>
      </c>
    </row>
    <row r="2654" spans="1:6" x14ac:dyDescent="0.25">
      <c r="A2654" s="4" t="s">
        <v>73</v>
      </c>
      <c r="B2654" s="4" t="s">
        <v>2</v>
      </c>
      <c r="C2654" s="4" t="s">
        <v>34</v>
      </c>
      <c r="D2654" s="4">
        <v>2029</v>
      </c>
      <c r="E2654" s="4">
        <v>0</v>
      </c>
      <c r="F2654" s="4" t="s">
        <v>29</v>
      </c>
    </row>
    <row r="2655" spans="1:6" x14ac:dyDescent="0.25">
      <c r="A2655" s="4" t="s">
        <v>73</v>
      </c>
      <c r="B2655" s="4" t="s">
        <v>2</v>
      </c>
      <c r="C2655" s="4" t="s">
        <v>34</v>
      </c>
      <c r="D2655" s="4">
        <v>2030</v>
      </c>
      <c r="E2655" s="4">
        <v>0</v>
      </c>
      <c r="F2655" s="4" t="s">
        <v>29</v>
      </c>
    </row>
    <row r="2656" spans="1:6" x14ac:dyDescent="0.25">
      <c r="A2656" s="4" t="s">
        <v>73</v>
      </c>
      <c r="B2656" s="4" t="s">
        <v>2</v>
      </c>
      <c r="C2656" s="4" t="s">
        <v>34</v>
      </c>
      <c r="D2656" s="4">
        <v>2031</v>
      </c>
      <c r="E2656" s="4">
        <v>0</v>
      </c>
      <c r="F2656" s="4" t="s">
        <v>29</v>
      </c>
    </row>
    <row r="2657" spans="1:6" x14ac:dyDescent="0.25">
      <c r="A2657" s="4" t="s">
        <v>73</v>
      </c>
      <c r="B2657" s="4" t="s">
        <v>2</v>
      </c>
      <c r="C2657" s="4" t="s">
        <v>34</v>
      </c>
      <c r="D2657" s="4">
        <v>2032</v>
      </c>
      <c r="E2657" s="4">
        <v>0</v>
      </c>
      <c r="F2657" s="4" t="s">
        <v>29</v>
      </c>
    </row>
    <row r="2658" spans="1:6" x14ac:dyDescent="0.25">
      <c r="A2658" s="4" t="s">
        <v>73</v>
      </c>
      <c r="B2658" s="4" t="s">
        <v>2</v>
      </c>
      <c r="C2658" s="4" t="s">
        <v>34</v>
      </c>
      <c r="D2658" s="4">
        <v>2033</v>
      </c>
      <c r="E2658" s="4">
        <v>0</v>
      </c>
      <c r="F2658" s="4" t="s">
        <v>29</v>
      </c>
    </row>
    <row r="2659" spans="1:6" x14ac:dyDescent="0.25">
      <c r="A2659" s="4" t="s">
        <v>73</v>
      </c>
      <c r="B2659" s="4" t="s">
        <v>2</v>
      </c>
      <c r="C2659" s="4" t="s">
        <v>34</v>
      </c>
      <c r="D2659" s="4">
        <v>2034</v>
      </c>
      <c r="E2659" s="4">
        <v>0</v>
      </c>
      <c r="F2659" s="4" t="s">
        <v>29</v>
      </c>
    </row>
    <row r="2660" spans="1:6" x14ac:dyDescent="0.25">
      <c r="A2660" s="4" t="s">
        <v>73</v>
      </c>
      <c r="B2660" s="4" t="s">
        <v>2</v>
      </c>
      <c r="C2660" s="4" t="s">
        <v>34</v>
      </c>
      <c r="D2660" s="4">
        <v>2035</v>
      </c>
      <c r="E2660" s="4">
        <v>0</v>
      </c>
      <c r="F2660" s="4" t="s">
        <v>29</v>
      </c>
    </row>
    <row r="2661" spans="1:6" x14ac:dyDescent="0.25">
      <c r="A2661" s="4" t="s">
        <v>73</v>
      </c>
      <c r="B2661" s="4" t="s">
        <v>2</v>
      </c>
      <c r="C2661" s="4" t="s">
        <v>34</v>
      </c>
      <c r="D2661" s="4">
        <v>2036</v>
      </c>
      <c r="E2661" s="4">
        <v>0</v>
      </c>
      <c r="F2661" s="4" t="s">
        <v>29</v>
      </c>
    </row>
    <row r="2662" spans="1:6" x14ac:dyDescent="0.25">
      <c r="A2662" s="4" t="s">
        <v>73</v>
      </c>
      <c r="B2662" s="4" t="s">
        <v>2</v>
      </c>
      <c r="C2662" s="4" t="s">
        <v>34</v>
      </c>
      <c r="D2662" s="4">
        <v>2037</v>
      </c>
      <c r="E2662" s="4">
        <v>0</v>
      </c>
      <c r="F2662" s="4" t="s">
        <v>29</v>
      </c>
    </row>
    <row r="2663" spans="1:6" x14ac:dyDescent="0.25">
      <c r="A2663" s="4" t="s">
        <v>73</v>
      </c>
      <c r="B2663" s="4" t="s">
        <v>2</v>
      </c>
      <c r="C2663" s="4" t="s">
        <v>34</v>
      </c>
      <c r="D2663" s="4">
        <v>2038</v>
      </c>
      <c r="E2663" s="4">
        <v>0</v>
      </c>
      <c r="F2663" s="4" t="s">
        <v>29</v>
      </c>
    </row>
    <row r="2664" spans="1:6" x14ac:dyDescent="0.25">
      <c r="A2664" s="4" t="s">
        <v>73</v>
      </c>
      <c r="B2664" s="4" t="s">
        <v>2</v>
      </c>
      <c r="C2664" s="4" t="s">
        <v>34</v>
      </c>
      <c r="D2664" s="4">
        <v>2039</v>
      </c>
      <c r="E2664" s="4">
        <v>0</v>
      </c>
      <c r="F2664" s="4" t="s">
        <v>29</v>
      </c>
    </row>
    <row r="2665" spans="1:6" x14ac:dyDescent="0.25">
      <c r="A2665" s="4" t="s">
        <v>73</v>
      </c>
      <c r="B2665" s="4" t="s">
        <v>2</v>
      </c>
      <c r="C2665" s="4" t="s">
        <v>34</v>
      </c>
      <c r="D2665" s="4">
        <v>2040</v>
      </c>
      <c r="E2665" s="4">
        <v>0</v>
      </c>
      <c r="F2665" s="4" t="s">
        <v>29</v>
      </c>
    </row>
    <row r="2666" spans="1:6" x14ac:dyDescent="0.25">
      <c r="A2666" s="4" t="s">
        <v>73</v>
      </c>
      <c r="B2666" s="4" t="s">
        <v>3</v>
      </c>
      <c r="C2666" s="4" t="s">
        <v>34</v>
      </c>
      <c r="D2666" s="4">
        <v>2005</v>
      </c>
      <c r="E2666" s="4">
        <v>1430</v>
      </c>
      <c r="F2666" s="4" t="s">
        <v>29</v>
      </c>
    </row>
    <row r="2667" spans="1:6" x14ac:dyDescent="0.25">
      <c r="A2667" s="4" t="s">
        <v>73</v>
      </c>
      <c r="B2667" s="4" t="s">
        <v>3</v>
      </c>
      <c r="C2667" s="4" t="s">
        <v>34</v>
      </c>
      <c r="D2667" s="4">
        <v>2006</v>
      </c>
      <c r="E2667" s="4">
        <v>1450</v>
      </c>
      <c r="F2667" s="4" t="s">
        <v>29</v>
      </c>
    </row>
    <row r="2668" spans="1:6" x14ac:dyDescent="0.25">
      <c r="A2668" s="4" t="s">
        <v>73</v>
      </c>
      <c r="B2668" s="4" t="s">
        <v>3</v>
      </c>
      <c r="C2668" s="4" t="s">
        <v>34</v>
      </c>
      <c r="D2668" s="4">
        <v>2007</v>
      </c>
      <c r="E2668" s="4">
        <v>1290</v>
      </c>
      <c r="F2668" s="4" t="s">
        <v>29</v>
      </c>
    </row>
    <row r="2669" spans="1:6" x14ac:dyDescent="0.25">
      <c r="A2669" s="4" t="s">
        <v>73</v>
      </c>
      <c r="B2669" s="4" t="s">
        <v>3</v>
      </c>
      <c r="C2669" s="4" t="s">
        <v>34</v>
      </c>
      <c r="D2669" s="4">
        <v>2008</v>
      </c>
      <c r="E2669" s="4">
        <v>1170</v>
      </c>
      <c r="F2669" s="4" t="s">
        <v>29</v>
      </c>
    </row>
    <row r="2670" spans="1:6" x14ac:dyDescent="0.25">
      <c r="A2670" s="4" t="s">
        <v>73</v>
      </c>
      <c r="B2670" s="4" t="s">
        <v>3</v>
      </c>
      <c r="C2670" s="4" t="s">
        <v>34</v>
      </c>
      <c r="D2670" s="4">
        <v>2009</v>
      </c>
      <c r="E2670" s="4">
        <v>1260</v>
      </c>
      <c r="F2670" s="4" t="s">
        <v>29</v>
      </c>
    </row>
    <row r="2671" spans="1:6" x14ac:dyDescent="0.25">
      <c r="A2671" s="4" t="s">
        <v>73</v>
      </c>
      <c r="B2671" s="4" t="s">
        <v>3</v>
      </c>
      <c r="C2671" s="4" t="s">
        <v>34</v>
      </c>
      <c r="D2671" s="4">
        <v>2010</v>
      </c>
      <c r="E2671" s="4">
        <v>1420</v>
      </c>
      <c r="F2671" s="4" t="s">
        <v>29</v>
      </c>
    </row>
    <row r="2672" spans="1:6" x14ac:dyDescent="0.25">
      <c r="A2672" s="4" t="s">
        <v>73</v>
      </c>
      <c r="B2672" s="4" t="s">
        <v>3</v>
      </c>
      <c r="C2672" s="4" t="s">
        <v>34</v>
      </c>
      <c r="D2672" s="4">
        <v>2011</v>
      </c>
      <c r="E2672" s="4">
        <v>1780</v>
      </c>
      <c r="F2672" s="4" t="s">
        <v>29</v>
      </c>
    </row>
    <row r="2673" spans="1:6" x14ac:dyDescent="0.25">
      <c r="A2673" s="4" t="s">
        <v>73</v>
      </c>
      <c r="B2673" s="4" t="s">
        <v>3</v>
      </c>
      <c r="C2673" s="4" t="s">
        <v>34</v>
      </c>
      <c r="D2673" s="4">
        <v>2012</v>
      </c>
      <c r="E2673" s="4">
        <v>2029.9999999999998</v>
      </c>
      <c r="F2673" s="4" t="s">
        <v>29</v>
      </c>
    </row>
    <row r="2674" spans="1:6" x14ac:dyDescent="0.25">
      <c r="A2674" s="4" t="s">
        <v>73</v>
      </c>
      <c r="B2674" s="4" t="s">
        <v>3</v>
      </c>
      <c r="C2674" s="4" t="s">
        <v>34</v>
      </c>
      <c r="D2674" s="4">
        <v>2013</v>
      </c>
      <c r="E2674" s="4">
        <v>2460</v>
      </c>
      <c r="F2674" s="4" t="s">
        <v>29</v>
      </c>
    </row>
    <row r="2675" spans="1:6" x14ac:dyDescent="0.25">
      <c r="A2675" s="4" t="s">
        <v>73</v>
      </c>
      <c r="B2675" s="4" t="s">
        <v>3</v>
      </c>
      <c r="C2675" s="4" t="s">
        <v>34</v>
      </c>
      <c r="D2675" s="4">
        <v>2014</v>
      </c>
      <c r="E2675" s="4">
        <v>3010</v>
      </c>
      <c r="F2675" s="4" t="s">
        <v>29</v>
      </c>
    </row>
    <row r="2676" spans="1:6" x14ac:dyDescent="0.25">
      <c r="A2676" s="4" t="s">
        <v>73</v>
      </c>
      <c r="B2676" s="4" t="s">
        <v>3</v>
      </c>
      <c r="C2676" s="4" t="s">
        <v>34</v>
      </c>
      <c r="D2676" s="4">
        <v>2015</v>
      </c>
      <c r="E2676" s="4">
        <v>3470</v>
      </c>
      <c r="F2676" s="4" t="s">
        <v>29</v>
      </c>
    </row>
    <row r="2677" spans="1:6" x14ac:dyDescent="0.25">
      <c r="A2677" s="4" t="s">
        <v>73</v>
      </c>
      <c r="B2677" s="4" t="s">
        <v>3</v>
      </c>
      <c r="C2677" s="4" t="s">
        <v>34</v>
      </c>
      <c r="D2677" s="4">
        <v>2016</v>
      </c>
      <c r="E2677" s="4">
        <v>4181.2090410958917</v>
      </c>
      <c r="F2677" s="4" t="s">
        <v>29</v>
      </c>
    </row>
    <row r="2678" spans="1:6" x14ac:dyDescent="0.25">
      <c r="A2678" s="4" t="s">
        <v>73</v>
      </c>
      <c r="B2678" s="4" t="s">
        <v>3</v>
      </c>
      <c r="C2678" s="4" t="s">
        <v>34</v>
      </c>
      <c r="D2678" s="4">
        <v>2017</v>
      </c>
      <c r="E2678" s="4">
        <v>5720.4719178082196</v>
      </c>
      <c r="F2678" s="4" t="s">
        <v>29</v>
      </c>
    </row>
    <row r="2679" spans="1:6" x14ac:dyDescent="0.25">
      <c r="A2679" s="4" t="s">
        <v>73</v>
      </c>
      <c r="B2679" s="4" t="s">
        <v>3</v>
      </c>
      <c r="C2679" s="4" t="s">
        <v>34</v>
      </c>
      <c r="D2679" s="4">
        <v>2018</v>
      </c>
      <c r="E2679" s="4">
        <v>6203.804282637785</v>
      </c>
      <c r="F2679" s="4" t="s">
        <v>29</v>
      </c>
    </row>
    <row r="2680" spans="1:6" x14ac:dyDescent="0.25">
      <c r="A2680" s="4" t="s">
        <v>73</v>
      </c>
      <c r="B2680" s="4" t="s">
        <v>3</v>
      </c>
      <c r="C2680" s="4" t="s">
        <v>34</v>
      </c>
      <c r="D2680" s="4">
        <v>2019</v>
      </c>
      <c r="E2680" s="4">
        <v>6327.88036829054</v>
      </c>
      <c r="F2680" s="4" t="s">
        <v>29</v>
      </c>
    </row>
    <row r="2681" spans="1:6" x14ac:dyDescent="0.25">
      <c r="A2681" s="4" t="s">
        <v>73</v>
      </c>
      <c r="B2681" s="4" t="s">
        <v>3</v>
      </c>
      <c r="C2681" s="4" t="s">
        <v>34</v>
      </c>
      <c r="D2681" s="4">
        <v>2020</v>
      </c>
      <c r="E2681" s="4">
        <v>6537.3621595676095</v>
      </c>
      <c r="F2681" s="4" t="s">
        <v>29</v>
      </c>
    </row>
    <row r="2682" spans="1:6" x14ac:dyDescent="0.25">
      <c r="A2682" s="4" t="s">
        <v>73</v>
      </c>
      <c r="B2682" s="4" t="s">
        <v>3</v>
      </c>
      <c r="C2682" s="4" t="s">
        <v>34</v>
      </c>
      <c r="D2682" s="4">
        <v>2021</v>
      </c>
      <c r="E2682" s="4">
        <v>6789.9539283128815</v>
      </c>
      <c r="F2682" s="4" t="s">
        <v>29</v>
      </c>
    </row>
    <row r="2683" spans="1:6" x14ac:dyDescent="0.25">
      <c r="A2683" s="4" t="s">
        <v>73</v>
      </c>
      <c r="B2683" s="4" t="s">
        <v>3</v>
      </c>
      <c r="C2683" s="4" t="s">
        <v>34</v>
      </c>
      <c r="D2683" s="4">
        <v>2022</v>
      </c>
      <c r="E2683" s="4">
        <v>7049.6070402821915</v>
      </c>
      <c r="F2683" s="4" t="s">
        <v>29</v>
      </c>
    </row>
    <row r="2684" spans="1:6" x14ac:dyDescent="0.25">
      <c r="A2684" s="4" t="s">
        <v>73</v>
      </c>
      <c r="B2684" s="4" t="s">
        <v>3</v>
      </c>
      <c r="C2684" s="4" t="s">
        <v>34</v>
      </c>
      <c r="D2684" s="4">
        <v>2023</v>
      </c>
      <c r="E2684" s="4">
        <v>7328.5685398796068</v>
      </c>
      <c r="F2684" s="4" t="s">
        <v>29</v>
      </c>
    </row>
    <row r="2685" spans="1:6" x14ac:dyDescent="0.25">
      <c r="A2685" s="4" t="s">
        <v>73</v>
      </c>
      <c r="B2685" s="4" t="s">
        <v>3</v>
      </c>
      <c r="C2685" s="4" t="s">
        <v>34</v>
      </c>
      <c r="D2685" s="4">
        <v>2024</v>
      </c>
      <c r="E2685" s="4">
        <v>7643.6472243790749</v>
      </c>
      <c r="F2685" s="4" t="s">
        <v>29</v>
      </c>
    </row>
    <row r="2686" spans="1:6" x14ac:dyDescent="0.25">
      <c r="A2686" s="4" t="s">
        <v>73</v>
      </c>
      <c r="B2686" s="4" t="s">
        <v>3</v>
      </c>
      <c r="C2686" s="4" t="s">
        <v>34</v>
      </c>
      <c r="D2686" s="4">
        <v>2025</v>
      </c>
      <c r="E2686" s="4">
        <v>8008.1977140905747</v>
      </c>
      <c r="F2686" s="4" t="s">
        <v>29</v>
      </c>
    </row>
    <row r="2687" spans="1:6" x14ac:dyDescent="0.25">
      <c r="A2687" s="4" t="s">
        <v>73</v>
      </c>
      <c r="B2687" s="4" t="s">
        <v>3</v>
      </c>
      <c r="C2687" s="4" t="s">
        <v>34</v>
      </c>
      <c r="D2687" s="4">
        <v>2026</v>
      </c>
      <c r="E2687" s="4">
        <v>8409.7600558649719</v>
      </c>
      <c r="F2687" s="4" t="s">
        <v>29</v>
      </c>
    </row>
    <row r="2688" spans="1:6" x14ac:dyDescent="0.25">
      <c r="A2688" s="4" t="s">
        <v>73</v>
      </c>
      <c r="B2688" s="4" t="s">
        <v>3</v>
      </c>
      <c r="C2688" s="4" t="s">
        <v>34</v>
      </c>
      <c r="D2688" s="4">
        <v>2027</v>
      </c>
      <c r="E2688" s="4">
        <v>8829.7492098165494</v>
      </c>
      <c r="F2688" s="4" t="s">
        <v>29</v>
      </c>
    </row>
    <row r="2689" spans="1:6" x14ac:dyDescent="0.25">
      <c r="A2689" s="4" t="s">
        <v>73</v>
      </c>
      <c r="B2689" s="4" t="s">
        <v>3</v>
      </c>
      <c r="C2689" s="4" t="s">
        <v>34</v>
      </c>
      <c r="D2689" s="4">
        <v>2028</v>
      </c>
      <c r="E2689" s="4">
        <v>9271.432607046856</v>
      </c>
      <c r="F2689" s="4" t="s">
        <v>29</v>
      </c>
    </row>
    <row r="2690" spans="1:6" x14ac:dyDescent="0.25">
      <c r="A2690" s="4" t="s">
        <v>73</v>
      </c>
      <c r="B2690" s="4" t="s">
        <v>3</v>
      </c>
      <c r="C2690" s="4" t="s">
        <v>34</v>
      </c>
      <c r="D2690" s="4">
        <v>2029</v>
      </c>
      <c r="E2690" s="4">
        <v>9732.4881297546581</v>
      </c>
      <c r="F2690" s="4" t="s">
        <v>29</v>
      </c>
    </row>
    <row r="2691" spans="1:6" x14ac:dyDescent="0.25">
      <c r="A2691" s="4" t="s">
        <v>73</v>
      </c>
      <c r="B2691" s="4" t="s">
        <v>3</v>
      </c>
      <c r="C2691" s="4" t="s">
        <v>34</v>
      </c>
      <c r="D2691" s="4">
        <v>2030</v>
      </c>
      <c r="E2691" s="4">
        <v>10233.560648296538</v>
      </c>
      <c r="F2691" s="4" t="s">
        <v>29</v>
      </c>
    </row>
    <row r="2692" spans="1:6" x14ac:dyDescent="0.25">
      <c r="A2692" s="4" t="s">
        <v>73</v>
      </c>
      <c r="B2692" s="4" t="s">
        <v>3</v>
      </c>
      <c r="C2692" s="4" t="s">
        <v>34</v>
      </c>
      <c r="D2692" s="4">
        <v>2031</v>
      </c>
      <c r="E2692" s="4">
        <v>10766.983374888667</v>
      </c>
      <c r="F2692" s="4" t="s">
        <v>29</v>
      </c>
    </row>
    <row r="2693" spans="1:6" x14ac:dyDescent="0.25">
      <c r="A2693" s="4" t="s">
        <v>73</v>
      </c>
      <c r="B2693" s="4" t="s">
        <v>3</v>
      </c>
      <c r="C2693" s="4" t="s">
        <v>34</v>
      </c>
      <c r="D2693" s="4">
        <v>2032</v>
      </c>
      <c r="E2693" s="4">
        <v>11323.289652386295</v>
      </c>
      <c r="F2693" s="4" t="s">
        <v>29</v>
      </c>
    </row>
    <row r="2694" spans="1:6" x14ac:dyDescent="0.25">
      <c r="A2694" s="4" t="s">
        <v>73</v>
      </c>
      <c r="B2694" s="4" t="s">
        <v>3</v>
      </c>
      <c r="C2694" s="4" t="s">
        <v>34</v>
      </c>
      <c r="D2694" s="4">
        <v>2033</v>
      </c>
      <c r="E2694" s="4">
        <v>11905.987491162121</v>
      </c>
      <c r="F2694" s="4" t="s">
        <v>29</v>
      </c>
    </row>
    <row r="2695" spans="1:6" x14ac:dyDescent="0.25">
      <c r="A2695" s="4" t="s">
        <v>73</v>
      </c>
      <c r="B2695" s="4" t="s">
        <v>3</v>
      </c>
      <c r="C2695" s="4" t="s">
        <v>34</v>
      </c>
      <c r="D2695" s="4">
        <v>2034</v>
      </c>
      <c r="E2695" s="4">
        <v>12517.213018191562</v>
      </c>
      <c r="F2695" s="4" t="s">
        <v>29</v>
      </c>
    </row>
    <row r="2696" spans="1:6" x14ac:dyDescent="0.25">
      <c r="A2696" s="4" t="s">
        <v>73</v>
      </c>
      <c r="B2696" s="4" t="s">
        <v>3</v>
      </c>
      <c r="C2696" s="4" t="s">
        <v>34</v>
      </c>
      <c r="D2696" s="4">
        <v>2035</v>
      </c>
      <c r="E2696" s="4">
        <v>13151.596537710982</v>
      </c>
      <c r="F2696" s="4" t="s">
        <v>29</v>
      </c>
    </row>
    <row r="2697" spans="1:6" x14ac:dyDescent="0.25">
      <c r="A2697" s="4" t="s">
        <v>73</v>
      </c>
      <c r="B2697" s="4" t="s">
        <v>3</v>
      </c>
      <c r="C2697" s="4" t="s">
        <v>34</v>
      </c>
      <c r="D2697" s="4">
        <v>2036</v>
      </c>
      <c r="E2697" s="4">
        <v>13812.72265820085</v>
      </c>
      <c r="F2697" s="4" t="s">
        <v>29</v>
      </c>
    </row>
    <row r="2698" spans="1:6" x14ac:dyDescent="0.25">
      <c r="A2698" s="4" t="s">
        <v>73</v>
      </c>
      <c r="B2698" s="4" t="s">
        <v>3</v>
      </c>
      <c r="C2698" s="4" t="s">
        <v>34</v>
      </c>
      <c r="D2698" s="4">
        <v>2037</v>
      </c>
      <c r="E2698" s="4">
        <v>14502.7618316875</v>
      </c>
      <c r="F2698" s="4" t="s">
        <v>29</v>
      </c>
    </row>
    <row r="2699" spans="1:6" x14ac:dyDescent="0.25">
      <c r="A2699" s="4" t="s">
        <v>73</v>
      </c>
      <c r="B2699" s="4" t="s">
        <v>3</v>
      </c>
      <c r="C2699" s="4" t="s">
        <v>34</v>
      </c>
      <c r="D2699" s="4">
        <v>2038</v>
      </c>
      <c r="E2699" s="4">
        <v>15223.9576950797</v>
      </c>
      <c r="F2699" s="4" t="s">
        <v>29</v>
      </c>
    </row>
    <row r="2700" spans="1:6" x14ac:dyDescent="0.25">
      <c r="A2700" s="4" t="s">
        <v>73</v>
      </c>
      <c r="B2700" s="4" t="s">
        <v>3</v>
      </c>
      <c r="C2700" s="4" t="s">
        <v>34</v>
      </c>
      <c r="D2700" s="4">
        <v>2039</v>
      </c>
      <c r="E2700" s="4">
        <v>15986.514025289549</v>
      </c>
      <c r="F2700" s="4" t="s">
        <v>29</v>
      </c>
    </row>
    <row r="2701" spans="1:6" x14ac:dyDescent="0.25">
      <c r="A2701" s="4" t="s">
        <v>73</v>
      </c>
      <c r="B2701" s="4" t="s">
        <v>3</v>
      </c>
      <c r="C2701" s="4" t="s">
        <v>34</v>
      </c>
      <c r="D2701" s="4">
        <v>2040</v>
      </c>
      <c r="E2701" s="4">
        <v>16786.691331326019</v>
      </c>
      <c r="F2701" s="4" t="s">
        <v>29</v>
      </c>
    </row>
    <row r="2702" spans="1:6" x14ac:dyDescent="0.25">
      <c r="A2702" s="4" t="s">
        <v>73</v>
      </c>
      <c r="B2702" s="4" t="s">
        <v>4</v>
      </c>
      <c r="C2702" s="4" t="s">
        <v>34</v>
      </c>
      <c r="D2702" s="4">
        <v>2005</v>
      </c>
      <c r="E2702" s="4">
        <v>550</v>
      </c>
      <c r="F2702" s="4" t="s">
        <v>29</v>
      </c>
    </row>
    <row r="2703" spans="1:6" x14ac:dyDescent="0.25">
      <c r="A2703" s="4" t="s">
        <v>73</v>
      </c>
      <c r="B2703" s="4" t="s">
        <v>4</v>
      </c>
      <c r="C2703" s="4" t="s">
        <v>34</v>
      </c>
      <c r="D2703" s="4">
        <v>2006</v>
      </c>
      <c r="E2703" s="4">
        <v>600</v>
      </c>
      <c r="F2703" s="4" t="s">
        <v>29</v>
      </c>
    </row>
    <row r="2704" spans="1:6" x14ac:dyDescent="0.25">
      <c r="A2704" s="4" t="s">
        <v>73</v>
      </c>
      <c r="B2704" s="4" t="s">
        <v>4</v>
      </c>
      <c r="C2704" s="4" t="s">
        <v>34</v>
      </c>
      <c r="D2704" s="4">
        <v>2007</v>
      </c>
      <c r="E2704" s="4">
        <v>660</v>
      </c>
      <c r="F2704" s="4" t="s">
        <v>29</v>
      </c>
    </row>
    <row r="2705" spans="1:6" x14ac:dyDescent="0.25">
      <c r="A2705" s="4" t="s">
        <v>73</v>
      </c>
      <c r="B2705" s="4" t="s">
        <v>4</v>
      </c>
      <c r="C2705" s="4" t="s">
        <v>34</v>
      </c>
      <c r="D2705" s="4">
        <v>2008</v>
      </c>
      <c r="E2705" s="4">
        <v>720</v>
      </c>
      <c r="F2705" s="4" t="s">
        <v>29</v>
      </c>
    </row>
    <row r="2706" spans="1:6" x14ac:dyDescent="0.25">
      <c r="A2706" s="4" t="s">
        <v>73</v>
      </c>
      <c r="B2706" s="4" t="s">
        <v>4</v>
      </c>
      <c r="C2706" s="4" t="s">
        <v>34</v>
      </c>
      <c r="D2706" s="4">
        <v>2009</v>
      </c>
      <c r="E2706" s="4">
        <v>720</v>
      </c>
      <c r="F2706" s="4" t="s">
        <v>29</v>
      </c>
    </row>
    <row r="2707" spans="1:6" x14ac:dyDescent="0.25">
      <c r="A2707" s="4" t="s">
        <v>73</v>
      </c>
      <c r="B2707" s="4" t="s">
        <v>4</v>
      </c>
      <c r="C2707" s="4" t="s">
        <v>34</v>
      </c>
      <c r="D2707" s="4">
        <v>2010</v>
      </c>
      <c r="E2707" s="4">
        <v>790</v>
      </c>
      <c r="F2707" s="4" t="s">
        <v>29</v>
      </c>
    </row>
    <row r="2708" spans="1:6" x14ac:dyDescent="0.25">
      <c r="A2708" s="4" t="s">
        <v>73</v>
      </c>
      <c r="B2708" s="4" t="s">
        <v>4</v>
      </c>
      <c r="C2708" s="4" t="s">
        <v>34</v>
      </c>
      <c r="D2708" s="4">
        <v>2011</v>
      </c>
      <c r="E2708" s="4">
        <v>880</v>
      </c>
      <c r="F2708" s="4" t="s">
        <v>29</v>
      </c>
    </row>
    <row r="2709" spans="1:6" x14ac:dyDescent="0.25">
      <c r="A2709" s="4" t="s">
        <v>73</v>
      </c>
      <c r="B2709" s="4" t="s">
        <v>4</v>
      </c>
      <c r="C2709" s="4" t="s">
        <v>34</v>
      </c>
      <c r="D2709" s="4">
        <v>2012</v>
      </c>
      <c r="E2709" s="4">
        <v>900</v>
      </c>
      <c r="F2709" s="4" t="s">
        <v>29</v>
      </c>
    </row>
    <row r="2710" spans="1:6" x14ac:dyDescent="0.25">
      <c r="A2710" s="4" t="s">
        <v>73</v>
      </c>
      <c r="B2710" s="4" t="s">
        <v>4</v>
      </c>
      <c r="C2710" s="4" t="s">
        <v>34</v>
      </c>
      <c r="D2710" s="4">
        <v>2013</v>
      </c>
      <c r="E2710" s="4">
        <v>960</v>
      </c>
      <c r="F2710" s="4" t="s">
        <v>29</v>
      </c>
    </row>
    <row r="2711" spans="1:6" x14ac:dyDescent="0.25">
      <c r="A2711" s="4" t="s">
        <v>73</v>
      </c>
      <c r="B2711" s="4" t="s">
        <v>4</v>
      </c>
      <c r="C2711" s="4" t="s">
        <v>34</v>
      </c>
      <c r="D2711" s="4">
        <v>2014</v>
      </c>
      <c r="E2711" s="4">
        <v>1430</v>
      </c>
      <c r="F2711" s="4" t="s">
        <v>29</v>
      </c>
    </row>
    <row r="2712" spans="1:6" x14ac:dyDescent="0.25">
      <c r="A2712" s="4" t="s">
        <v>73</v>
      </c>
      <c r="B2712" s="4" t="s">
        <v>4</v>
      </c>
      <c r="C2712" s="4" t="s">
        <v>34</v>
      </c>
      <c r="D2712" s="4">
        <v>2015</v>
      </c>
      <c r="E2712" s="4">
        <v>1840</v>
      </c>
      <c r="F2712" s="4" t="s">
        <v>29</v>
      </c>
    </row>
    <row r="2713" spans="1:6" x14ac:dyDescent="0.25">
      <c r="A2713" s="4" t="s">
        <v>73</v>
      </c>
      <c r="B2713" s="4" t="s">
        <v>4</v>
      </c>
      <c r="C2713" s="4" t="s">
        <v>34</v>
      </c>
      <c r="D2713" s="4">
        <v>2016</v>
      </c>
      <c r="E2713" s="4">
        <v>2536.7909589041078</v>
      </c>
      <c r="F2713" s="4" t="s">
        <v>29</v>
      </c>
    </row>
    <row r="2714" spans="1:6" x14ac:dyDescent="0.25">
      <c r="A2714" s="4" t="s">
        <v>73</v>
      </c>
      <c r="B2714" s="4" t="s">
        <v>4</v>
      </c>
      <c r="C2714" s="4" t="s">
        <v>34</v>
      </c>
      <c r="D2714" s="4">
        <v>2017</v>
      </c>
      <c r="E2714" s="4">
        <v>2619.52808219178</v>
      </c>
      <c r="F2714" s="4" t="s">
        <v>29</v>
      </c>
    </row>
    <row r="2715" spans="1:6" x14ac:dyDescent="0.25">
      <c r="A2715" s="4" t="s">
        <v>73</v>
      </c>
      <c r="B2715" s="4" t="s">
        <v>4</v>
      </c>
      <c r="C2715" s="4" t="s">
        <v>34</v>
      </c>
      <c r="D2715" s="4">
        <v>2018</v>
      </c>
      <c r="E2715" s="4">
        <v>2868.9837398261498</v>
      </c>
      <c r="F2715" s="4" t="s">
        <v>29</v>
      </c>
    </row>
    <row r="2716" spans="1:6" x14ac:dyDescent="0.25">
      <c r="A2716" s="4" t="s">
        <v>73</v>
      </c>
      <c r="B2716" s="4" t="s">
        <v>4</v>
      </c>
      <c r="C2716" s="4" t="s">
        <v>34</v>
      </c>
      <c r="D2716" s="4">
        <v>2019</v>
      </c>
      <c r="E2716" s="4">
        <v>2955.3373098169563</v>
      </c>
      <c r="F2716" s="4" t="s">
        <v>29</v>
      </c>
    </row>
    <row r="2717" spans="1:6" x14ac:dyDescent="0.25">
      <c r="A2717" s="4" t="s">
        <v>73</v>
      </c>
      <c r="B2717" s="4" t="s">
        <v>4</v>
      </c>
      <c r="C2717" s="4" t="s">
        <v>34</v>
      </c>
      <c r="D2717" s="4">
        <v>2020</v>
      </c>
      <c r="E2717" s="4">
        <v>3083.401926575692</v>
      </c>
      <c r="F2717" s="4" t="s">
        <v>29</v>
      </c>
    </row>
    <row r="2718" spans="1:6" x14ac:dyDescent="0.25">
      <c r="A2718" s="4" t="s">
        <v>73</v>
      </c>
      <c r="B2718" s="4" t="s">
        <v>4</v>
      </c>
      <c r="C2718" s="4" t="s">
        <v>34</v>
      </c>
      <c r="D2718" s="4">
        <v>2021</v>
      </c>
      <c r="E2718" s="4">
        <v>3234.2472684309314</v>
      </c>
      <c r="F2718" s="4" t="s">
        <v>29</v>
      </c>
    </row>
    <row r="2719" spans="1:6" x14ac:dyDescent="0.25">
      <c r="A2719" s="4" t="s">
        <v>73</v>
      </c>
      <c r="B2719" s="4" t="s">
        <v>4</v>
      </c>
      <c r="C2719" s="4" t="s">
        <v>34</v>
      </c>
      <c r="D2719" s="4">
        <v>2022</v>
      </c>
      <c r="E2719" s="4">
        <v>3391.1742019135572</v>
      </c>
      <c r="F2719" s="4" t="s">
        <v>29</v>
      </c>
    </row>
    <row r="2720" spans="1:6" x14ac:dyDescent="0.25">
      <c r="A2720" s="4" t="s">
        <v>73</v>
      </c>
      <c r="B2720" s="4" t="s">
        <v>4</v>
      </c>
      <c r="C2720" s="4" t="s">
        <v>34</v>
      </c>
      <c r="D2720" s="4">
        <v>2023</v>
      </c>
      <c r="E2720" s="4">
        <v>3560.271702068665</v>
      </c>
      <c r="F2720" s="4" t="s">
        <v>29</v>
      </c>
    </row>
    <row r="2721" spans="1:6" x14ac:dyDescent="0.25">
      <c r="A2721" s="4" t="s">
        <v>73</v>
      </c>
      <c r="B2721" s="4" t="s">
        <v>4</v>
      </c>
      <c r="C2721" s="4" t="s">
        <v>34</v>
      </c>
      <c r="D2721" s="4">
        <v>2024</v>
      </c>
      <c r="E2721" s="4">
        <v>3750.1049449240577</v>
      </c>
      <c r="F2721" s="4" t="s">
        <v>29</v>
      </c>
    </row>
    <row r="2722" spans="1:6" x14ac:dyDescent="0.25">
      <c r="A2722" s="4" t="s">
        <v>73</v>
      </c>
      <c r="B2722" s="4" t="s">
        <v>4</v>
      </c>
      <c r="C2722" s="4" t="s">
        <v>34</v>
      </c>
      <c r="D2722" s="4">
        <v>2025</v>
      </c>
      <c r="E2722" s="4">
        <v>3967.860283417835</v>
      </c>
      <c r="F2722" s="4" t="s">
        <v>29</v>
      </c>
    </row>
    <row r="2723" spans="1:6" x14ac:dyDescent="0.25">
      <c r="A2723" s="4" t="s">
        <v>73</v>
      </c>
      <c r="B2723" s="4" t="s">
        <v>4</v>
      </c>
      <c r="C2723" s="4" t="s">
        <v>34</v>
      </c>
      <c r="D2723" s="4">
        <v>2026</v>
      </c>
      <c r="E2723" s="4">
        <v>4208.0799967901476</v>
      </c>
      <c r="F2723" s="4" t="s">
        <v>29</v>
      </c>
    </row>
    <row r="2724" spans="1:6" x14ac:dyDescent="0.25">
      <c r="A2724" s="4" t="s">
        <v>73</v>
      </c>
      <c r="B2724" s="4" t="s">
        <v>4</v>
      </c>
      <c r="C2724" s="4" t="s">
        <v>34</v>
      </c>
      <c r="D2724" s="4">
        <v>2027</v>
      </c>
      <c r="E2724" s="4">
        <v>4461.979277268747</v>
      </c>
      <c r="F2724" s="4" t="s">
        <v>29</v>
      </c>
    </row>
    <row r="2725" spans="1:6" x14ac:dyDescent="0.25">
      <c r="A2725" s="4" t="s">
        <v>73</v>
      </c>
      <c r="B2725" s="4" t="s">
        <v>4</v>
      </c>
      <c r="C2725" s="4" t="s">
        <v>34</v>
      </c>
      <c r="D2725" s="4">
        <v>2028</v>
      </c>
      <c r="E2725" s="4">
        <v>4731.5651483908423</v>
      </c>
      <c r="F2725" s="4" t="s">
        <v>29</v>
      </c>
    </row>
    <row r="2726" spans="1:6" x14ac:dyDescent="0.25">
      <c r="A2726" s="4" t="s">
        <v>73</v>
      </c>
      <c r="B2726" s="4" t="s">
        <v>4</v>
      </c>
      <c r="C2726" s="4" t="s">
        <v>34</v>
      </c>
      <c r="D2726" s="4">
        <v>2029</v>
      </c>
      <c r="E2726" s="4">
        <v>5016.036165408138</v>
      </c>
      <c r="F2726" s="4" t="s">
        <v>29</v>
      </c>
    </row>
    <row r="2727" spans="1:6" x14ac:dyDescent="0.25">
      <c r="A2727" s="4" t="s">
        <v>73</v>
      </c>
      <c r="B2727" s="4" t="s">
        <v>4</v>
      </c>
      <c r="C2727" s="4" t="s">
        <v>34</v>
      </c>
      <c r="D2727" s="4">
        <v>2030</v>
      </c>
      <c r="E2727" s="4">
        <v>5326.5050372920041</v>
      </c>
      <c r="F2727" s="4" t="s">
        <v>29</v>
      </c>
    </row>
    <row r="2728" spans="1:6" x14ac:dyDescent="0.25">
      <c r="A2728" s="4" t="s">
        <v>73</v>
      </c>
      <c r="B2728" s="4" t="s">
        <v>4</v>
      </c>
      <c r="C2728" s="4" t="s">
        <v>34</v>
      </c>
      <c r="D2728" s="4">
        <v>2031</v>
      </c>
      <c r="E2728" s="4">
        <v>5659.6348845306156</v>
      </c>
      <c r="F2728" s="4" t="s">
        <v>29</v>
      </c>
    </row>
    <row r="2729" spans="1:6" x14ac:dyDescent="0.25">
      <c r="A2729" s="4" t="s">
        <v>73</v>
      </c>
      <c r="B2729" s="4" t="s">
        <v>4</v>
      </c>
      <c r="C2729" s="4" t="s">
        <v>34</v>
      </c>
      <c r="D2729" s="4">
        <v>2032</v>
      </c>
      <c r="E2729" s="4">
        <v>6010.9869779438668</v>
      </c>
      <c r="F2729" s="4" t="s">
        <v>29</v>
      </c>
    </row>
    <row r="2730" spans="1:6" x14ac:dyDescent="0.25">
      <c r="A2730" s="4" t="s">
        <v>73</v>
      </c>
      <c r="B2730" s="4" t="s">
        <v>4</v>
      </c>
      <c r="C2730" s="4" t="s">
        <v>34</v>
      </c>
      <c r="D2730" s="4">
        <v>2033</v>
      </c>
      <c r="E2730" s="4">
        <v>6382.8904435005188</v>
      </c>
      <c r="F2730" s="4" t="s">
        <v>29</v>
      </c>
    </row>
    <row r="2731" spans="1:6" x14ac:dyDescent="0.25">
      <c r="A2731" s="4" t="s">
        <v>73</v>
      </c>
      <c r="B2731" s="4" t="s">
        <v>4</v>
      </c>
      <c r="C2731" s="4" t="s">
        <v>34</v>
      </c>
      <c r="D2731" s="4">
        <v>2034</v>
      </c>
      <c r="E2731" s="4">
        <v>6777.0144149332364</v>
      </c>
      <c r="F2731" s="4" t="s">
        <v>29</v>
      </c>
    </row>
    <row r="2732" spans="1:6" x14ac:dyDescent="0.25">
      <c r="A2732" s="4" t="s">
        <v>73</v>
      </c>
      <c r="B2732" s="4" t="s">
        <v>4</v>
      </c>
      <c r="C2732" s="4" t="s">
        <v>34</v>
      </c>
      <c r="D2732" s="4">
        <v>2035</v>
      </c>
      <c r="E2732" s="4">
        <v>7190.9793472364454</v>
      </c>
      <c r="F2732" s="4" t="s">
        <v>29</v>
      </c>
    </row>
    <row r="2733" spans="1:6" x14ac:dyDescent="0.25">
      <c r="A2733" s="4" t="s">
        <v>73</v>
      </c>
      <c r="B2733" s="4" t="s">
        <v>4</v>
      </c>
      <c r="C2733" s="4" t="s">
        <v>34</v>
      </c>
      <c r="D2733" s="4">
        <v>2036</v>
      </c>
      <c r="E2733" s="4">
        <v>7627.2442477588074</v>
      </c>
      <c r="F2733" s="4" t="s">
        <v>29</v>
      </c>
    </row>
    <row r="2734" spans="1:6" x14ac:dyDescent="0.25">
      <c r="A2734" s="4" t="s">
        <v>73</v>
      </c>
      <c r="B2734" s="4" t="s">
        <v>4</v>
      </c>
      <c r="C2734" s="4" t="s">
        <v>34</v>
      </c>
      <c r="D2734" s="4">
        <v>2037</v>
      </c>
      <c r="E2734" s="4">
        <v>8087.5666948127082</v>
      </c>
      <c r="F2734" s="4" t="s">
        <v>29</v>
      </c>
    </row>
    <row r="2735" spans="1:6" x14ac:dyDescent="0.25">
      <c r="A2735" s="4" t="s">
        <v>73</v>
      </c>
      <c r="B2735" s="4" t="s">
        <v>4</v>
      </c>
      <c r="C2735" s="4" t="s">
        <v>34</v>
      </c>
      <c r="D2735" s="4">
        <v>2038</v>
      </c>
      <c r="E2735" s="4">
        <v>8573.8035156073329</v>
      </c>
      <c r="F2735" s="4" t="s">
        <v>29</v>
      </c>
    </row>
    <row r="2736" spans="1:6" x14ac:dyDescent="0.25">
      <c r="A2736" s="4" t="s">
        <v>73</v>
      </c>
      <c r="B2736" s="4" t="s">
        <v>4</v>
      </c>
      <c r="C2736" s="4" t="s">
        <v>34</v>
      </c>
      <c r="D2736" s="4">
        <v>2039</v>
      </c>
      <c r="E2736" s="4">
        <v>9092.3999140990509</v>
      </c>
      <c r="F2736" s="4" t="s">
        <v>29</v>
      </c>
    </row>
    <row r="2737" spans="1:6" x14ac:dyDescent="0.25">
      <c r="A2737" s="4" t="s">
        <v>73</v>
      </c>
      <c r="B2737" s="4" t="s">
        <v>4</v>
      </c>
      <c r="C2737" s="4" t="s">
        <v>34</v>
      </c>
      <c r="D2737" s="4">
        <v>2040</v>
      </c>
      <c r="E2737" s="4">
        <v>9642.0340089359488</v>
      </c>
      <c r="F2737" s="4" t="s">
        <v>29</v>
      </c>
    </row>
    <row r="2738" spans="1:6" x14ac:dyDescent="0.25">
      <c r="A2738" s="4" t="s">
        <v>73</v>
      </c>
      <c r="B2738" s="4" t="s">
        <v>23</v>
      </c>
      <c r="C2738" s="4" t="s">
        <v>34</v>
      </c>
      <c r="D2738" s="4">
        <v>2005</v>
      </c>
      <c r="E2738" s="4">
        <v>6625.0814215309774</v>
      </c>
      <c r="F2738" s="4" t="s">
        <v>29</v>
      </c>
    </row>
    <row r="2739" spans="1:6" x14ac:dyDescent="0.25">
      <c r="A2739" s="4" t="s">
        <v>73</v>
      </c>
      <c r="B2739" s="4" t="s">
        <v>23</v>
      </c>
      <c r="C2739" s="4" t="s">
        <v>34</v>
      </c>
      <c r="D2739" s="4">
        <v>2006</v>
      </c>
      <c r="E2739" s="4">
        <v>6556.6333115719408</v>
      </c>
      <c r="F2739" s="4" t="s">
        <v>29</v>
      </c>
    </row>
    <row r="2740" spans="1:6" x14ac:dyDescent="0.25">
      <c r="A2740" s="4" t="s">
        <v>73</v>
      </c>
      <c r="B2740" s="4" t="s">
        <v>23</v>
      </c>
      <c r="C2740" s="4" t="s">
        <v>34</v>
      </c>
      <c r="D2740" s="4">
        <v>2007</v>
      </c>
      <c r="E2740" s="4">
        <v>5995.0273214285717</v>
      </c>
      <c r="F2740" s="4" t="s">
        <v>29</v>
      </c>
    </row>
    <row r="2741" spans="1:6" x14ac:dyDescent="0.25">
      <c r="A2741" s="4" t="s">
        <v>73</v>
      </c>
      <c r="B2741" s="4" t="s">
        <v>23</v>
      </c>
      <c r="C2741" s="4" t="s">
        <v>34</v>
      </c>
      <c r="D2741" s="4">
        <v>2008</v>
      </c>
      <c r="E2741" s="4">
        <v>5566.5833333333321</v>
      </c>
      <c r="F2741" s="4" t="s">
        <v>29</v>
      </c>
    </row>
    <row r="2742" spans="1:6" x14ac:dyDescent="0.25">
      <c r="A2742" s="4" t="s">
        <v>73</v>
      </c>
      <c r="B2742" s="4" t="s">
        <v>23</v>
      </c>
      <c r="C2742" s="4" t="s">
        <v>34</v>
      </c>
      <c r="D2742" s="4">
        <v>2009</v>
      </c>
      <c r="E2742" s="4">
        <v>5478.2216820276499</v>
      </c>
      <c r="F2742" s="4" t="s">
        <v>29</v>
      </c>
    </row>
    <row r="2743" spans="1:6" x14ac:dyDescent="0.25">
      <c r="A2743" s="4" t="s">
        <v>73</v>
      </c>
      <c r="B2743" s="4" t="s">
        <v>23</v>
      </c>
      <c r="C2743" s="4" t="s">
        <v>34</v>
      </c>
      <c r="D2743" s="4">
        <v>2010</v>
      </c>
      <c r="E2743" s="4">
        <v>5674.9128584229393</v>
      </c>
      <c r="F2743" s="4" t="s">
        <v>29</v>
      </c>
    </row>
    <row r="2744" spans="1:6" x14ac:dyDescent="0.25">
      <c r="A2744" s="4" t="s">
        <v>73</v>
      </c>
      <c r="B2744" s="4" t="s">
        <v>23</v>
      </c>
      <c r="C2744" s="4" t="s">
        <v>34</v>
      </c>
      <c r="D2744" s="4">
        <v>2011</v>
      </c>
      <c r="E2744" s="4">
        <v>5897.5430209933438</v>
      </c>
      <c r="F2744" s="4" t="s">
        <v>29</v>
      </c>
    </row>
    <row r="2745" spans="1:6" x14ac:dyDescent="0.25">
      <c r="A2745" s="4" t="s">
        <v>73</v>
      </c>
      <c r="B2745" s="4" t="s">
        <v>23</v>
      </c>
      <c r="C2745" s="4" t="s">
        <v>34</v>
      </c>
      <c r="D2745" s="4">
        <v>2012</v>
      </c>
      <c r="E2745" s="4">
        <v>6255.7563966135203</v>
      </c>
      <c r="F2745" s="4" t="s">
        <v>29</v>
      </c>
    </row>
    <row r="2746" spans="1:6" x14ac:dyDescent="0.25">
      <c r="A2746" s="4" t="s">
        <v>73</v>
      </c>
      <c r="B2746" s="4" t="s">
        <v>23</v>
      </c>
      <c r="C2746" s="4" t="s">
        <v>34</v>
      </c>
      <c r="D2746" s="4">
        <v>2013</v>
      </c>
      <c r="E2746" s="4">
        <v>6543.6676024065546</v>
      </c>
      <c r="F2746" s="4" t="s">
        <v>29</v>
      </c>
    </row>
    <row r="2747" spans="1:6" x14ac:dyDescent="0.25">
      <c r="A2747" s="4" t="s">
        <v>73</v>
      </c>
      <c r="B2747" s="4" t="s">
        <v>23</v>
      </c>
      <c r="C2747" s="4" t="s">
        <v>34</v>
      </c>
      <c r="D2747" s="4">
        <v>2014</v>
      </c>
      <c r="E2747" s="4">
        <v>7852.9239823348689</v>
      </c>
      <c r="F2747" s="4" t="s">
        <v>29</v>
      </c>
    </row>
    <row r="2748" spans="1:6" x14ac:dyDescent="0.25">
      <c r="A2748" s="4" t="s">
        <v>73</v>
      </c>
      <c r="B2748" s="4" t="s">
        <v>23</v>
      </c>
      <c r="C2748" s="4" t="s">
        <v>34</v>
      </c>
      <c r="D2748" s="4">
        <v>2015</v>
      </c>
      <c r="E2748" s="4">
        <v>8686.5470302099329</v>
      </c>
      <c r="F2748" s="4" t="s">
        <v>29</v>
      </c>
    </row>
    <row r="2749" spans="1:6" x14ac:dyDescent="0.25">
      <c r="A2749" s="4" t="s">
        <v>73</v>
      </c>
      <c r="B2749" s="4" t="s">
        <v>23</v>
      </c>
      <c r="C2749" s="4" t="s">
        <v>34</v>
      </c>
      <c r="D2749" s="4">
        <v>2016</v>
      </c>
      <c r="E2749" s="4">
        <v>10412.261685823754</v>
      </c>
      <c r="F2749" s="4" t="s">
        <v>29</v>
      </c>
    </row>
    <row r="2750" spans="1:6" x14ac:dyDescent="0.25">
      <c r="A2750" s="4" t="s">
        <v>73</v>
      </c>
      <c r="B2750" s="4" t="s">
        <v>23</v>
      </c>
      <c r="C2750" s="4" t="s">
        <v>34</v>
      </c>
      <c r="D2750" s="4">
        <v>2017</v>
      </c>
      <c r="E2750" s="4">
        <v>11690.181041818252</v>
      </c>
      <c r="F2750" s="4" t="s">
        <v>29</v>
      </c>
    </row>
    <row r="2751" spans="1:6" x14ac:dyDescent="0.25">
      <c r="A2751" s="4" t="s">
        <v>73</v>
      </c>
      <c r="B2751" s="4" t="s">
        <v>23</v>
      </c>
      <c r="C2751" s="4" t="s">
        <v>34</v>
      </c>
      <c r="D2751" s="4">
        <v>2018</v>
      </c>
      <c r="E2751" s="4">
        <v>12266.700091337616</v>
      </c>
      <c r="F2751" s="4" t="s">
        <v>29</v>
      </c>
    </row>
    <row r="2752" spans="1:6" x14ac:dyDescent="0.25">
      <c r="A2752" s="4" t="s">
        <v>73</v>
      </c>
      <c r="B2752" s="4" t="s">
        <v>23</v>
      </c>
      <c r="C2752" s="4" t="s">
        <v>34</v>
      </c>
      <c r="D2752" s="4">
        <v>2019</v>
      </c>
      <c r="E2752" s="4">
        <v>12357.384597553832</v>
      </c>
      <c r="F2752" s="4" t="s">
        <v>29</v>
      </c>
    </row>
    <row r="2753" spans="1:6" x14ac:dyDescent="0.25">
      <c r="A2753" s="4" t="s">
        <v>73</v>
      </c>
      <c r="B2753" s="4" t="s">
        <v>23</v>
      </c>
      <c r="C2753" s="4" t="s">
        <v>34</v>
      </c>
      <c r="D2753" s="4">
        <v>2020</v>
      </c>
      <c r="E2753" s="4">
        <v>12597.023263619591</v>
      </c>
      <c r="F2753" s="4" t="s">
        <v>29</v>
      </c>
    </row>
    <row r="2754" spans="1:6" x14ac:dyDescent="0.25">
      <c r="A2754" s="4" t="s">
        <v>73</v>
      </c>
      <c r="B2754" s="4" t="s">
        <v>23</v>
      </c>
      <c r="C2754" s="4" t="s">
        <v>34</v>
      </c>
      <c r="D2754" s="4">
        <v>2021</v>
      </c>
      <c r="E2754" s="4">
        <v>12994.535721328073</v>
      </c>
      <c r="F2754" s="4" t="s">
        <v>29</v>
      </c>
    </row>
    <row r="2755" spans="1:6" x14ac:dyDescent="0.25">
      <c r="A2755" s="4" t="s">
        <v>73</v>
      </c>
      <c r="B2755" s="4" t="s">
        <v>23</v>
      </c>
      <c r="C2755" s="4" t="s">
        <v>34</v>
      </c>
      <c r="D2755" s="4">
        <v>2022</v>
      </c>
      <c r="E2755" s="4">
        <v>13486.626476227997</v>
      </c>
      <c r="F2755" s="4" t="s">
        <v>29</v>
      </c>
    </row>
    <row r="2756" spans="1:6" x14ac:dyDescent="0.25">
      <c r="A2756" s="4" t="s">
        <v>73</v>
      </c>
      <c r="B2756" s="4" t="s">
        <v>23</v>
      </c>
      <c r="C2756" s="4" t="s">
        <v>34</v>
      </c>
      <c r="D2756" s="4">
        <v>2023</v>
      </c>
      <c r="E2756" s="4">
        <v>13950.828073273384</v>
      </c>
      <c r="F2756" s="4" t="s">
        <v>29</v>
      </c>
    </row>
    <row r="2757" spans="1:6" x14ac:dyDescent="0.25">
      <c r="A2757" s="4" t="s">
        <v>73</v>
      </c>
      <c r="B2757" s="4" t="s">
        <v>23</v>
      </c>
      <c r="C2757" s="4" t="s">
        <v>34</v>
      </c>
      <c r="D2757" s="4">
        <v>2024</v>
      </c>
      <c r="E2757" s="4">
        <v>14424.473419329535</v>
      </c>
      <c r="F2757" s="4" t="s">
        <v>29</v>
      </c>
    </row>
    <row r="2758" spans="1:6" x14ac:dyDescent="0.25">
      <c r="A2758" s="4" t="s">
        <v>73</v>
      </c>
      <c r="B2758" s="4" t="s">
        <v>23</v>
      </c>
      <c r="C2758" s="4" t="s">
        <v>34</v>
      </c>
      <c r="D2758" s="4">
        <v>2025</v>
      </c>
      <c r="E2758" s="4">
        <v>15013.394773178647</v>
      </c>
      <c r="F2758" s="4" t="s">
        <v>29</v>
      </c>
    </row>
    <row r="2759" spans="1:6" x14ac:dyDescent="0.25">
      <c r="A2759" s="4" t="s">
        <v>73</v>
      </c>
      <c r="B2759" s="4" t="s">
        <v>23</v>
      </c>
      <c r="C2759" s="4" t="s">
        <v>34</v>
      </c>
      <c r="D2759" s="4">
        <v>2026</v>
      </c>
      <c r="E2759" s="4">
        <v>15669.473030894154</v>
      </c>
      <c r="F2759" s="4" t="s">
        <v>29</v>
      </c>
    </row>
    <row r="2760" spans="1:6" x14ac:dyDescent="0.25">
      <c r="A2760" s="4" t="s">
        <v>73</v>
      </c>
      <c r="B2760" s="4" t="s">
        <v>23</v>
      </c>
      <c r="C2760" s="4" t="s">
        <v>34</v>
      </c>
      <c r="D2760" s="4">
        <v>2027</v>
      </c>
      <c r="E2760" s="4">
        <v>16372.131791027205</v>
      </c>
      <c r="F2760" s="4" t="s">
        <v>29</v>
      </c>
    </row>
    <row r="2761" spans="1:6" x14ac:dyDescent="0.25">
      <c r="A2761" s="4" t="s">
        <v>73</v>
      </c>
      <c r="B2761" s="4" t="s">
        <v>23</v>
      </c>
      <c r="C2761" s="4" t="s">
        <v>34</v>
      </c>
      <c r="D2761" s="4">
        <v>2028</v>
      </c>
      <c r="E2761" s="4">
        <v>17124.75751887849</v>
      </c>
      <c r="F2761" s="4" t="s">
        <v>29</v>
      </c>
    </row>
    <row r="2762" spans="1:6" x14ac:dyDescent="0.25">
      <c r="A2762" s="4" t="s">
        <v>73</v>
      </c>
      <c r="B2762" s="4" t="s">
        <v>23</v>
      </c>
      <c r="C2762" s="4" t="s">
        <v>34</v>
      </c>
      <c r="D2762" s="4">
        <v>2029</v>
      </c>
      <c r="E2762" s="4">
        <v>17918.753148352134</v>
      </c>
      <c r="F2762" s="4" t="s">
        <v>29</v>
      </c>
    </row>
    <row r="2763" spans="1:6" x14ac:dyDescent="0.25">
      <c r="A2763" s="4" t="s">
        <v>73</v>
      </c>
      <c r="B2763" s="4" t="s">
        <v>23</v>
      </c>
      <c r="C2763" s="4" t="s">
        <v>34</v>
      </c>
      <c r="D2763" s="4">
        <v>2030</v>
      </c>
      <c r="E2763" s="4">
        <v>18782.27403149278</v>
      </c>
      <c r="F2763" s="4" t="s">
        <v>29</v>
      </c>
    </row>
    <row r="2764" spans="1:6" x14ac:dyDescent="0.25">
      <c r="A2764" s="4" t="s">
        <v>73</v>
      </c>
      <c r="B2764" s="4" t="s">
        <v>23</v>
      </c>
      <c r="C2764" s="4" t="s">
        <v>34</v>
      </c>
      <c r="D2764" s="4">
        <v>2031</v>
      </c>
      <c r="E2764" s="4">
        <v>19704.324830474907</v>
      </c>
      <c r="F2764" s="4" t="s">
        <v>29</v>
      </c>
    </row>
    <row r="2765" spans="1:6" x14ac:dyDescent="0.25">
      <c r="A2765" s="4" t="s">
        <v>73</v>
      </c>
      <c r="B2765" s="4" t="s">
        <v>23</v>
      </c>
      <c r="C2765" s="4" t="s">
        <v>34</v>
      </c>
      <c r="D2765" s="4">
        <v>2032</v>
      </c>
      <c r="E2765" s="4">
        <v>20673.504554637064</v>
      </c>
      <c r="F2765" s="4" t="s">
        <v>29</v>
      </c>
    </row>
    <row r="2766" spans="1:6" x14ac:dyDescent="0.25">
      <c r="A2766" s="4" t="s">
        <v>73</v>
      </c>
      <c r="B2766" s="4" t="s">
        <v>23</v>
      </c>
      <c r="C2766" s="4" t="s">
        <v>34</v>
      </c>
      <c r="D2766" s="4">
        <v>2033</v>
      </c>
      <c r="E2766" s="4">
        <v>21695.453504138593</v>
      </c>
      <c r="F2766" s="4" t="s">
        <v>29</v>
      </c>
    </row>
    <row r="2767" spans="1:6" x14ac:dyDescent="0.25">
      <c r="A2767" s="4" t="s">
        <v>73</v>
      </c>
      <c r="B2767" s="4" t="s">
        <v>23</v>
      </c>
      <c r="C2767" s="4" t="s">
        <v>34</v>
      </c>
      <c r="D2767" s="4">
        <v>2034</v>
      </c>
      <c r="E2767" s="4">
        <v>22773.777364134512</v>
      </c>
      <c r="F2767" s="4" t="s">
        <v>29</v>
      </c>
    </row>
    <row r="2768" spans="1:6" x14ac:dyDescent="0.25">
      <c r="A2768" s="4" t="s">
        <v>73</v>
      </c>
      <c r="B2768" s="4" t="s">
        <v>23</v>
      </c>
      <c r="C2768" s="4" t="s">
        <v>34</v>
      </c>
      <c r="D2768" s="4">
        <v>2035</v>
      </c>
      <c r="E2768" s="4">
        <v>23894.761588659429</v>
      </c>
      <c r="F2768" s="4" t="s">
        <v>29</v>
      </c>
    </row>
    <row r="2769" spans="1:6" x14ac:dyDescent="0.25">
      <c r="A2769" s="4" t="s">
        <v>73</v>
      </c>
      <c r="B2769" s="4" t="s">
        <v>23</v>
      </c>
      <c r="C2769" s="4" t="s">
        <v>34</v>
      </c>
      <c r="D2769" s="4">
        <v>2036</v>
      </c>
      <c r="E2769" s="4">
        <v>25064.762812787929</v>
      </c>
      <c r="F2769" s="4" t="s">
        <v>29</v>
      </c>
    </row>
    <row r="2770" spans="1:6" x14ac:dyDescent="0.25">
      <c r="A2770" s="4" t="s">
        <v>73</v>
      </c>
      <c r="B2770" s="4" t="s">
        <v>23</v>
      </c>
      <c r="C2770" s="4" t="s">
        <v>34</v>
      </c>
      <c r="D2770" s="4">
        <v>2037</v>
      </c>
      <c r="E2770" s="4">
        <v>26296.071086406409</v>
      </c>
      <c r="F2770" s="4" t="s">
        <v>29</v>
      </c>
    </row>
    <row r="2771" spans="1:6" x14ac:dyDescent="0.25">
      <c r="A2771" s="4" t="s">
        <v>73</v>
      </c>
      <c r="B2771" s="4" t="s">
        <v>23</v>
      </c>
      <c r="C2771" s="4" t="s">
        <v>34</v>
      </c>
      <c r="D2771" s="4">
        <v>2038</v>
      </c>
      <c r="E2771" s="4">
        <v>27589.017416952847</v>
      </c>
      <c r="F2771" s="4" t="s">
        <v>29</v>
      </c>
    </row>
    <row r="2772" spans="1:6" x14ac:dyDescent="0.25">
      <c r="A2772" s="4" t="s">
        <v>73</v>
      </c>
      <c r="B2772" s="4" t="s">
        <v>23</v>
      </c>
      <c r="C2772" s="4" t="s">
        <v>34</v>
      </c>
      <c r="D2772" s="4">
        <v>2039</v>
      </c>
      <c r="E2772" s="4">
        <v>28959.661326260226</v>
      </c>
      <c r="F2772" s="4" t="s">
        <v>29</v>
      </c>
    </row>
    <row r="2773" spans="1:6" x14ac:dyDescent="0.25">
      <c r="A2773" s="4" t="s">
        <v>73</v>
      </c>
      <c r="B2773" s="4" t="s">
        <v>23</v>
      </c>
      <c r="C2773" s="4" t="s">
        <v>34</v>
      </c>
      <c r="D2773" s="4">
        <v>2040</v>
      </c>
      <c r="E2773" s="4">
        <v>30403.995266078087</v>
      </c>
      <c r="F2773" s="4" t="s">
        <v>29</v>
      </c>
    </row>
    <row r="2774" spans="1:6" x14ac:dyDescent="0.25">
      <c r="A2774" s="4" t="s">
        <v>74</v>
      </c>
      <c r="B2774" s="4" t="s">
        <v>1</v>
      </c>
      <c r="C2774" s="4" t="s">
        <v>34</v>
      </c>
      <c r="D2774" s="4">
        <v>2005</v>
      </c>
      <c r="E2774" s="4">
        <v>61608.885781863297</v>
      </c>
      <c r="F2774" s="4" t="s">
        <v>29</v>
      </c>
    </row>
    <row r="2775" spans="1:6" x14ac:dyDescent="0.25">
      <c r="A2775" s="4" t="s">
        <v>74</v>
      </c>
      <c r="B2775" s="4" t="s">
        <v>1</v>
      </c>
      <c r="C2775" s="4" t="s">
        <v>34</v>
      </c>
      <c r="D2775" s="4">
        <v>2006</v>
      </c>
      <c r="E2775" s="4">
        <v>59160.558397498877</v>
      </c>
      <c r="F2775" s="4" t="s">
        <v>29</v>
      </c>
    </row>
    <row r="2776" spans="1:6" x14ac:dyDescent="0.25">
      <c r="A2776" s="4" t="s">
        <v>74</v>
      </c>
      <c r="B2776" s="4" t="s">
        <v>1</v>
      </c>
      <c r="C2776" s="4" t="s">
        <v>34</v>
      </c>
      <c r="D2776" s="4">
        <v>2007</v>
      </c>
      <c r="E2776" s="4">
        <v>57156.982398125292</v>
      </c>
      <c r="F2776" s="4" t="s">
        <v>29</v>
      </c>
    </row>
    <row r="2777" spans="1:6" x14ac:dyDescent="0.25">
      <c r="A2777" s="4" t="s">
        <v>74</v>
      </c>
      <c r="B2777" s="4" t="s">
        <v>1</v>
      </c>
      <c r="C2777" s="4" t="s">
        <v>34</v>
      </c>
      <c r="D2777" s="4">
        <v>2008</v>
      </c>
      <c r="E2777" s="4">
        <v>55079.4261325193</v>
      </c>
      <c r="F2777" s="4" t="s">
        <v>29</v>
      </c>
    </row>
    <row r="2778" spans="1:6" x14ac:dyDescent="0.25">
      <c r="A2778" s="4" t="s">
        <v>74</v>
      </c>
      <c r="B2778" s="4" t="s">
        <v>1</v>
      </c>
      <c r="C2778" s="4" t="s">
        <v>34</v>
      </c>
      <c r="D2778" s="4">
        <v>2009</v>
      </c>
      <c r="E2778" s="4">
        <v>50836.217720381457</v>
      </c>
      <c r="F2778" s="4" t="s">
        <v>29</v>
      </c>
    </row>
    <row r="2779" spans="1:6" x14ac:dyDescent="0.25">
      <c r="A2779" s="4" t="s">
        <v>74</v>
      </c>
      <c r="B2779" s="4" t="s">
        <v>1</v>
      </c>
      <c r="C2779" s="4" t="s">
        <v>34</v>
      </c>
      <c r="D2779" s="4">
        <v>2010</v>
      </c>
      <c r="E2779" s="4">
        <v>51338.873677928677</v>
      </c>
      <c r="F2779" s="4" t="s">
        <v>29</v>
      </c>
    </row>
    <row r="2780" spans="1:6" x14ac:dyDescent="0.25">
      <c r="A2780" s="4" t="s">
        <v>74</v>
      </c>
      <c r="B2780" s="4" t="s">
        <v>1</v>
      </c>
      <c r="C2780" s="4" t="s">
        <v>34</v>
      </c>
      <c r="D2780" s="4">
        <v>2011</v>
      </c>
      <c r="E2780" s="4">
        <v>56341.617267120324</v>
      </c>
      <c r="F2780" s="4" t="s">
        <v>29</v>
      </c>
    </row>
    <row r="2781" spans="1:6" x14ac:dyDescent="0.25">
      <c r="A2781" s="4" t="s">
        <v>74</v>
      </c>
      <c r="B2781" s="4" t="s">
        <v>1</v>
      </c>
      <c r="C2781" s="4" t="s">
        <v>34</v>
      </c>
      <c r="D2781" s="4">
        <v>2012</v>
      </c>
      <c r="E2781" s="4">
        <v>65504.216617338796</v>
      </c>
      <c r="F2781" s="4" t="s">
        <v>29</v>
      </c>
    </row>
    <row r="2782" spans="1:6" x14ac:dyDescent="0.25">
      <c r="A2782" s="4" t="s">
        <v>74</v>
      </c>
      <c r="B2782" s="4" t="s">
        <v>1</v>
      </c>
      <c r="C2782" s="4" t="s">
        <v>34</v>
      </c>
      <c r="D2782" s="4">
        <v>2013</v>
      </c>
      <c r="E2782" s="4">
        <v>69200.576338328712</v>
      </c>
      <c r="F2782" s="4" t="s">
        <v>29</v>
      </c>
    </row>
    <row r="2783" spans="1:6" x14ac:dyDescent="0.25">
      <c r="A2783" s="4" t="s">
        <v>74</v>
      </c>
      <c r="B2783" s="4" t="s">
        <v>1</v>
      </c>
      <c r="C2783" s="4" t="s">
        <v>34</v>
      </c>
      <c r="D2783" s="4">
        <v>2014</v>
      </c>
      <c r="E2783" s="4">
        <v>71051.166299791337</v>
      </c>
      <c r="F2783" s="4" t="s">
        <v>29</v>
      </c>
    </row>
    <row r="2784" spans="1:6" x14ac:dyDescent="0.25">
      <c r="A2784" s="4" t="s">
        <v>74</v>
      </c>
      <c r="B2784" s="4" t="s">
        <v>1</v>
      </c>
      <c r="C2784" s="4" t="s">
        <v>34</v>
      </c>
      <c r="D2784" s="4">
        <v>2015</v>
      </c>
      <c r="E2784" s="4">
        <v>64074.35544146796</v>
      </c>
      <c r="F2784" s="4" t="s">
        <v>29</v>
      </c>
    </row>
    <row r="2785" spans="1:6" x14ac:dyDescent="0.25">
      <c r="A2785" s="4" t="s">
        <v>74</v>
      </c>
      <c r="B2785" s="4" t="s">
        <v>1</v>
      </c>
      <c r="C2785" s="4" t="s">
        <v>34</v>
      </c>
      <c r="D2785" s="4">
        <v>2016</v>
      </c>
      <c r="E2785" s="4">
        <v>53323.447957963377</v>
      </c>
      <c r="F2785" s="4" t="s">
        <v>29</v>
      </c>
    </row>
    <row r="2786" spans="1:6" x14ac:dyDescent="0.25">
      <c r="A2786" s="4" t="s">
        <v>74</v>
      </c>
      <c r="B2786" s="4" t="s">
        <v>1</v>
      </c>
      <c r="C2786" s="4" t="s">
        <v>34</v>
      </c>
      <c r="D2786" s="4">
        <v>2017</v>
      </c>
      <c r="E2786" s="4">
        <v>53315.231226348718</v>
      </c>
      <c r="F2786" s="4" t="s">
        <v>29</v>
      </c>
    </row>
    <row r="2787" spans="1:6" x14ac:dyDescent="0.25">
      <c r="A2787" s="4" t="s">
        <v>74</v>
      </c>
      <c r="B2787" s="4" t="s">
        <v>1</v>
      </c>
      <c r="C2787" s="4" t="s">
        <v>34</v>
      </c>
      <c r="D2787" s="4">
        <v>2018</v>
      </c>
      <c r="E2787" s="4">
        <v>54344.354991857785</v>
      </c>
      <c r="F2787" s="4" t="s">
        <v>29</v>
      </c>
    </row>
    <row r="2788" spans="1:6" x14ac:dyDescent="0.25">
      <c r="A2788" s="4" t="s">
        <v>74</v>
      </c>
      <c r="B2788" s="4" t="s">
        <v>1</v>
      </c>
      <c r="C2788" s="4" t="s">
        <v>34</v>
      </c>
      <c r="D2788" s="4">
        <v>2019</v>
      </c>
      <c r="E2788" s="4">
        <v>55961.154978432554</v>
      </c>
      <c r="F2788" s="4" t="s">
        <v>29</v>
      </c>
    </row>
    <row r="2789" spans="1:6" x14ac:dyDescent="0.25">
      <c r="A2789" s="4" t="s">
        <v>74</v>
      </c>
      <c r="B2789" s="4" t="s">
        <v>1</v>
      </c>
      <c r="C2789" s="4" t="s">
        <v>34</v>
      </c>
      <c r="D2789" s="4">
        <v>2020</v>
      </c>
      <c r="E2789" s="4">
        <v>58163.549104113619</v>
      </c>
      <c r="F2789" s="4" t="s">
        <v>29</v>
      </c>
    </row>
    <row r="2790" spans="1:6" x14ac:dyDescent="0.25">
      <c r="A2790" s="4" t="s">
        <v>74</v>
      </c>
      <c r="B2790" s="4" t="s">
        <v>1</v>
      </c>
      <c r="C2790" s="4" t="s">
        <v>34</v>
      </c>
      <c r="D2790" s="4">
        <v>2021</v>
      </c>
      <c r="E2790" s="4">
        <v>61288.230352538281</v>
      </c>
      <c r="F2790" s="4" t="s">
        <v>29</v>
      </c>
    </row>
    <row r="2791" spans="1:6" x14ac:dyDescent="0.25">
      <c r="A2791" s="4" t="s">
        <v>74</v>
      </c>
      <c r="B2791" s="4" t="s">
        <v>1</v>
      </c>
      <c r="C2791" s="4" t="s">
        <v>34</v>
      </c>
      <c r="D2791" s="4">
        <v>2022</v>
      </c>
      <c r="E2791" s="4">
        <v>65508.365110662999</v>
      </c>
      <c r="F2791" s="4" t="s">
        <v>29</v>
      </c>
    </row>
    <row r="2792" spans="1:6" x14ac:dyDescent="0.25">
      <c r="A2792" s="4" t="s">
        <v>74</v>
      </c>
      <c r="B2792" s="4" t="s">
        <v>1</v>
      </c>
      <c r="C2792" s="4" t="s">
        <v>34</v>
      </c>
      <c r="D2792" s="4">
        <v>2023</v>
      </c>
      <c r="E2792" s="4">
        <v>70874.989831492741</v>
      </c>
      <c r="F2792" s="4" t="s">
        <v>29</v>
      </c>
    </row>
    <row r="2793" spans="1:6" x14ac:dyDescent="0.25">
      <c r="A2793" s="4" t="s">
        <v>74</v>
      </c>
      <c r="B2793" s="4" t="s">
        <v>1</v>
      </c>
      <c r="C2793" s="4" t="s">
        <v>34</v>
      </c>
      <c r="D2793" s="4">
        <v>2024</v>
      </c>
      <c r="E2793" s="4">
        <v>77500.973516584825</v>
      </c>
      <c r="F2793" s="4" t="s">
        <v>29</v>
      </c>
    </row>
    <row r="2794" spans="1:6" x14ac:dyDescent="0.25">
      <c r="A2794" s="4" t="s">
        <v>74</v>
      </c>
      <c r="B2794" s="4" t="s">
        <v>1</v>
      </c>
      <c r="C2794" s="4" t="s">
        <v>34</v>
      </c>
      <c r="D2794" s="4">
        <v>2025</v>
      </c>
      <c r="E2794" s="4">
        <v>84779.863526525762</v>
      </c>
      <c r="F2794" s="4" t="s">
        <v>29</v>
      </c>
    </row>
    <row r="2795" spans="1:6" x14ac:dyDescent="0.25">
      <c r="A2795" s="4" t="s">
        <v>74</v>
      </c>
      <c r="B2795" s="4" t="s">
        <v>1</v>
      </c>
      <c r="C2795" s="4" t="s">
        <v>34</v>
      </c>
      <c r="D2795" s="4">
        <v>2026</v>
      </c>
      <c r="E2795" s="4">
        <v>92081.722002373601</v>
      </c>
      <c r="F2795" s="4" t="s">
        <v>29</v>
      </c>
    </row>
    <row r="2796" spans="1:6" x14ac:dyDescent="0.25">
      <c r="A2796" s="4" t="s">
        <v>74</v>
      </c>
      <c r="B2796" s="4" t="s">
        <v>1</v>
      </c>
      <c r="C2796" s="4" t="s">
        <v>34</v>
      </c>
      <c r="D2796" s="4">
        <v>2027</v>
      </c>
      <c r="E2796" s="4">
        <v>99159.37422113934</v>
      </c>
      <c r="F2796" s="4" t="s">
        <v>29</v>
      </c>
    </row>
    <row r="2797" spans="1:6" x14ac:dyDescent="0.25">
      <c r="A2797" s="4" t="s">
        <v>74</v>
      </c>
      <c r="B2797" s="4" t="s">
        <v>1</v>
      </c>
      <c r="C2797" s="4" t="s">
        <v>34</v>
      </c>
      <c r="D2797" s="4">
        <v>2028</v>
      </c>
      <c r="E2797" s="4">
        <v>105851.19320923653</v>
      </c>
      <c r="F2797" s="4" t="s">
        <v>29</v>
      </c>
    </row>
    <row r="2798" spans="1:6" x14ac:dyDescent="0.25">
      <c r="A2798" s="4" t="s">
        <v>74</v>
      </c>
      <c r="B2798" s="4" t="s">
        <v>1</v>
      </c>
      <c r="C2798" s="4" t="s">
        <v>34</v>
      </c>
      <c r="D2798" s="4">
        <v>2029</v>
      </c>
      <c r="E2798" s="4">
        <v>112162.15497939302</v>
      </c>
      <c r="F2798" s="4" t="s">
        <v>29</v>
      </c>
    </row>
    <row r="2799" spans="1:6" x14ac:dyDescent="0.25">
      <c r="A2799" s="4" t="s">
        <v>74</v>
      </c>
      <c r="B2799" s="4" t="s">
        <v>1</v>
      </c>
      <c r="C2799" s="4" t="s">
        <v>34</v>
      </c>
      <c r="D2799" s="4">
        <v>2030</v>
      </c>
      <c r="E2799" s="4">
        <v>118137.56273876193</v>
      </c>
      <c r="F2799" s="4" t="s">
        <v>29</v>
      </c>
    </row>
    <row r="2800" spans="1:6" x14ac:dyDescent="0.25">
      <c r="A2800" s="4" t="s">
        <v>74</v>
      </c>
      <c r="B2800" s="4" t="s">
        <v>1</v>
      </c>
      <c r="C2800" s="4" t="s">
        <v>34</v>
      </c>
      <c r="D2800" s="4">
        <v>2031</v>
      </c>
      <c r="E2800" s="4">
        <v>123799.21515499192</v>
      </c>
      <c r="F2800" s="4" t="s">
        <v>29</v>
      </c>
    </row>
    <row r="2801" spans="1:6" x14ac:dyDescent="0.25">
      <c r="A2801" s="4" t="s">
        <v>74</v>
      </c>
      <c r="B2801" s="4" t="s">
        <v>1</v>
      </c>
      <c r="C2801" s="4" t="s">
        <v>34</v>
      </c>
      <c r="D2801" s="4">
        <v>2032</v>
      </c>
      <c r="E2801" s="4">
        <v>129118.50636043743</v>
      </c>
      <c r="F2801" s="4" t="s">
        <v>29</v>
      </c>
    </row>
    <row r="2802" spans="1:6" x14ac:dyDescent="0.25">
      <c r="A2802" s="4" t="s">
        <v>74</v>
      </c>
      <c r="B2802" s="4" t="s">
        <v>1</v>
      </c>
      <c r="C2802" s="4" t="s">
        <v>34</v>
      </c>
      <c r="D2802" s="4">
        <v>2033</v>
      </c>
      <c r="E2802" s="4">
        <v>134117.31640618137</v>
      </c>
      <c r="F2802" s="4" t="s">
        <v>29</v>
      </c>
    </row>
    <row r="2803" spans="1:6" x14ac:dyDescent="0.25">
      <c r="A2803" s="4" t="s">
        <v>74</v>
      </c>
      <c r="B2803" s="4" t="s">
        <v>1</v>
      </c>
      <c r="C2803" s="4" t="s">
        <v>34</v>
      </c>
      <c r="D2803" s="4">
        <v>2034</v>
      </c>
      <c r="E2803" s="4">
        <v>138762.61925500195</v>
      </c>
      <c r="F2803" s="4" t="s">
        <v>29</v>
      </c>
    </row>
    <row r="2804" spans="1:6" x14ac:dyDescent="0.25">
      <c r="A2804" s="4" t="s">
        <v>74</v>
      </c>
      <c r="B2804" s="4" t="s">
        <v>1</v>
      </c>
      <c r="C2804" s="4" t="s">
        <v>34</v>
      </c>
      <c r="D2804" s="4">
        <v>2035</v>
      </c>
      <c r="E2804" s="4">
        <v>143001.93732137693</v>
      </c>
      <c r="F2804" s="4" t="s">
        <v>29</v>
      </c>
    </row>
    <row r="2805" spans="1:6" x14ac:dyDescent="0.25">
      <c r="A2805" s="4" t="s">
        <v>74</v>
      </c>
      <c r="B2805" s="4" t="s">
        <v>1</v>
      </c>
      <c r="C2805" s="4" t="s">
        <v>34</v>
      </c>
      <c r="D2805" s="4">
        <v>2036</v>
      </c>
      <c r="E2805" s="4">
        <v>146799.87433821728</v>
      </c>
      <c r="F2805" s="4" t="s">
        <v>29</v>
      </c>
    </row>
    <row r="2806" spans="1:6" x14ac:dyDescent="0.25">
      <c r="A2806" s="4" t="s">
        <v>74</v>
      </c>
      <c r="B2806" s="4" t="s">
        <v>1</v>
      </c>
      <c r="C2806" s="4" t="s">
        <v>34</v>
      </c>
      <c r="D2806" s="4">
        <v>2037</v>
      </c>
      <c r="E2806" s="4">
        <v>150102.36345023807</v>
      </c>
      <c r="F2806" s="4" t="s">
        <v>29</v>
      </c>
    </row>
    <row r="2807" spans="1:6" x14ac:dyDescent="0.25">
      <c r="A2807" s="4" t="s">
        <v>74</v>
      </c>
      <c r="B2807" s="4" t="s">
        <v>1</v>
      </c>
      <c r="C2807" s="4" t="s">
        <v>34</v>
      </c>
      <c r="D2807" s="4">
        <v>2038</v>
      </c>
      <c r="E2807" s="4">
        <v>152877.42694955651</v>
      </c>
      <c r="F2807" s="4" t="s">
        <v>29</v>
      </c>
    </row>
    <row r="2808" spans="1:6" x14ac:dyDescent="0.25">
      <c r="A2808" s="4" t="s">
        <v>74</v>
      </c>
      <c r="B2808" s="4" t="s">
        <v>1</v>
      </c>
      <c r="C2808" s="4" t="s">
        <v>34</v>
      </c>
      <c r="D2808" s="4">
        <v>2039</v>
      </c>
      <c r="E2808" s="4">
        <v>155150.48073570966</v>
      </c>
      <c r="F2808" s="4" t="s">
        <v>29</v>
      </c>
    </row>
    <row r="2809" spans="1:6" x14ac:dyDescent="0.25">
      <c r="A2809" s="4" t="s">
        <v>74</v>
      </c>
      <c r="B2809" s="4" t="s">
        <v>1</v>
      </c>
      <c r="C2809" s="4" t="s">
        <v>34</v>
      </c>
      <c r="D2809" s="4">
        <v>2040</v>
      </c>
      <c r="E2809" s="4">
        <v>156987.8403231964</v>
      </c>
      <c r="F2809" s="4" t="s">
        <v>29</v>
      </c>
    </row>
    <row r="2810" spans="1:6" x14ac:dyDescent="0.25">
      <c r="A2810" s="4" t="s">
        <v>74</v>
      </c>
      <c r="B2810" s="4" t="s">
        <v>2</v>
      </c>
      <c r="C2810" s="4" t="s">
        <v>34</v>
      </c>
      <c r="D2810" s="4">
        <v>2005</v>
      </c>
      <c r="E2810" s="4">
        <v>29193.593812990777</v>
      </c>
      <c r="F2810" s="4" t="s">
        <v>29</v>
      </c>
    </row>
    <row r="2811" spans="1:6" x14ac:dyDescent="0.25">
      <c r="A2811" s="4" t="s">
        <v>74</v>
      </c>
      <c r="B2811" s="4" t="s">
        <v>2</v>
      </c>
      <c r="C2811" s="4" t="s">
        <v>34</v>
      </c>
      <c r="D2811" s="4">
        <v>2006</v>
      </c>
      <c r="E2811" s="4">
        <v>27160.952141415612</v>
      </c>
      <c r="F2811" s="4" t="s">
        <v>29</v>
      </c>
    </row>
    <row r="2812" spans="1:6" x14ac:dyDescent="0.25">
      <c r="A2812" s="4" t="s">
        <v>74</v>
      </c>
      <c r="B2812" s="4" t="s">
        <v>2</v>
      </c>
      <c r="C2812" s="4" t="s">
        <v>34</v>
      </c>
      <c r="D2812" s="4">
        <v>2007</v>
      </c>
      <c r="E2812" s="4">
        <v>26214.863449288954</v>
      </c>
      <c r="F2812" s="4" t="s">
        <v>29</v>
      </c>
    </row>
    <row r="2813" spans="1:6" x14ac:dyDescent="0.25">
      <c r="A2813" s="4" t="s">
        <v>74</v>
      </c>
      <c r="B2813" s="4" t="s">
        <v>2</v>
      </c>
      <c r="C2813" s="4" t="s">
        <v>34</v>
      </c>
      <c r="D2813" s="4">
        <v>2008</v>
      </c>
      <c r="E2813" s="4">
        <v>24858.490534147371</v>
      </c>
      <c r="F2813" s="4" t="s">
        <v>29</v>
      </c>
    </row>
    <row r="2814" spans="1:6" x14ac:dyDescent="0.25">
      <c r="A2814" s="4" t="s">
        <v>74</v>
      </c>
      <c r="B2814" s="4" t="s">
        <v>2</v>
      </c>
      <c r="C2814" s="4" t="s">
        <v>34</v>
      </c>
      <c r="D2814" s="4">
        <v>2009</v>
      </c>
      <c r="E2814" s="4">
        <v>22446.045407498725</v>
      </c>
      <c r="F2814" s="4" t="s">
        <v>29</v>
      </c>
    </row>
    <row r="2815" spans="1:6" x14ac:dyDescent="0.25">
      <c r="A2815" s="4" t="s">
        <v>74</v>
      </c>
      <c r="B2815" s="4" t="s">
        <v>2</v>
      </c>
      <c r="C2815" s="4" t="s">
        <v>34</v>
      </c>
      <c r="D2815" s="4">
        <v>2010</v>
      </c>
      <c r="E2815" s="4">
        <v>21617.565081031888</v>
      </c>
      <c r="F2815" s="4" t="s">
        <v>29</v>
      </c>
    </row>
    <row r="2816" spans="1:6" x14ac:dyDescent="0.25">
      <c r="A2816" s="4" t="s">
        <v>74</v>
      </c>
      <c r="B2816" s="4" t="s">
        <v>2</v>
      </c>
      <c r="C2816" s="4" t="s">
        <v>34</v>
      </c>
      <c r="D2816" s="4">
        <v>2011</v>
      </c>
      <c r="E2816" s="4">
        <v>21535.350062628768</v>
      </c>
      <c r="F2816" s="4" t="s">
        <v>29</v>
      </c>
    </row>
    <row r="2817" spans="1:6" x14ac:dyDescent="0.25">
      <c r="A2817" s="4" t="s">
        <v>74</v>
      </c>
      <c r="B2817" s="4" t="s">
        <v>2</v>
      </c>
      <c r="C2817" s="4" t="s">
        <v>34</v>
      </c>
      <c r="D2817" s="4">
        <v>2012</v>
      </c>
      <c r="E2817" s="4">
        <v>22936.758509477593</v>
      </c>
      <c r="F2817" s="4" t="s">
        <v>29</v>
      </c>
    </row>
    <row r="2818" spans="1:6" x14ac:dyDescent="0.25">
      <c r="A2818" s="4" t="s">
        <v>74</v>
      </c>
      <c r="B2818" s="4" t="s">
        <v>2</v>
      </c>
      <c r="C2818" s="4" t="s">
        <v>34</v>
      </c>
      <c r="D2818" s="4">
        <v>2013</v>
      </c>
      <c r="E2818" s="4">
        <v>23326.349274190499</v>
      </c>
      <c r="F2818" s="4" t="s">
        <v>29</v>
      </c>
    </row>
    <row r="2819" spans="1:6" x14ac:dyDescent="0.25">
      <c r="A2819" s="4" t="s">
        <v>74</v>
      </c>
      <c r="B2819" s="4" t="s">
        <v>2</v>
      </c>
      <c r="C2819" s="4" t="s">
        <v>34</v>
      </c>
      <c r="D2819" s="4">
        <v>2014</v>
      </c>
      <c r="E2819" s="4">
        <v>22640.786462625441</v>
      </c>
      <c r="F2819" s="4" t="s">
        <v>29</v>
      </c>
    </row>
    <row r="2820" spans="1:6" x14ac:dyDescent="0.25">
      <c r="A2820" s="4" t="s">
        <v>74</v>
      </c>
      <c r="B2820" s="4" t="s">
        <v>2</v>
      </c>
      <c r="C2820" s="4" t="s">
        <v>34</v>
      </c>
      <c r="D2820" s="4">
        <v>2015</v>
      </c>
      <c r="E2820" s="4">
        <v>20228.204740943693</v>
      </c>
      <c r="F2820" s="4" t="s">
        <v>29</v>
      </c>
    </row>
    <row r="2821" spans="1:6" x14ac:dyDescent="0.25">
      <c r="A2821" s="4" t="s">
        <v>74</v>
      </c>
      <c r="B2821" s="4" t="s">
        <v>2</v>
      </c>
      <c r="C2821" s="4" t="s">
        <v>34</v>
      </c>
      <c r="D2821" s="4">
        <v>2016</v>
      </c>
      <c r="E2821" s="4">
        <v>17488.412924688299</v>
      </c>
      <c r="F2821" s="4" t="s">
        <v>29</v>
      </c>
    </row>
    <row r="2822" spans="1:6" x14ac:dyDescent="0.25">
      <c r="A2822" s="4" t="s">
        <v>74</v>
      </c>
      <c r="B2822" s="4" t="s">
        <v>2</v>
      </c>
      <c r="C2822" s="4" t="s">
        <v>34</v>
      </c>
      <c r="D2822" s="4">
        <v>2017</v>
      </c>
      <c r="E2822" s="4">
        <v>17204.000523056242</v>
      </c>
      <c r="F2822" s="4" t="s">
        <v>29</v>
      </c>
    </row>
    <row r="2823" spans="1:6" x14ac:dyDescent="0.25">
      <c r="A2823" s="4" t="s">
        <v>74</v>
      </c>
      <c r="B2823" s="4" t="s">
        <v>2</v>
      </c>
      <c r="C2823" s="4" t="s">
        <v>34</v>
      </c>
      <c r="D2823" s="4">
        <v>2018</v>
      </c>
      <c r="E2823" s="4">
        <v>16181.945772342844</v>
      </c>
      <c r="F2823" s="4" t="s">
        <v>29</v>
      </c>
    </row>
    <row r="2824" spans="1:6" x14ac:dyDescent="0.25">
      <c r="A2824" s="4" t="s">
        <v>74</v>
      </c>
      <c r="B2824" s="4" t="s">
        <v>2</v>
      </c>
      <c r="C2824" s="4" t="s">
        <v>34</v>
      </c>
      <c r="D2824" s="4">
        <v>2019</v>
      </c>
      <c r="E2824" s="4">
        <v>15458.030848548218</v>
      </c>
      <c r="F2824" s="4" t="s">
        <v>29</v>
      </c>
    </row>
    <row r="2825" spans="1:6" x14ac:dyDescent="0.25">
      <c r="A2825" s="4" t="s">
        <v>74</v>
      </c>
      <c r="B2825" s="4" t="s">
        <v>2</v>
      </c>
      <c r="C2825" s="4" t="s">
        <v>34</v>
      </c>
      <c r="D2825" s="4">
        <v>2020</v>
      </c>
      <c r="E2825" s="4">
        <v>15156.8087957968</v>
      </c>
      <c r="F2825" s="4" t="s">
        <v>29</v>
      </c>
    </row>
    <row r="2826" spans="1:6" x14ac:dyDescent="0.25">
      <c r="A2826" s="4" t="s">
        <v>74</v>
      </c>
      <c r="B2826" s="4" t="s">
        <v>2</v>
      </c>
      <c r="C2826" s="4" t="s">
        <v>34</v>
      </c>
      <c r="D2826" s="4">
        <v>2021</v>
      </c>
      <c r="E2826" s="4">
        <v>15312.265040471091</v>
      </c>
      <c r="F2826" s="4" t="s">
        <v>29</v>
      </c>
    </row>
    <row r="2827" spans="1:6" x14ac:dyDescent="0.25">
      <c r="A2827" s="4" t="s">
        <v>74</v>
      </c>
      <c r="B2827" s="4" t="s">
        <v>2</v>
      </c>
      <c r="C2827" s="4" t="s">
        <v>34</v>
      </c>
      <c r="D2827" s="4">
        <v>2022</v>
      </c>
      <c r="E2827" s="4">
        <v>15961.422208207667</v>
      </c>
      <c r="F2827" s="4" t="s">
        <v>29</v>
      </c>
    </row>
    <row r="2828" spans="1:6" x14ac:dyDescent="0.25">
      <c r="A2828" s="4" t="s">
        <v>74</v>
      </c>
      <c r="B2828" s="4" t="s">
        <v>2</v>
      </c>
      <c r="C2828" s="4" t="s">
        <v>34</v>
      </c>
      <c r="D2828" s="4">
        <v>2023</v>
      </c>
      <c r="E2828" s="4">
        <v>17080.131549877609</v>
      </c>
      <c r="F2828" s="4" t="s">
        <v>29</v>
      </c>
    </row>
    <row r="2829" spans="1:6" x14ac:dyDescent="0.25">
      <c r="A2829" s="4" t="s">
        <v>74</v>
      </c>
      <c r="B2829" s="4" t="s">
        <v>2</v>
      </c>
      <c r="C2829" s="4" t="s">
        <v>34</v>
      </c>
      <c r="D2829" s="4">
        <v>2024</v>
      </c>
      <c r="E2829" s="4">
        <v>18665.856337164605</v>
      </c>
      <c r="F2829" s="4" t="s">
        <v>29</v>
      </c>
    </row>
    <row r="2830" spans="1:6" x14ac:dyDescent="0.25">
      <c r="A2830" s="4" t="s">
        <v>74</v>
      </c>
      <c r="B2830" s="4" t="s">
        <v>2</v>
      </c>
      <c r="C2830" s="4" t="s">
        <v>34</v>
      </c>
      <c r="D2830" s="4">
        <v>2025</v>
      </c>
      <c r="E2830" s="4">
        <v>20532.165798593625</v>
      </c>
      <c r="F2830" s="4" t="s">
        <v>29</v>
      </c>
    </row>
    <row r="2831" spans="1:6" x14ac:dyDescent="0.25">
      <c r="A2831" s="4" t="s">
        <v>74</v>
      </c>
      <c r="B2831" s="4" t="s">
        <v>2</v>
      </c>
      <c r="C2831" s="4" t="s">
        <v>34</v>
      </c>
      <c r="D2831" s="4">
        <v>2026</v>
      </c>
      <c r="E2831" s="4">
        <v>22483.670252941807</v>
      </c>
      <c r="F2831" s="4" t="s">
        <v>29</v>
      </c>
    </row>
    <row r="2832" spans="1:6" x14ac:dyDescent="0.25">
      <c r="A2832" s="4" t="s">
        <v>74</v>
      </c>
      <c r="B2832" s="4" t="s">
        <v>2</v>
      </c>
      <c r="C2832" s="4" t="s">
        <v>34</v>
      </c>
      <c r="D2832" s="4">
        <v>2027</v>
      </c>
      <c r="E2832" s="4">
        <v>24430.339790788406</v>
      </c>
      <c r="F2832" s="4" t="s">
        <v>29</v>
      </c>
    </row>
    <row r="2833" spans="1:6" x14ac:dyDescent="0.25">
      <c r="A2833" s="4" t="s">
        <v>74</v>
      </c>
      <c r="B2833" s="4" t="s">
        <v>2</v>
      </c>
      <c r="C2833" s="4" t="s">
        <v>34</v>
      </c>
      <c r="D2833" s="4">
        <v>2028</v>
      </c>
      <c r="E2833" s="4">
        <v>26292.070831626916</v>
      </c>
      <c r="F2833" s="4" t="s">
        <v>29</v>
      </c>
    </row>
    <row r="2834" spans="1:6" x14ac:dyDescent="0.25">
      <c r="A2834" s="4" t="s">
        <v>74</v>
      </c>
      <c r="B2834" s="4" t="s">
        <v>2</v>
      </c>
      <c r="C2834" s="4" t="s">
        <v>34</v>
      </c>
      <c r="D2834" s="4">
        <v>2029</v>
      </c>
      <c r="E2834" s="4">
        <v>28045.960236691164</v>
      </c>
      <c r="F2834" s="4" t="s">
        <v>29</v>
      </c>
    </row>
    <row r="2835" spans="1:6" x14ac:dyDescent="0.25">
      <c r="A2835" s="4" t="s">
        <v>74</v>
      </c>
      <c r="B2835" s="4" t="s">
        <v>2</v>
      </c>
      <c r="C2835" s="4" t="s">
        <v>34</v>
      </c>
      <c r="D2835" s="4">
        <v>2030</v>
      </c>
      <c r="E2835" s="4">
        <v>29705.184801690357</v>
      </c>
      <c r="F2835" s="4" t="s">
        <v>29</v>
      </c>
    </row>
    <row r="2836" spans="1:6" x14ac:dyDescent="0.25">
      <c r="A2836" s="4" t="s">
        <v>74</v>
      </c>
      <c r="B2836" s="4" t="s">
        <v>2</v>
      </c>
      <c r="C2836" s="4" t="s">
        <v>34</v>
      </c>
      <c r="D2836" s="4">
        <v>2031</v>
      </c>
      <c r="E2836" s="4">
        <v>31277.128178973166</v>
      </c>
      <c r="F2836" s="4" t="s">
        <v>29</v>
      </c>
    </row>
    <row r="2837" spans="1:6" x14ac:dyDescent="0.25">
      <c r="A2837" s="4" t="s">
        <v>74</v>
      </c>
      <c r="B2837" s="4" t="s">
        <v>2</v>
      </c>
      <c r="C2837" s="4" t="s">
        <v>34</v>
      </c>
      <c r="D2837" s="4">
        <v>2032</v>
      </c>
      <c r="E2837" s="4">
        <v>32756.439514440081</v>
      </c>
      <c r="F2837" s="4" t="s">
        <v>29</v>
      </c>
    </row>
    <row r="2838" spans="1:6" x14ac:dyDescent="0.25">
      <c r="A2838" s="4" t="s">
        <v>74</v>
      </c>
      <c r="B2838" s="4" t="s">
        <v>2</v>
      </c>
      <c r="C2838" s="4" t="s">
        <v>34</v>
      </c>
      <c r="D2838" s="4">
        <v>2033</v>
      </c>
      <c r="E2838" s="4">
        <v>34140.394911848045</v>
      </c>
      <c r="F2838" s="4" t="s">
        <v>29</v>
      </c>
    </row>
    <row r="2839" spans="1:6" x14ac:dyDescent="0.25">
      <c r="A2839" s="4" t="s">
        <v>74</v>
      </c>
      <c r="B2839" s="4" t="s">
        <v>2</v>
      </c>
      <c r="C2839" s="4" t="s">
        <v>34</v>
      </c>
      <c r="D2839" s="4">
        <v>2034</v>
      </c>
      <c r="E2839" s="4">
        <v>35419.067244352293</v>
      </c>
      <c r="F2839" s="4" t="s">
        <v>29</v>
      </c>
    </row>
    <row r="2840" spans="1:6" x14ac:dyDescent="0.25">
      <c r="A2840" s="4" t="s">
        <v>74</v>
      </c>
      <c r="B2840" s="4" t="s">
        <v>2</v>
      </c>
      <c r="C2840" s="4" t="s">
        <v>34</v>
      </c>
      <c r="D2840" s="4">
        <v>2035</v>
      </c>
      <c r="E2840" s="4">
        <v>36580.762282833617</v>
      </c>
      <c r="F2840" s="4" t="s">
        <v>29</v>
      </c>
    </row>
    <row r="2841" spans="1:6" x14ac:dyDescent="0.25">
      <c r="A2841" s="4" t="s">
        <v>74</v>
      </c>
      <c r="B2841" s="4" t="s">
        <v>2</v>
      </c>
      <c r="C2841" s="4" t="s">
        <v>34</v>
      </c>
      <c r="D2841" s="4">
        <v>2036</v>
      </c>
      <c r="E2841" s="4">
        <v>37616.063530639782</v>
      </c>
      <c r="F2841" s="4" t="s">
        <v>29</v>
      </c>
    </row>
    <row r="2842" spans="1:6" x14ac:dyDescent="0.25">
      <c r="A2842" s="4" t="s">
        <v>74</v>
      </c>
      <c r="B2842" s="4" t="s">
        <v>2</v>
      </c>
      <c r="C2842" s="4" t="s">
        <v>34</v>
      </c>
      <c r="D2842" s="4">
        <v>2037</v>
      </c>
      <c r="E2842" s="4">
        <v>38511.382688520287</v>
      </c>
      <c r="F2842" s="4" t="s">
        <v>29</v>
      </c>
    </row>
    <row r="2843" spans="1:6" x14ac:dyDescent="0.25">
      <c r="A2843" s="4" t="s">
        <v>74</v>
      </c>
      <c r="B2843" s="4" t="s">
        <v>2</v>
      </c>
      <c r="C2843" s="4" t="s">
        <v>34</v>
      </c>
      <c r="D2843" s="4">
        <v>2038</v>
      </c>
      <c r="E2843" s="4">
        <v>39256.089919485377</v>
      </c>
      <c r="F2843" s="4" t="s">
        <v>29</v>
      </c>
    </row>
    <row r="2844" spans="1:6" x14ac:dyDescent="0.25">
      <c r="A2844" s="4" t="s">
        <v>74</v>
      </c>
      <c r="B2844" s="4" t="s">
        <v>2</v>
      </c>
      <c r="C2844" s="4" t="s">
        <v>34</v>
      </c>
      <c r="D2844" s="4">
        <v>2039</v>
      </c>
      <c r="E2844" s="4">
        <v>39855.951147195825</v>
      </c>
      <c r="F2844" s="4" t="s">
        <v>29</v>
      </c>
    </row>
    <row r="2845" spans="1:6" x14ac:dyDescent="0.25">
      <c r="A2845" s="4" t="s">
        <v>74</v>
      </c>
      <c r="B2845" s="4" t="s">
        <v>2</v>
      </c>
      <c r="C2845" s="4" t="s">
        <v>34</v>
      </c>
      <c r="D2845" s="4">
        <v>2040</v>
      </c>
      <c r="E2845" s="4">
        <v>40329.915652794407</v>
      </c>
      <c r="F2845" s="4" t="s">
        <v>29</v>
      </c>
    </row>
    <row r="2846" spans="1:6" x14ac:dyDescent="0.25">
      <c r="A2846" s="4" t="s">
        <v>74</v>
      </c>
      <c r="B2846" s="4" t="s">
        <v>3</v>
      </c>
      <c r="C2846" s="4" t="s">
        <v>34</v>
      </c>
      <c r="D2846" s="4">
        <v>2005</v>
      </c>
      <c r="E2846" s="4">
        <v>20570</v>
      </c>
      <c r="F2846" s="4" t="s">
        <v>29</v>
      </c>
    </row>
    <row r="2847" spans="1:6" x14ac:dyDescent="0.25">
      <c r="A2847" s="4" t="s">
        <v>74</v>
      </c>
      <c r="B2847" s="4" t="s">
        <v>3</v>
      </c>
      <c r="C2847" s="4" t="s">
        <v>34</v>
      </c>
      <c r="D2847" s="4">
        <v>2006</v>
      </c>
      <c r="E2847" s="4">
        <v>21350</v>
      </c>
      <c r="F2847" s="4" t="s">
        <v>29</v>
      </c>
    </row>
    <row r="2848" spans="1:6" x14ac:dyDescent="0.25">
      <c r="A2848" s="4" t="s">
        <v>74</v>
      </c>
      <c r="B2848" s="4" t="s">
        <v>3</v>
      </c>
      <c r="C2848" s="4" t="s">
        <v>34</v>
      </c>
      <c r="D2848" s="4">
        <v>2007</v>
      </c>
      <c r="E2848" s="4">
        <v>21260</v>
      </c>
      <c r="F2848" s="4" t="s">
        <v>29</v>
      </c>
    </row>
    <row r="2849" spans="1:6" x14ac:dyDescent="0.25">
      <c r="A2849" s="4" t="s">
        <v>74</v>
      </c>
      <c r="B2849" s="4" t="s">
        <v>3</v>
      </c>
      <c r="C2849" s="4" t="s">
        <v>34</v>
      </c>
      <c r="D2849" s="4">
        <v>2008</v>
      </c>
      <c r="E2849" s="4">
        <v>20070</v>
      </c>
      <c r="F2849" s="4" t="s">
        <v>29</v>
      </c>
    </row>
    <row r="2850" spans="1:6" x14ac:dyDescent="0.25">
      <c r="A2850" s="4" t="s">
        <v>74</v>
      </c>
      <c r="B2850" s="4" t="s">
        <v>3</v>
      </c>
      <c r="C2850" s="4" t="s">
        <v>34</v>
      </c>
      <c r="D2850" s="4">
        <v>2009</v>
      </c>
      <c r="E2850" s="4">
        <v>18840</v>
      </c>
      <c r="F2850" s="4" t="s">
        <v>29</v>
      </c>
    </row>
    <row r="2851" spans="1:6" x14ac:dyDescent="0.25">
      <c r="A2851" s="4" t="s">
        <v>74</v>
      </c>
      <c r="B2851" s="4" t="s">
        <v>3</v>
      </c>
      <c r="C2851" s="4" t="s">
        <v>34</v>
      </c>
      <c r="D2851" s="4">
        <v>2010</v>
      </c>
      <c r="E2851" s="4">
        <v>18330</v>
      </c>
      <c r="F2851" s="4" t="s">
        <v>29</v>
      </c>
    </row>
    <row r="2852" spans="1:6" x14ac:dyDescent="0.25">
      <c r="A2852" s="4" t="s">
        <v>74</v>
      </c>
      <c r="B2852" s="4" t="s">
        <v>3</v>
      </c>
      <c r="C2852" s="4" t="s">
        <v>34</v>
      </c>
      <c r="D2852" s="4">
        <v>2011</v>
      </c>
      <c r="E2852" s="4">
        <v>17720</v>
      </c>
      <c r="F2852" s="4" t="s">
        <v>29</v>
      </c>
    </row>
    <row r="2853" spans="1:6" x14ac:dyDescent="0.25">
      <c r="A2853" s="4" t="s">
        <v>74</v>
      </c>
      <c r="B2853" s="4" t="s">
        <v>3</v>
      </c>
      <c r="C2853" s="4" t="s">
        <v>34</v>
      </c>
      <c r="D2853" s="4">
        <v>2012</v>
      </c>
      <c r="E2853" s="4">
        <v>17290</v>
      </c>
      <c r="F2853" s="4" t="s">
        <v>29</v>
      </c>
    </row>
    <row r="2854" spans="1:6" x14ac:dyDescent="0.25">
      <c r="A2854" s="4" t="s">
        <v>74</v>
      </c>
      <c r="B2854" s="4" t="s">
        <v>3</v>
      </c>
      <c r="C2854" s="4" t="s">
        <v>34</v>
      </c>
      <c r="D2854" s="4">
        <v>2013</v>
      </c>
      <c r="E2854" s="4">
        <v>18160</v>
      </c>
      <c r="F2854" s="4" t="s">
        <v>29</v>
      </c>
    </row>
    <row r="2855" spans="1:6" x14ac:dyDescent="0.25">
      <c r="A2855" s="4" t="s">
        <v>74</v>
      </c>
      <c r="B2855" s="4" t="s">
        <v>3</v>
      </c>
      <c r="C2855" s="4" t="s">
        <v>34</v>
      </c>
      <c r="D2855" s="4">
        <v>2014</v>
      </c>
      <c r="E2855" s="4">
        <v>21230</v>
      </c>
      <c r="F2855" s="4" t="s">
        <v>29</v>
      </c>
    </row>
    <row r="2856" spans="1:6" x14ac:dyDescent="0.25">
      <c r="A2856" s="4" t="s">
        <v>74</v>
      </c>
      <c r="B2856" s="4" t="s">
        <v>3</v>
      </c>
      <c r="C2856" s="4" t="s">
        <v>34</v>
      </c>
      <c r="D2856" s="4">
        <v>2015</v>
      </c>
      <c r="E2856" s="4">
        <v>26690</v>
      </c>
      <c r="F2856" s="4" t="s">
        <v>29</v>
      </c>
    </row>
    <row r="2857" spans="1:6" x14ac:dyDescent="0.25">
      <c r="A2857" s="4" t="s">
        <v>74</v>
      </c>
      <c r="B2857" s="4" t="s">
        <v>3</v>
      </c>
      <c r="C2857" s="4" t="s">
        <v>34</v>
      </c>
      <c r="D2857" s="4">
        <v>2016</v>
      </c>
      <c r="E2857" s="4">
        <v>27711.679452054788</v>
      </c>
      <c r="F2857" s="4" t="s">
        <v>29</v>
      </c>
    </row>
    <row r="2858" spans="1:6" x14ac:dyDescent="0.25">
      <c r="A2858" s="4" t="s">
        <v>74</v>
      </c>
      <c r="B2858" s="4" t="s">
        <v>3</v>
      </c>
      <c r="C2858" s="4" t="s">
        <v>34</v>
      </c>
      <c r="D2858" s="4">
        <v>2017</v>
      </c>
      <c r="E2858" s="4">
        <v>33352.013972602741</v>
      </c>
      <c r="F2858" s="4" t="s">
        <v>29</v>
      </c>
    </row>
    <row r="2859" spans="1:6" x14ac:dyDescent="0.25">
      <c r="A2859" s="4" t="s">
        <v>74</v>
      </c>
      <c r="B2859" s="4" t="s">
        <v>3</v>
      </c>
      <c r="C2859" s="4" t="s">
        <v>34</v>
      </c>
      <c r="D2859" s="4">
        <v>2018</v>
      </c>
      <c r="E2859" s="4">
        <v>33970.387825577811</v>
      </c>
      <c r="F2859" s="4" t="s">
        <v>29</v>
      </c>
    </row>
    <row r="2860" spans="1:6" x14ac:dyDescent="0.25">
      <c r="A2860" s="4" t="s">
        <v>74</v>
      </c>
      <c r="B2860" s="4" t="s">
        <v>3</v>
      </c>
      <c r="C2860" s="4" t="s">
        <v>34</v>
      </c>
      <c r="D2860" s="4">
        <v>2019</v>
      </c>
      <c r="E2860" s="4">
        <v>33996.815920084817</v>
      </c>
      <c r="F2860" s="4" t="s">
        <v>29</v>
      </c>
    </row>
    <row r="2861" spans="1:6" x14ac:dyDescent="0.25">
      <c r="A2861" s="4" t="s">
        <v>74</v>
      </c>
      <c r="B2861" s="4" t="s">
        <v>3</v>
      </c>
      <c r="C2861" s="4" t="s">
        <v>34</v>
      </c>
      <c r="D2861" s="4">
        <v>2020</v>
      </c>
      <c r="E2861" s="4">
        <v>34294.811517646653</v>
      </c>
      <c r="F2861" s="4" t="s">
        <v>29</v>
      </c>
    </row>
    <row r="2862" spans="1:6" x14ac:dyDescent="0.25">
      <c r="A2862" s="4" t="s">
        <v>74</v>
      </c>
      <c r="B2862" s="4" t="s">
        <v>3</v>
      </c>
      <c r="C2862" s="4" t="s">
        <v>34</v>
      </c>
      <c r="D2862" s="4">
        <v>2021</v>
      </c>
      <c r="E2862" s="4">
        <v>34680.151920078504</v>
      </c>
      <c r="F2862" s="4" t="s">
        <v>29</v>
      </c>
    </row>
    <row r="2863" spans="1:6" x14ac:dyDescent="0.25">
      <c r="A2863" s="4" t="s">
        <v>74</v>
      </c>
      <c r="B2863" s="4" t="s">
        <v>3</v>
      </c>
      <c r="C2863" s="4" t="s">
        <v>34</v>
      </c>
      <c r="D2863" s="4">
        <v>2022</v>
      </c>
      <c r="E2863" s="4">
        <v>35178.456952039705</v>
      </c>
      <c r="F2863" s="4" t="s">
        <v>29</v>
      </c>
    </row>
    <row r="2864" spans="1:6" x14ac:dyDescent="0.25">
      <c r="A2864" s="4" t="s">
        <v>74</v>
      </c>
      <c r="B2864" s="4" t="s">
        <v>3</v>
      </c>
      <c r="C2864" s="4" t="s">
        <v>34</v>
      </c>
      <c r="D2864" s="4">
        <v>2023</v>
      </c>
      <c r="E2864" s="4">
        <v>35882.849479736789</v>
      </c>
      <c r="F2864" s="4" t="s">
        <v>29</v>
      </c>
    </row>
    <row r="2865" spans="1:6" x14ac:dyDescent="0.25">
      <c r="A2865" s="4" t="s">
        <v>74</v>
      </c>
      <c r="B2865" s="4" t="s">
        <v>3</v>
      </c>
      <c r="C2865" s="4" t="s">
        <v>34</v>
      </c>
      <c r="D2865" s="4">
        <v>2024</v>
      </c>
      <c r="E2865" s="4">
        <v>36876.671683367669</v>
      </c>
      <c r="F2865" s="4" t="s">
        <v>29</v>
      </c>
    </row>
    <row r="2866" spans="1:6" x14ac:dyDescent="0.25">
      <c r="A2866" s="4" t="s">
        <v>74</v>
      </c>
      <c r="B2866" s="4" t="s">
        <v>3</v>
      </c>
      <c r="C2866" s="4" t="s">
        <v>34</v>
      </c>
      <c r="D2866" s="4">
        <v>2025</v>
      </c>
      <c r="E2866" s="4">
        <v>38148.070198165406</v>
      </c>
      <c r="F2866" s="4" t="s">
        <v>29</v>
      </c>
    </row>
    <row r="2867" spans="1:6" x14ac:dyDescent="0.25">
      <c r="A2867" s="4" t="s">
        <v>74</v>
      </c>
      <c r="B2867" s="4" t="s">
        <v>3</v>
      </c>
      <c r="C2867" s="4" t="s">
        <v>34</v>
      </c>
      <c r="D2867" s="4">
        <v>2026</v>
      </c>
      <c r="E2867" s="4">
        <v>39602.291465148475</v>
      </c>
      <c r="F2867" s="4" t="s">
        <v>29</v>
      </c>
    </row>
    <row r="2868" spans="1:6" x14ac:dyDescent="0.25">
      <c r="A2868" s="4" t="s">
        <v>74</v>
      </c>
      <c r="B2868" s="4" t="s">
        <v>3</v>
      </c>
      <c r="C2868" s="4" t="s">
        <v>34</v>
      </c>
      <c r="D2868" s="4">
        <v>2027</v>
      </c>
      <c r="E2868" s="4">
        <v>41175.244443766394</v>
      </c>
      <c r="F2868" s="4" t="s">
        <v>29</v>
      </c>
    </row>
    <row r="2869" spans="1:6" x14ac:dyDescent="0.25">
      <c r="A2869" s="4" t="s">
        <v>74</v>
      </c>
      <c r="B2869" s="4" t="s">
        <v>3</v>
      </c>
      <c r="C2869" s="4" t="s">
        <v>34</v>
      </c>
      <c r="D2869" s="4">
        <v>2028</v>
      </c>
      <c r="E2869" s="4">
        <v>42835.131221040443</v>
      </c>
      <c r="F2869" s="4" t="s">
        <v>29</v>
      </c>
    </row>
    <row r="2870" spans="1:6" x14ac:dyDescent="0.25">
      <c r="A2870" s="4" t="s">
        <v>74</v>
      </c>
      <c r="B2870" s="4" t="s">
        <v>3</v>
      </c>
      <c r="C2870" s="4" t="s">
        <v>34</v>
      </c>
      <c r="D2870" s="4">
        <v>2029</v>
      </c>
      <c r="E2870" s="4">
        <v>44552.347300198009</v>
      </c>
      <c r="F2870" s="4" t="s">
        <v>29</v>
      </c>
    </row>
    <row r="2871" spans="1:6" x14ac:dyDescent="0.25">
      <c r="A2871" s="4" t="s">
        <v>74</v>
      </c>
      <c r="B2871" s="4" t="s">
        <v>3</v>
      </c>
      <c r="C2871" s="4" t="s">
        <v>34</v>
      </c>
      <c r="D2871" s="4">
        <v>2030</v>
      </c>
      <c r="E2871" s="4">
        <v>46417.316962288802</v>
      </c>
      <c r="F2871" s="4" t="s">
        <v>29</v>
      </c>
    </row>
    <row r="2872" spans="1:6" x14ac:dyDescent="0.25">
      <c r="A2872" s="4" t="s">
        <v>74</v>
      </c>
      <c r="B2872" s="4" t="s">
        <v>3</v>
      </c>
      <c r="C2872" s="4" t="s">
        <v>34</v>
      </c>
      <c r="D2872" s="4">
        <v>2031</v>
      </c>
      <c r="E2872" s="4">
        <v>48441.204709485093</v>
      </c>
      <c r="F2872" s="4" t="s">
        <v>29</v>
      </c>
    </row>
    <row r="2873" spans="1:6" x14ac:dyDescent="0.25">
      <c r="A2873" s="4" t="s">
        <v>74</v>
      </c>
      <c r="B2873" s="4" t="s">
        <v>3</v>
      </c>
      <c r="C2873" s="4" t="s">
        <v>34</v>
      </c>
      <c r="D2873" s="4">
        <v>2032</v>
      </c>
      <c r="E2873" s="4">
        <v>50504.566613239345</v>
      </c>
      <c r="F2873" s="4" t="s">
        <v>29</v>
      </c>
    </row>
    <row r="2874" spans="1:6" x14ac:dyDescent="0.25">
      <c r="A2874" s="4" t="s">
        <v>74</v>
      </c>
      <c r="B2874" s="4" t="s">
        <v>3</v>
      </c>
      <c r="C2874" s="4" t="s">
        <v>34</v>
      </c>
      <c r="D2874" s="4">
        <v>2033</v>
      </c>
      <c r="E2874" s="4">
        <v>52633.747751744762</v>
      </c>
      <c r="F2874" s="4" t="s">
        <v>29</v>
      </c>
    </row>
    <row r="2875" spans="1:6" x14ac:dyDescent="0.25">
      <c r="A2875" s="4" t="s">
        <v>74</v>
      </c>
      <c r="B2875" s="4" t="s">
        <v>3</v>
      </c>
      <c r="C2875" s="4" t="s">
        <v>34</v>
      </c>
      <c r="D2875" s="4">
        <v>2034</v>
      </c>
      <c r="E2875" s="4">
        <v>54882.109771734817</v>
      </c>
      <c r="F2875" s="4" t="s">
        <v>29</v>
      </c>
    </row>
    <row r="2876" spans="1:6" x14ac:dyDescent="0.25">
      <c r="A2876" s="4" t="s">
        <v>74</v>
      </c>
      <c r="B2876" s="4" t="s">
        <v>3</v>
      </c>
      <c r="C2876" s="4" t="s">
        <v>34</v>
      </c>
      <c r="D2876" s="4">
        <v>2035</v>
      </c>
      <c r="E2876" s="4">
        <v>57245.1431051037</v>
      </c>
      <c r="F2876" s="4" t="s">
        <v>29</v>
      </c>
    </row>
    <row r="2877" spans="1:6" x14ac:dyDescent="0.25">
      <c r="A2877" s="4" t="s">
        <v>74</v>
      </c>
      <c r="B2877" s="4" t="s">
        <v>3</v>
      </c>
      <c r="C2877" s="4" t="s">
        <v>34</v>
      </c>
      <c r="D2877" s="4">
        <v>2036</v>
      </c>
      <c r="E2877" s="4">
        <v>59718.094304171347</v>
      </c>
      <c r="F2877" s="4" t="s">
        <v>29</v>
      </c>
    </row>
    <row r="2878" spans="1:6" x14ac:dyDescent="0.25">
      <c r="A2878" s="4" t="s">
        <v>74</v>
      </c>
      <c r="B2878" s="4" t="s">
        <v>3</v>
      </c>
      <c r="C2878" s="4" t="s">
        <v>34</v>
      </c>
      <c r="D2878" s="4">
        <v>2037</v>
      </c>
      <c r="E2878" s="4">
        <v>62318.901735709311</v>
      </c>
      <c r="F2878" s="4" t="s">
        <v>29</v>
      </c>
    </row>
    <row r="2879" spans="1:6" x14ac:dyDescent="0.25">
      <c r="A2879" s="4" t="s">
        <v>74</v>
      </c>
      <c r="B2879" s="4" t="s">
        <v>3</v>
      </c>
      <c r="C2879" s="4" t="s">
        <v>34</v>
      </c>
      <c r="D2879" s="4">
        <v>2038</v>
      </c>
      <c r="E2879" s="4">
        <v>65062.302301933334</v>
      </c>
      <c r="F2879" s="4" t="s">
        <v>29</v>
      </c>
    </row>
    <row r="2880" spans="1:6" x14ac:dyDescent="0.25">
      <c r="A2880" s="4" t="s">
        <v>74</v>
      </c>
      <c r="B2880" s="4" t="s">
        <v>3</v>
      </c>
      <c r="C2880" s="4" t="s">
        <v>34</v>
      </c>
      <c r="D2880" s="4">
        <v>2039</v>
      </c>
      <c r="E2880" s="4">
        <v>67885.54356000929</v>
      </c>
      <c r="F2880" s="4" t="s">
        <v>29</v>
      </c>
    </row>
    <row r="2881" spans="1:6" x14ac:dyDescent="0.25">
      <c r="A2881" s="4" t="s">
        <v>74</v>
      </c>
      <c r="B2881" s="4" t="s">
        <v>3</v>
      </c>
      <c r="C2881" s="4" t="s">
        <v>34</v>
      </c>
      <c r="D2881" s="4">
        <v>2040</v>
      </c>
      <c r="E2881" s="4">
        <v>70782.38087532256</v>
      </c>
      <c r="F2881" s="4" t="s">
        <v>29</v>
      </c>
    </row>
    <row r="2882" spans="1:6" x14ac:dyDescent="0.25">
      <c r="A2882" s="4" t="s">
        <v>74</v>
      </c>
      <c r="B2882" s="4" t="s">
        <v>4</v>
      </c>
      <c r="C2882" s="4" t="s">
        <v>34</v>
      </c>
      <c r="D2882" s="4">
        <v>2005</v>
      </c>
      <c r="E2882" s="4">
        <v>1540</v>
      </c>
      <c r="F2882" s="4" t="s">
        <v>29</v>
      </c>
    </row>
    <row r="2883" spans="1:6" x14ac:dyDescent="0.25">
      <c r="A2883" s="4" t="s">
        <v>74</v>
      </c>
      <c r="B2883" s="4" t="s">
        <v>4</v>
      </c>
      <c r="C2883" s="4" t="s">
        <v>34</v>
      </c>
      <c r="D2883" s="4">
        <v>2006</v>
      </c>
      <c r="E2883" s="4">
        <v>1750</v>
      </c>
      <c r="F2883" s="4" t="s">
        <v>29</v>
      </c>
    </row>
    <row r="2884" spans="1:6" x14ac:dyDescent="0.25">
      <c r="A2884" s="4" t="s">
        <v>74</v>
      </c>
      <c r="B2884" s="4" t="s">
        <v>4</v>
      </c>
      <c r="C2884" s="4" t="s">
        <v>34</v>
      </c>
      <c r="D2884" s="4">
        <v>2007</v>
      </c>
      <c r="E2884" s="4">
        <v>2090</v>
      </c>
      <c r="F2884" s="4" t="s">
        <v>29</v>
      </c>
    </row>
    <row r="2885" spans="1:6" x14ac:dyDescent="0.25">
      <c r="A2885" s="4" t="s">
        <v>74</v>
      </c>
      <c r="B2885" s="4" t="s">
        <v>4</v>
      </c>
      <c r="C2885" s="4" t="s">
        <v>34</v>
      </c>
      <c r="D2885" s="4">
        <v>2008</v>
      </c>
      <c r="E2885" s="4">
        <v>2410</v>
      </c>
      <c r="F2885" s="4" t="s">
        <v>29</v>
      </c>
    </row>
    <row r="2886" spans="1:6" x14ac:dyDescent="0.25">
      <c r="A2886" s="4" t="s">
        <v>74</v>
      </c>
      <c r="B2886" s="4" t="s">
        <v>4</v>
      </c>
      <c r="C2886" s="4" t="s">
        <v>34</v>
      </c>
      <c r="D2886" s="4">
        <v>2009</v>
      </c>
      <c r="E2886" s="4">
        <v>2180</v>
      </c>
      <c r="F2886" s="4" t="s">
        <v>29</v>
      </c>
    </row>
    <row r="2887" spans="1:6" x14ac:dyDescent="0.25">
      <c r="A2887" s="4" t="s">
        <v>74</v>
      </c>
      <c r="B2887" s="4" t="s">
        <v>4</v>
      </c>
      <c r="C2887" s="4" t="s">
        <v>34</v>
      </c>
      <c r="D2887" s="4">
        <v>2010</v>
      </c>
      <c r="E2887" s="4">
        <v>1920</v>
      </c>
      <c r="F2887" s="4" t="s">
        <v>29</v>
      </c>
    </row>
    <row r="2888" spans="1:6" x14ac:dyDescent="0.25">
      <c r="A2888" s="4" t="s">
        <v>74</v>
      </c>
      <c r="B2888" s="4" t="s">
        <v>4</v>
      </c>
      <c r="C2888" s="4" t="s">
        <v>34</v>
      </c>
      <c r="D2888" s="4">
        <v>2011</v>
      </c>
      <c r="E2888" s="4">
        <v>1940</v>
      </c>
      <c r="F2888" s="4" t="s">
        <v>29</v>
      </c>
    </row>
    <row r="2889" spans="1:6" x14ac:dyDescent="0.25">
      <c r="A2889" s="4" t="s">
        <v>74</v>
      </c>
      <c r="B2889" s="4" t="s">
        <v>4</v>
      </c>
      <c r="C2889" s="4" t="s">
        <v>34</v>
      </c>
      <c r="D2889" s="4">
        <v>2012</v>
      </c>
      <c r="E2889" s="4">
        <v>2000</v>
      </c>
      <c r="F2889" s="4" t="s">
        <v>29</v>
      </c>
    </row>
    <row r="2890" spans="1:6" x14ac:dyDescent="0.25">
      <c r="A2890" s="4" t="s">
        <v>74</v>
      </c>
      <c r="B2890" s="4" t="s">
        <v>4</v>
      </c>
      <c r="C2890" s="4" t="s">
        <v>34</v>
      </c>
      <c r="D2890" s="4">
        <v>2013</v>
      </c>
      <c r="E2890" s="4">
        <v>2590</v>
      </c>
      <c r="F2890" s="4" t="s">
        <v>29</v>
      </c>
    </row>
    <row r="2891" spans="1:6" x14ac:dyDescent="0.25">
      <c r="A2891" s="4" t="s">
        <v>74</v>
      </c>
      <c r="B2891" s="4" t="s">
        <v>4</v>
      </c>
      <c r="C2891" s="4" t="s">
        <v>34</v>
      </c>
      <c r="D2891" s="4">
        <v>2014</v>
      </c>
      <c r="E2891" s="4">
        <v>3780</v>
      </c>
      <c r="F2891" s="4" t="s">
        <v>29</v>
      </c>
    </row>
    <row r="2892" spans="1:6" x14ac:dyDescent="0.25">
      <c r="A2892" s="4" t="s">
        <v>74</v>
      </c>
      <c r="B2892" s="4" t="s">
        <v>4</v>
      </c>
      <c r="C2892" s="4" t="s">
        <v>34</v>
      </c>
      <c r="D2892" s="4">
        <v>2015</v>
      </c>
      <c r="E2892" s="4">
        <v>3730</v>
      </c>
      <c r="F2892" s="4" t="s">
        <v>29</v>
      </c>
    </row>
    <row r="2893" spans="1:6" x14ac:dyDescent="0.25">
      <c r="A2893" s="4" t="s">
        <v>74</v>
      </c>
      <c r="B2893" s="4" t="s">
        <v>4</v>
      </c>
      <c r="C2893" s="4" t="s">
        <v>34</v>
      </c>
      <c r="D2893" s="4">
        <v>2016</v>
      </c>
      <c r="E2893" s="4">
        <v>7631.3205479452108</v>
      </c>
      <c r="F2893" s="4" t="s">
        <v>29</v>
      </c>
    </row>
    <row r="2894" spans="1:6" x14ac:dyDescent="0.25">
      <c r="A2894" s="4" t="s">
        <v>74</v>
      </c>
      <c r="B2894" s="4" t="s">
        <v>4</v>
      </c>
      <c r="C2894" s="4" t="s">
        <v>34</v>
      </c>
      <c r="D2894" s="4">
        <v>2017</v>
      </c>
      <c r="E2894" s="4">
        <v>9506.986027397259</v>
      </c>
      <c r="F2894" s="4" t="s">
        <v>29</v>
      </c>
    </row>
    <row r="2895" spans="1:6" x14ac:dyDescent="0.25">
      <c r="A2895" s="4" t="s">
        <v>74</v>
      </c>
      <c r="B2895" s="4" t="s">
        <v>4</v>
      </c>
      <c r="C2895" s="4" t="s">
        <v>34</v>
      </c>
      <c r="D2895" s="4">
        <v>2018</v>
      </c>
      <c r="E2895" s="4">
        <v>9779.1271871366989</v>
      </c>
      <c r="F2895" s="4" t="s">
        <v>29</v>
      </c>
    </row>
    <row r="2896" spans="1:6" x14ac:dyDescent="0.25">
      <c r="A2896" s="4" t="s">
        <v>74</v>
      </c>
      <c r="B2896" s="4" t="s">
        <v>4</v>
      </c>
      <c r="C2896" s="4" t="s">
        <v>34</v>
      </c>
      <c r="D2896" s="4">
        <v>2019</v>
      </c>
      <c r="E2896" s="4">
        <v>9883.6334657507505</v>
      </c>
      <c r="F2896" s="4" t="s">
        <v>29</v>
      </c>
    </row>
    <row r="2897" spans="1:6" x14ac:dyDescent="0.25">
      <c r="A2897" s="4" t="s">
        <v>74</v>
      </c>
      <c r="B2897" s="4" t="s">
        <v>4</v>
      </c>
      <c r="C2897" s="4" t="s">
        <v>34</v>
      </c>
      <c r="D2897" s="4">
        <v>2020</v>
      </c>
      <c r="E2897" s="4">
        <v>10068.982958784065</v>
      </c>
      <c r="F2897" s="4" t="s">
        <v>29</v>
      </c>
    </row>
    <row r="2898" spans="1:6" x14ac:dyDescent="0.25">
      <c r="A2898" s="4" t="s">
        <v>74</v>
      </c>
      <c r="B2898" s="4" t="s">
        <v>4</v>
      </c>
      <c r="C2898" s="4" t="s">
        <v>34</v>
      </c>
      <c r="D2898" s="4">
        <v>2021</v>
      </c>
      <c r="E2898" s="4">
        <v>10282.932257767077</v>
      </c>
      <c r="F2898" s="4" t="s">
        <v>29</v>
      </c>
    </row>
    <row r="2899" spans="1:6" x14ac:dyDescent="0.25">
      <c r="A2899" s="4" t="s">
        <v>74</v>
      </c>
      <c r="B2899" s="4" t="s">
        <v>4</v>
      </c>
      <c r="C2899" s="4" t="s">
        <v>34</v>
      </c>
      <c r="D2899" s="4">
        <v>2022</v>
      </c>
      <c r="E2899" s="4">
        <v>10533.957633673192</v>
      </c>
      <c r="F2899" s="4" t="s">
        <v>29</v>
      </c>
    </row>
    <row r="2900" spans="1:6" x14ac:dyDescent="0.25">
      <c r="A2900" s="4" t="s">
        <v>74</v>
      </c>
      <c r="B2900" s="4" t="s">
        <v>4</v>
      </c>
      <c r="C2900" s="4" t="s">
        <v>34</v>
      </c>
      <c r="D2900" s="4">
        <v>2023</v>
      </c>
      <c r="E2900" s="4">
        <v>10851.268328276503</v>
      </c>
      <c r="F2900" s="4" t="s">
        <v>29</v>
      </c>
    </row>
    <row r="2901" spans="1:6" x14ac:dyDescent="0.25">
      <c r="A2901" s="4" t="s">
        <v>74</v>
      </c>
      <c r="B2901" s="4" t="s">
        <v>4</v>
      </c>
      <c r="C2901" s="4" t="s">
        <v>34</v>
      </c>
      <c r="D2901" s="4">
        <v>2024</v>
      </c>
      <c r="E2901" s="4">
        <v>11262.222267042382</v>
      </c>
      <c r="F2901" s="4" t="s">
        <v>29</v>
      </c>
    </row>
    <row r="2902" spans="1:6" x14ac:dyDescent="0.25">
      <c r="A2902" s="4" t="s">
        <v>74</v>
      </c>
      <c r="B2902" s="4" t="s">
        <v>4</v>
      </c>
      <c r="C2902" s="4" t="s">
        <v>34</v>
      </c>
      <c r="D2902" s="4">
        <v>2025</v>
      </c>
      <c r="E2902" s="4">
        <v>11765.861951586394</v>
      </c>
      <c r="F2902" s="4" t="s">
        <v>29</v>
      </c>
    </row>
    <row r="2903" spans="1:6" x14ac:dyDescent="0.25">
      <c r="A2903" s="4" t="s">
        <v>74</v>
      </c>
      <c r="B2903" s="4" t="s">
        <v>4</v>
      </c>
      <c r="C2903" s="4" t="s">
        <v>34</v>
      </c>
      <c r="D2903" s="4">
        <v>2026</v>
      </c>
      <c r="E2903" s="4">
        <v>12335.316273580533</v>
      </c>
      <c r="F2903" s="4" t="s">
        <v>29</v>
      </c>
    </row>
    <row r="2904" spans="1:6" x14ac:dyDescent="0.25">
      <c r="A2904" s="4" t="s">
        <v>74</v>
      </c>
      <c r="B2904" s="4" t="s">
        <v>4</v>
      </c>
      <c r="C2904" s="4" t="s">
        <v>34</v>
      </c>
      <c r="D2904" s="4">
        <v>2027</v>
      </c>
      <c r="E2904" s="4">
        <v>12952.242216852039</v>
      </c>
      <c r="F2904" s="4" t="s">
        <v>29</v>
      </c>
    </row>
    <row r="2905" spans="1:6" x14ac:dyDescent="0.25">
      <c r="A2905" s="4" t="s">
        <v>74</v>
      </c>
      <c r="B2905" s="4" t="s">
        <v>4</v>
      </c>
      <c r="C2905" s="4" t="s">
        <v>34</v>
      </c>
      <c r="D2905" s="4">
        <v>2028</v>
      </c>
      <c r="E2905" s="4">
        <v>13607.792271852759</v>
      </c>
      <c r="F2905" s="4" t="s">
        <v>29</v>
      </c>
    </row>
    <row r="2906" spans="1:6" x14ac:dyDescent="0.25">
      <c r="A2906" s="4" t="s">
        <v>74</v>
      </c>
      <c r="B2906" s="4" t="s">
        <v>4</v>
      </c>
      <c r="C2906" s="4" t="s">
        <v>34</v>
      </c>
      <c r="D2906" s="4">
        <v>2029</v>
      </c>
      <c r="E2906" s="4">
        <v>14293.446408410513</v>
      </c>
      <c r="F2906" s="4" t="s">
        <v>29</v>
      </c>
    </row>
    <row r="2907" spans="1:6" x14ac:dyDescent="0.25">
      <c r="A2907" s="4" t="s">
        <v>74</v>
      </c>
      <c r="B2907" s="4" t="s">
        <v>4</v>
      </c>
      <c r="C2907" s="4" t="s">
        <v>34</v>
      </c>
      <c r="D2907" s="4">
        <v>2030</v>
      </c>
      <c r="E2907" s="4">
        <v>15039.216066067374</v>
      </c>
      <c r="F2907" s="4" t="s">
        <v>29</v>
      </c>
    </row>
    <row r="2908" spans="1:6" x14ac:dyDescent="0.25">
      <c r="A2908" s="4" t="s">
        <v>74</v>
      </c>
      <c r="B2908" s="4" t="s">
        <v>4</v>
      </c>
      <c r="C2908" s="4" t="s">
        <v>34</v>
      </c>
      <c r="D2908" s="4">
        <v>2031</v>
      </c>
      <c r="E2908" s="4">
        <v>15850.3515335846</v>
      </c>
      <c r="F2908" s="4" t="s">
        <v>29</v>
      </c>
    </row>
    <row r="2909" spans="1:6" x14ac:dyDescent="0.25">
      <c r="A2909" s="4" t="s">
        <v>74</v>
      </c>
      <c r="B2909" s="4" t="s">
        <v>4</v>
      </c>
      <c r="C2909" s="4" t="s">
        <v>34</v>
      </c>
      <c r="D2909" s="4">
        <v>2032</v>
      </c>
      <c r="E2909" s="4">
        <v>16689.118946237792</v>
      </c>
      <c r="F2909" s="4" t="s">
        <v>29</v>
      </c>
    </row>
    <row r="2910" spans="1:6" x14ac:dyDescent="0.25">
      <c r="A2910" s="4" t="s">
        <v>74</v>
      </c>
      <c r="B2910" s="4" t="s">
        <v>4</v>
      </c>
      <c r="C2910" s="4" t="s">
        <v>34</v>
      </c>
      <c r="D2910" s="4">
        <v>2033</v>
      </c>
      <c r="E2910" s="4">
        <v>17564.906971735225</v>
      </c>
      <c r="F2910" s="4" t="s">
        <v>29</v>
      </c>
    </row>
    <row r="2911" spans="1:6" x14ac:dyDescent="0.25">
      <c r="A2911" s="4" t="s">
        <v>74</v>
      </c>
      <c r="B2911" s="4" t="s">
        <v>4</v>
      </c>
      <c r="C2911" s="4" t="s">
        <v>34</v>
      </c>
      <c r="D2911" s="4">
        <v>2034</v>
      </c>
      <c r="E2911" s="4">
        <v>18496.568080423127</v>
      </c>
      <c r="F2911" s="4" t="s">
        <v>29</v>
      </c>
    </row>
    <row r="2912" spans="1:6" x14ac:dyDescent="0.25">
      <c r="A2912" s="4" t="s">
        <v>74</v>
      </c>
      <c r="B2912" s="4" t="s">
        <v>4</v>
      </c>
      <c r="C2912" s="4" t="s">
        <v>34</v>
      </c>
      <c r="D2912" s="4">
        <v>2035</v>
      </c>
      <c r="E2912" s="4">
        <v>19483.985628800812</v>
      </c>
      <c r="F2912" s="4" t="s">
        <v>29</v>
      </c>
    </row>
    <row r="2913" spans="1:6" x14ac:dyDescent="0.25">
      <c r="A2913" s="4" t="s">
        <v>74</v>
      </c>
      <c r="B2913" s="4" t="s">
        <v>4</v>
      </c>
      <c r="C2913" s="4" t="s">
        <v>34</v>
      </c>
      <c r="D2913" s="4">
        <v>2036</v>
      </c>
      <c r="E2913" s="4">
        <v>20526.924901445662</v>
      </c>
      <c r="F2913" s="4" t="s">
        <v>29</v>
      </c>
    </row>
    <row r="2914" spans="1:6" x14ac:dyDescent="0.25">
      <c r="A2914" s="4" t="s">
        <v>74</v>
      </c>
      <c r="B2914" s="4" t="s">
        <v>4</v>
      </c>
      <c r="C2914" s="4" t="s">
        <v>34</v>
      </c>
      <c r="D2914" s="4">
        <v>2037</v>
      </c>
      <c r="E2914" s="4">
        <v>21632.989633868179</v>
      </c>
      <c r="F2914" s="4" t="s">
        <v>29</v>
      </c>
    </row>
    <row r="2915" spans="1:6" x14ac:dyDescent="0.25">
      <c r="A2915" s="4" t="s">
        <v>74</v>
      </c>
      <c r="B2915" s="4" t="s">
        <v>4</v>
      </c>
      <c r="C2915" s="4" t="s">
        <v>34</v>
      </c>
      <c r="D2915" s="4">
        <v>2038</v>
      </c>
      <c r="E2915" s="4">
        <v>22808.933359247312</v>
      </c>
      <c r="F2915" s="4" t="s">
        <v>29</v>
      </c>
    </row>
    <row r="2916" spans="1:6" x14ac:dyDescent="0.25">
      <c r="A2916" s="4" t="s">
        <v>74</v>
      </c>
      <c r="B2916" s="4" t="s">
        <v>4</v>
      </c>
      <c r="C2916" s="4" t="s">
        <v>34</v>
      </c>
      <c r="D2916" s="4">
        <v>2039</v>
      </c>
      <c r="E2916" s="4">
        <v>24034.309355257737</v>
      </c>
      <c r="F2916" s="4" t="s">
        <v>29</v>
      </c>
    </row>
    <row r="2917" spans="1:6" x14ac:dyDescent="0.25">
      <c r="A2917" s="4" t="s">
        <v>74</v>
      </c>
      <c r="B2917" s="4" t="s">
        <v>4</v>
      </c>
      <c r="C2917" s="4" t="s">
        <v>34</v>
      </c>
      <c r="D2917" s="4">
        <v>2040</v>
      </c>
      <c r="E2917" s="4">
        <v>25308.028321629175</v>
      </c>
      <c r="F2917" s="4" t="s">
        <v>29</v>
      </c>
    </row>
    <row r="2918" spans="1:6" x14ac:dyDescent="0.25">
      <c r="A2918" s="4" t="s">
        <v>74</v>
      </c>
      <c r="B2918" s="4" t="s">
        <v>5</v>
      </c>
      <c r="C2918" s="4" t="s">
        <v>34</v>
      </c>
      <c r="D2918" s="4">
        <v>2005</v>
      </c>
      <c r="E2918" s="4">
        <v>99600</v>
      </c>
      <c r="F2918" s="4" t="s">
        <v>29</v>
      </c>
    </row>
    <row r="2919" spans="1:6" x14ac:dyDescent="0.25">
      <c r="A2919" s="4" t="s">
        <v>74</v>
      </c>
      <c r="B2919" s="4" t="s">
        <v>5</v>
      </c>
      <c r="C2919" s="4" t="s">
        <v>34</v>
      </c>
      <c r="D2919" s="4">
        <v>2006</v>
      </c>
      <c r="E2919" s="4">
        <v>120900</v>
      </c>
      <c r="F2919" s="4" t="s">
        <v>29</v>
      </c>
    </row>
    <row r="2920" spans="1:6" x14ac:dyDescent="0.25">
      <c r="A2920" s="4" t="s">
        <v>74</v>
      </c>
      <c r="B2920" s="4" t="s">
        <v>5</v>
      </c>
      <c r="C2920" s="4" t="s">
        <v>34</v>
      </c>
      <c r="D2920" s="4">
        <v>2007</v>
      </c>
      <c r="E2920" s="4">
        <v>124700</v>
      </c>
      <c r="F2920" s="4" t="s">
        <v>29</v>
      </c>
    </row>
    <row r="2921" spans="1:6" x14ac:dyDescent="0.25">
      <c r="A2921" s="4" t="s">
        <v>74</v>
      </c>
      <c r="B2921" s="4" t="s">
        <v>5</v>
      </c>
      <c r="C2921" s="4" t="s">
        <v>34</v>
      </c>
      <c r="D2921" s="4">
        <v>2008</v>
      </c>
      <c r="E2921" s="4">
        <v>114700</v>
      </c>
      <c r="F2921" s="4" t="s">
        <v>29</v>
      </c>
    </row>
    <row r="2922" spans="1:6" x14ac:dyDescent="0.25">
      <c r="A2922" s="4" t="s">
        <v>74</v>
      </c>
      <c r="B2922" s="4" t="s">
        <v>5</v>
      </c>
      <c r="C2922" s="4" t="s">
        <v>34</v>
      </c>
      <c r="D2922" s="4">
        <v>2009</v>
      </c>
      <c r="E2922" s="4">
        <v>131200</v>
      </c>
      <c r="F2922" s="4" t="s">
        <v>29</v>
      </c>
    </row>
    <row r="2923" spans="1:6" x14ac:dyDescent="0.25">
      <c r="A2923" s="4" t="s">
        <v>74</v>
      </c>
      <c r="B2923" s="4" t="s">
        <v>5</v>
      </c>
      <c r="C2923" s="4" t="s">
        <v>34</v>
      </c>
      <c r="D2923" s="4">
        <v>2010</v>
      </c>
      <c r="E2923" s="4">
        <v>136242.99205479454</v>
      </c>
      <c r="F2923" s="4" t="s">
        <v>29</v>
      </c>
    </row>
    <row r="2924" spans="1:6" x14ac:dyDescent="0.25">
      <c r="A2924" s="4" t="s">
        <v>74</v>
      </c>
      <c r="B2924" s="4" t="s">
        <v>5</v>
      </c>
      <c r="C2924" s="4" t="s">
        <v>34</v>
      </c>
      <c r="D2924" s="4">
        <v>2011</v>
      </c>
      <c r="E2924" s="4">
        <v>141899.05890410958</v>
      </c>
      <c r="F2924" s="4" t="s">
        <v>29</v>
      </c>
    </row>
    <row r="2925" spans="1:6" x14ac:dyDescent="0.25">
      <c r="A2925" s="4" t="s">
        <v>74</v>
      </c>
      <c r="B2925" s="4" t="s">
        <v>5</v>
      </c>
      <c r="C2925" s="4" t="s">
        <v>34</v>
      </c>
      <c r="D2925" s="4">
        <v>2012</v>
      </c>
      <c r="E2925" s="4">
        <v>148216.19643835619</v>
      </c>
      <c r="F2925" s="4" t="s">
        <v>29</v>
      </c>
    </row>
    <row r="2926" spans="1:6" x14ac:dyDescent="0.25">
      <c r="A2926" s="4" t="s">
        <v>74</v>
      </c>
      <c r="B2926" s="4" t="s">
        <v>5</v>
      </c>
      <c r="C2926" s="4" t="s">
        <v>34</v>
      </c>
      <c r="D2926" s="4">
        <v>2013</v>
      </c>
      <c r="E2926" s="4">
        <v>155178.08602739728</v>
      </c>
      <c r="F2926" s="4" t="s">
        <v>29</v>
      </c>
    </row>
    <row r="2927" spans="1:6" x14ac:dyDescent="0.25">
      <c r="A2927" s="4" t="s">
        <v>74</v>
      </c>
      <c r="B2927" s="4" t="s">
        <v>5</v>
      </c>
      <c r="C2927" s="4" t="s">
        <v>34</v>
      </c>
      <c r="D2927" s="4">
        <v>2014</v>
      </c>
      <c r="E2927" s="4">
        <v>152653.42301369866</v>
      </c>
      <c r="F2927" s="4" t="s">
        <v>29</v>
      </c>
    </row>
    <row r="2928" spans="1:6" x14ac:dyDescent="0.25">
      <c r="A2928" s="4" t="s">
        <v>74</v>
      </c>
      <c r="B2928" s="4" t="s">
        <v>5</v>
      </c>
      <c r="C2928" s="4" t="s">
        <v>34</v>
      </c>
      <c r="D2928" s="4">
        <v>2015</v>
      </c>
      <c r="E2928" s="4">
        <v>184650.64986301371</v>
      </c>
      <c r="F2928" s="4" t="s">
        <v>29</v>
      </c>
    </row>
    <row r="2929" spans="1:6" x14ac:dyDescent="0.25">
      <c r="A2929" s="4" t="s">
        <v>74</v>
      </c>
      <c r="B2929" s="4" t="s">
        <v>5</v>
      </c>
      <c r="C2929" s="4" t="s">
        <v>34</v>
      </c>
      <c r="D2929" s="4">
        <v>2016</v>
      </c>
      <c r="E2929" s="4">
        <v>182833.43972602743</v>
      </c>
      <c r="F2929" s="4" t="s">
        <v>29</v>
      </c>
    </row>
    <row r="2930" spans="1:6" x14ac:dyDescent="0.25">
      <c r="A2930" s="4" t="s">
        <v>74</v>
      </c>
      <c r="B2930" s="4" t="s">
        <v>5</v>
      </c>
      <c r="C2930" s="4" t="s">
        <v>34</v>
      </c>
      <c r="D2930" s="4">
        <v>2017</v>
      </c>
      <c r="E2930" s="4">
        <v>202815.78219178083</v>
      </c>
      <c r="F2930" s="4" t="s">
        <v>29</v>
      </c>
    </row>
    <row r="2931" spans="1:6" x14ac:dyDescent="0.25">
      <c r="A2931" s="4" t="s">
        <v>74</v>
      </c>
      <c r="B2931" s="4" t="s">
        <v>5</v>
      </c>
      <c r="C2931" s="4" t="s">
        <v>34</v>
      </c>
      <c r="D2931" s="4">
        <v>2018</v>
      </c>
      <c r="E2931" s="4">
        <v>234799.82978469165</v>
      </c>
      <c r="F2931" s="4" t="s">
        <v>29</v>
      </c>
    </row>
    <row r="2932" spans="1:6" x14ac:dyDescent="0.25">
      <c r="A2932" s="4" t="s">
        <v>74</v>
      </c>
      <c r="B2932" s="4" t="s">
        <v>5</v>
      </c>
      <c r="C2932" s="4" t="s">
        <v>34</v>
      </c>
      <c r="D2932" s="4">
        <v>2019</v>
      </c>
      <c r="E2932" s="4">
        <v>255498.09139782851</v>
      </c>
      <c r="F2932" s="4" t="s">
        <v>29</v>
      </c>
    </row>
    <row r="2933" spans="1:6" x14ac:dyDescent="0.25">
      <c r="A2933" s="4" t="s">
        <v>74</v>
      </c>
      <c r="B2933" s="4" t="s">
        <v>5</v>
      </c>
      <c r="C2933" s="4" t="s">
        <v>34</v>
      </c>
      <c r="D2933" s="4">
        <v>2020</v>
      </c>
      <c r="E2933" s="4">
        <v>264148.97687696363</v>
      </c>
      <c r="F2933" s="4" t="s">
        <v>29</v>
      </c>
    </row>
    <row r="2934" spans="1:6" x14ac:dyDescent="0.25">
      <c r="A2934" s="4" t="s">
        <v>74</v>
      </c>
      <c r="B2934" s="4" t="s">
        <v>5</v>
      </c>
      <c r="C2934" s="4" t="s">
        <v>34</v>
      </c>
      <c r="D2934" s="4">
        <v>2021</v>
      </c>
      <c r="E2934" s="4">
        <v>265762.39362081629</v>
      </c>
      <c r="F2934" s="4" t="s">
        <v>29</v>
      </c>
    </row>
    <row r="2935" spans="1:6" x14ac:dyDescent="0.25">
      <c r="A2935" s="4" t="s">
        <v>74</v>
      </c>
      <c r="B2935" s="4" t="s">
        <v>5</v>
      </c>
      <c r="C2935" s="4" t="s">
        <v>34</v>
      </c>
      <c r="D2935" s="4">
        <v>2022</v>
      </c>
      <c r="E2935" s="4">
        <v>270713.36543377477</v>
      </c>
      <c r="F2935" s="4" t="s">
        <v>29</v>
      </c>
    </row>
    <row r="2936" spans="1:6" x14ac:dyDescent="0.25">
      <c r="A2936" s="4" t="s">
        <v>74</v>
      </c>
      <c r="B2936" s="4" t="s">
        <v>5</v>
      </c>
      <c r="C2936" s="4" t="s">
        <v>34</v>
      </c>
      <c r="D2936" s="4">
        <v>2023</v>
      </c>
      <c r="E2936" s="4">
        <v>277741.92541826161</v>
      </c>
      <c r="F2936" s="4" t="s">
        <v>29</v>
      </c>
    </row>
    <row r="2937" spans="1:6" x14ac:dyDescent="0.25">
      <c r="A2937" s="4" t="s">
        <v>74</v>
      </c>
      <c r="B2937" s="4" t="s">
        <v>5</v>
      </c>
      <c r="C2937" s="4" t="s">
        <v>34</v>
      </c>
      <c r="D2937" s="4">
        <v>2024</v>
      </c>
      <c r="E2937" s="4">
        <v>279116.51529491914</v>
      </c>
      <c r="F2937" s="4" t="s">
        <v>29</v>
      </c>
    </row>
    <row r="2938" spans="1:6" x14ac:dyDescent="0.25">
      <c r="A2938" s="4" t="s">
        <v>74</v>
      </c>
      <c r="B2938" s="4" t="s">
        <v>5</v>
      </c>
      <c r="C2938" s="4" t="s">
        <v>34</v>
      </c>
      <c r="D2938" s="4">
        <v>2025</v>
      </c>
      <c r="E2938" s="4">
        <v>281799.43080545263</v>
      </c>
      <c r="F2938" s="4" t="s">
        <v>29</v>
      </c>
    </row>
    <row r="2939" spans="1:6" x14ac:dyDescent="0.25">
      <c r="A2939" s="4" t="s">
        <v>74</v>
      </c>
      <c r="B2939" s="4" t="s">
        <v>5</v>
      </c>
      <c r="C2939" s="4" t="s">
        <v>34</v>
      </c>
      <c r="D2939" s="4">
        <v>2026</v>
      </c>
      <c r="E2939" s="4">
        <v>287019.52247198479</v>
      </c>
      <c r="F2939" s="4" t="s">
        <v>29</v>
      </c>
    </row>
    <row r="2940" spans="1:6" x14ac:dyDescent="0.25">
      <c r="A2940" s="4" t="s">
        <v>74</v>
      </c>
      <c r="B2940" s="4" t="s">
        <v>5</v>
      </c>
      <c r="C2940" s="4" t="s">
        <v>34</v>
      </c>
      <c r="D2940" s="4">
        <v>2027</v>
      </c>
      <c r="E2940" s="4">
        <v>291007.46060946607</v>
      </c>
      <c r="F2940" s="4" t="s">
        <v>29</v>
      </c>
    </row>
    <row r="2941" spans="1:6" x14ac:dyDescent="0.25">
      <c r="A2941" s="4" t="s">
        <v>74</v>
      </c>
      <c r="B2941" s="4" t="s">
        <v>5</v>
      </c>
      <c r="C2941" s="4" t="s">
        <v>34</v>
      </c>
      <c r="D2941" s="4">
        <v>2028</v>
      </c>
      <c r="E2941" s="4">
        <v>291040.58302083064</v>
      </c>
      <c r="F2941" s="4" t="s">
        <v>29</v>
      </c>
    </row>
    <row r="2942" spans="1:6" x14ac:dyDescent="0.25">
      <c r="A2942" s="4" t="s">
        <v>74</v>
      </c>
      <c r="B2942" s="4" t="s">
        <v>5</v>
      </c>
      <c r="C2942" s="4" t="s">
        <v>34</v>
      </c>
      <c r="D2942" s="4">
        <v>2029</v>
      </c>
      <c r="E2942" s="4">
        <v>291040.58302092546</v>
      </c>
      <c r="F2942" s="4" t="s">
        <v>29</v>
      </c>
    </row>
    <row r="2943" spans="1:6" x14ac:dyDescent="0.25">
      <c r="A2943" s="4" t="s">
        <v>74</v>
      </c>
      <c r="B2943" s="4" t="s">
        <v>5</v>
      </c>
      <c r="C2943" s="4" t="s">
        <v>34</v>
      </c>
      <c r="D2943" s="4">
        <v>2030</v>
      </c>
      <c r="E2943" s="4">
        <v>296406.41341296962</v>
      </c>
      <c r="F2943" s="4" t="s">
        <v>29</v>
      </c>
    </row>
    <row r="2944" spans="1:6" x14ac:dyDescent="0.25">
      <c r="A2944" s="4" t="s">
        <v>74</v>
      </c>
      <c r="B2944" s="4" t="s">
        <v>5</v>
      </c>
      <c r="C2944" s="4" t="s">
        <v>34</v>
      </c>
      <c r="D2944" s="4">
        <v>2031</v>
      </c>
      <c r="E2944" s="4">
        <v>299625.91164820618</v>
      </c>
      <c r="F2944" s="4" t="s">
        <v>29</v>
      </c>
    </row>
    <row r="2945" spans="1:6" x14ac:dyDescent="0.25">
      <c r="A2945" s="4" t="s">
        <v>74</v>
      </c>
      <c r="B2945" s="4" t="s">
        <v>5</v>
      </c>
      <c r="C2945" s="4" t="s">
        <v>34</v>
      </c>
      <c r="D2945" s="4">
        <v>2032</v>
      </c>
      <c r="E2945" s="4">
        <v>299625.91164820635</v>
      </c>
      <c r="F2945" s="4" t="s">
        <v>29</v>
      </c>
    </row>
    <row r="2946" spans="1:6" x14ac:dyDescent="0.25">
      <c r="A2946" s="4" t="s">
        <v>74</v>
      </c>
      <c r="B2946" s="4" t="s">
        <v>5</v>
      </c>
      <c r="C2946" s="4" t="s">
        <v>34</v>
      </c>
      <c r="D2946" s="4">
        <v>2033</v>
      </c>
      <c r="E2946" s="4">
        <v>299625.91164820635</v>
      </c>
      <c r="F2946" s="4" t="s">
        <v>29</v>
      </c>
    </row>
    <row r="2947" spans="1:6" x14ac:dyDescent="0.25">
      <c r="A2947" s="4" t="s">
        <v>74</v>
      </c>
      <c r="B2947" s="4" t="s">
        <v>5</v>
      </c>
      <c r="C2947" s="4" t="s">
        <v>34</v>
      </c>
      <c r="D2947" s="4">
        <v>2034</v>
      </c>
      <c r="E2947" s="4">
        <v>299625.91164820635</v>
      </c>
      <c r="F2947" s="4" t="s">
        <v>29</v>
      </c>
    </row>
    <row r="2948" spans="1:6" x14ac:dyDescent="0.25">
      <c r="A2948" s="4" t="s">
        <v>74</v>
      </c>
      <c r="B2948" s="4" t="s">
        <v>5</v>
      </c>
      <c r="C2948" s="4" t="s">
        <v>34</v>
      </c>
      <c r="D2948" s="4">
        <v>2035</v>
      </c>
      <c r="E2948" s="4">
        <v>299625.91164820635</v>
      </c>
      <c r="F2948" s="4" t="s">
        <v>29</v>
      </c>
    </row>
    <row r="2949" spans="1:6" x14ac:dyDescent="0.25">
      <c r="A2949" s="4" t="s">
        <v>74</v>
      </c>
      <c r="B2949" s="4" t="s">
        <v>5</v>
      </c>
      <c r="C2949" s="4" t="s">
        <v>34</v>
      </c>
      <c r="D2949" s="4">
        <v>2036</v>
      </c>
      <c r="E2949" s="4">
        <v>299625.91164820635</v>
      </c>
      <c r="F2949" s="4" t="s">
        <v>29</v>
      </c>
    </row>
    <row r="2950" spans="1:6" x14ac:dyDescent="0.25">
      <c r="A2950" s="4" t="s">
        <v>74</v>
      </c>
      <c r="B2950" s="4" t="s">
        <v>5</v>
      </c>
      <c r="C2950" s="4" t="s">
        <v>34</v>
      </c>
      <c r="D2950" s="4">
        <v>2037</v>
      </c>
      <c r="E2950" s="4">
        <v>299625.91164820635</v>
      </c>
      <c r="F2950" s="4" t="s">
        <v>29</v>
      </c>
    </row>
    <row r="2951" spans="1:6" x14ac:dyDescent="0.25">
      <c r="A2951" s="4" t="s">
        <v>74</v>
      </c>
      <c r="B2951" s="4" t="s">
        <v>5</v>
      </c>
      <c r="C2951" s="4" t="s">
        <v>34</v>
      </c>
      <c r="D2951" s="4">
        <v>2038</v>
      </c>
      <c r="E2951" s="4">
        <v>299625.91164820635</v>
      </c>
      <c r="F2951" s="4" t="s">
        <v>29</v>
      </c>
    </row>
    <row r="2952" spans="1:6" x14ac:dyDescent="0.25">
      <c r="A2952" s="4" t="s">
        <v>74</v>
      </c>
      <c r="B2952" s="4" t="s">
        <v>5</v>
      </c>
      <c r="C2952" s="4" t="s">
        <v>34</v>
      </c>
      <c r="D2952" s="4">
        <v>2039</v>
      </c>
      <c r="E2952" s="4">
        <v>299625.91164820635</v>
      </c>
      <c r="F2952" s="4" t="s">
        <v>29</v>
      </c>
    </row>
    <row r="2953" spans="1:6" x14ac:dyDescent="0.25">
      <c r="A2953" s="4" t="s">
        <v>74</v>
      </c>
      <c r="B2953" s="4" t="s">
        <v>5</v>
      </c>
      <c r="C2953" s="4" t="s">
        <v>34</v>
      </c>
      <c r="D2953" s="4">
        <v>2040</v>
      </c>
      <c r="E2953" s="4">
        <v>299625.91164820635</v>
      </c>
      <c r="F2953" s="4" t="s">
        <v>29</v>
      </c>
    </row>
    <row r="2954" spans="1:6" x14ac:dyDescent="0.25">
      <c r="A2954" s="4" t="s">
        <v>74</v>
      </c>
      <c r="B2954" s="4" t="s">
        <v>6</v>
      </c>
      <c r="C2954" s="4" t="s">
        <v>34</v>
      </c>
      <c r="D2954" s="4">
        <v>2005</v>
      </c>
      <c r="E2954" s="4">
        <v>69700</v>
      </c>
      <c r="F2954" s="4" t="s">
        <v>29</v>
      </c>
    </row>
    <row r="2955" spans="1:6" x14ac:dyDescent="0.25">
      <c r="A2955" s="4" t="s">
        <v>74</v>
      </c>
      <c r="B2955" s="4" t="s">
        <v>6</v>
      </c>
      <c r="C2955" s="4" t="s">
        <v>34</v>
      </c>
      <c r="D2955" s="4">
        <v>2006</v>
      </c>
      <c r="E2955" s="4">
        <v>78500</v>
      </c>
      <c r="F2955" s="4" t="s">
        <v>29</v>
      </c>
    </row>
    <row r="2956" spans="1:6" x14ac:dyDescent="0.25">
      <c r="A2956" s="4" t="s">
        <v>74</v>
      </c>
      <c r="B2956" s="4" t="s">
        <v>6</v>
      </c>
      <c r="C2956" s="4" t="s">
        <v>34</v>
      </c>
      <c r="D2956" s="4">
        <v>2007</v>
      </c>
      <c r="E2956" s="4">
        <v>85200</v>
      </c>
      <c r="F2956" s="4" t="s">
        <v>29</v>
      </c>
    </row>
    <row r="2957" spans="1:6" x14ac:dyDescent="0.25">
      <c r="A2957" s="4" t="s">
        <v>74</v>
      </c>
      <c r="B2957" s="4" t="s">
        <v>6</v>
      </c>
      <c r="C2957" s="4" t="s">
        <v>34</v>
      </c>
      <c r="D2957" s="4">
        <v>2008</v>
      </c>
      <c r="E2957" s="4">
        <v>92700</v>
      </c>
      <c r="F2957" s="4" t="s">
        <v>29</v>
      </c>
    </row>
    <row r="2958" spans="1:6" x14ac:dyDescent="0.25">
      <c r="A2958" s="4" t="s">
        <v>74</v>
      </c>
      <c r="B2958" s="4" t="s">
        <v>6</v>
      </c>
      <c r="C2958" s="4" t="s">
        <v>34</v>
      </c>
      <c r="D2958" s="4">
        <v>2009</v>
      </c>
      <c r="E2958" s="4">
        <v>105500</v>
      </c>
      <c r="F2958" s="4" t="s">
        <v>29</v>
      </c>
    </row>
    <row r="2959" spans="1:6" x14ac:dyDescent="0.25">
      <c r="A2959" s="4" t="s">
        <v>74</v>
      </c>
      <c r="B2959" s="4" t="s">
        <v>6</v>
      </c>
      <c r="C2959" s="4" t="s">
        <v>34</v>
      </c>
      <c r="D2959" s="4">
        <v>2010</v>
      </c>
      <c r="E2959" s="4">
        <v>119629.14712328766</v>
      </c>
      <c r="F2959" s="4" t="s">
        <v>29</v>
      </c>
    </row>
    <row r="2960" spans="1:6" x14ac:dyDescent="0.25">
      <c r="A2960" s="4" t="s">
        <v>74</v>
      </c>
      <c r="B2960" s="4" t="s">
        <v>6</v>
      </c>
      <c r="C2960" s="4" t="s">
        <v>34</v>
      </c>
      <c r="D2960" s="4">
        <v>2011</v>
      </c>
      <c r="E2960" s="4">
        <v>134719.58268493149</v>
      </c>
      <c r="F2960" s="4" t="s">
        <v>29</v>
      </c>
    </row>
    <row r="2961" spans="1:6" x14ac:dyDescent="0.25">
      <c r="A2961" s="4" t="s">
        <v>74</v>
      </c>
      <c r="B2961" s="4" t="s">
        <v>6</v>
      </c>
      <c r="C2961" s="4" t="s">
        <v>34</v>
      </c>
      <c r="D2961" s="4">
        <v>2012</v>
      </c>
      <c r="E2961" s="4">
        <v>157385.20219178079</v>
      </c>
      <c r="F2961" s="4" t="s">
        <v>29</v>
      </c>
    </row>
    <row r="2962" spans="1:6" x14ac:dyDescent="0.25">
      <c r="A2962" s="4" t="s">
        <v>74</v>
      </c>
      <c r="B2962" s="4" t="s">
        <v>6</v>
      </c>
      <c r="C2962" s="4" t="s">
        <v>34</v>
      </c>
      <c r="D2962" s="4">
        <v>2013</v>
      </c>
      <c r="E2962" s="4">
        <v>175859.07172602741</v>
      </c>
      <c r="F2962" s="4" t="s">
        <v>29</v>
      </c>
    </row>
    <row r="2963" spans="1:6" x14ac:dyDescent="0.25">
      <c r="A2963" s="4" t="s">
        <v>74</v>
      </c>
      <c r="B2963" s="4" t="s">
        <v>6</v>
      </c>
      <c r="C2963" s="4" t="s">
        <v>34</v>
      </c>
      <c r="D2963" s="4">
        <v>2014</v>
      </c>
      <c r="E2963" s="4">
        <v>200748.64076712329</v>
      </c>
      <c r="F2963" s="4" t="s">
        <v>29</v>
      </c>
    </row>
    <row r="2964" spans="1:6" x14ac:dyDescent="0.25">
      <c r="A2964" s="4" t="s">
        <v>74</v>
      </c>
      <c r="B2964" s="4" t="s">
        <v>6</v>
      </c>
      <c r="C2964" s="4" t="s">
        <v>34</v>
      </c>
      <c r="D2964" s="4">
        <v>2015</v>
      </c>
      <c r="E2964" s="4">
        <v>216516.94391559192</v>
      </c>
      <c r="F2964" s="4" t="s">
        <v>29</v>
      </c>
    </row>
    <row r="2965" spans="1:6" x14ac:dyDescent="0.25">
      <c r="A2965" s="4" t="s">
        <v>74</v>
      </c>
      <c r="B2965" s="4" t="s">
        <v>6</v>
      </c>
      <c r="C2965" s="4" t="s">
        <v>34</v>
      </c>
      <c r="D2965" s="4">
        <v>2016</v>
      </c>
      <c r="E2965" s="4">
        <v>222306.83333061248</v>
      </c>
      <c r="F2965" s="4" t="s">
        <v>29</v>
      </c>
    </row>
    <row r="2966" spans="1:6" x14ac:dyDescent="0.25">
      <c r="A2966" s="4" t="s">
        <v>74</v>
      </c>
      <c r="B2966" s="4" t="s">
        <v>6</v>
      </c>
      <c r="C2966" s="4" t="s">
        <v>34</v>
      </c>
      <c r="D2966" s="4">
        <v>2017</v>
      </c>
      <c r="E2966" s="4">
        <v>245914.92329379948</v>
      </c>
      <c r="F2966" s="4" t="s">
        <v>29</v>
      </c>
    </row>
    <row r="2967" spans="1:6" x14ac:dyDescent="0.25">
      <c r="A2967" s="4" t="s">
        <v>74</v>
      </c>
      <c r="B2967" s="4" t="s">
        <v>6</v>
      </c>
      <c r="C2967" s="4" t="s">
        <v>34</v>
      </c>
      <c r="D2967" s="4">
        <v>2018</v>
      </c>
      <c r="E2967" s="4">
        <v>272762.17768442695</v>
      </c>
      <c r="F2967" s="4" t="s">
        <v>29</v>
      </c>
    </row>
    <row r="2968" spans="1:6" x14ac:dyDescent="0.25">
      <c r="A2968" s="4" t="s">
        <v>74</v>
      </c>
      <c r="B2968" s="4" t="s">
        <v>6</v>
      </c>
      <c r="C2968" s="4" t="s">
        <v>34</v>
      </c>
      <c r="D2968" s="4">
        <v>2019</v>
      </c>
      <c r="E2968" s="4">
        <v>284162.61891845125</v>
      </c>
      <c r="F2968" s="4" t="s">
        <v>29</v>
      </c>
    </row>
    <row r="2969" spans="1:6" x14ac:dyDescent="0.25">
      <c r="A2969" s="4" t="s">
        <v>74</v>
      </c>
      <c r="B2969" s="4" t="s">
        <v>6</v>
      </c>
      <c r="C2969" s="4" t="s">
        <v>34</v>
      </c>
      <c r="D2969" s="4">
        <v>2020</v>
      </c>
      <c r="E2969" s="4">
        <v>295882.20606529893</v>
      </c>
      <c r="F2969" s="4" t="s">
        <v>29</v>
      </c>
    </row>
    <row r="2970" spans="1:6" x14ac:dyDescent="0.25">
      <c r="A2970" s="4" t="s">
        <v>74</v>
      </c>
      <c r="B2970" s="4" t="s">
        <v>6</v>
      </c>
      <c r="C2970" s="4" t="s">
        <v>34</v>
      </c>
      <c r="D2970" s="4">
        <v>2021</v>
      </c>
      <c r="E2970" s="4">
        <v>312045.04483255232</v>
      </c>
      <c r="F2970" s="4" t="s">
        <v>29</v>
      </c>
    </row>
    <row r="2971" spans="1:6" x14ac:dyDescent="0.25">
      <c r="A2971" s="4" t="s">
        <v>74</v>
      </c>
      <c r="B2971" s="4" t="s">
        <v>6</v>
      </c>
      <c r="C2971" s="4" t="s">
        <v>34</v>
      </c>
      <c r="D2971" s="4">
        <v>2022</v>
      </c>
      <c r="E2971" s="4">
        <v>330001.52106524771</v>
      </c>
      <c r="F2971" s="4" t="s">
        <v>29</v>
      </c>
    </row>
    <row r="2972" spans="1:6" x14ac:dyDescent="0.25">
      <c r="A2972" s="4" t="s">
        <v>74</v>
      </c>
      <c r="B2972" s="4" t="s">
        <v>6</v>
      </c>
      <c r="C2972" s="4" t="s">
        <v>34</v>
      </c>
      <c r="D2972" s="4">
        <v>2023</v>
      </c>
      <c r="E2972" s="4">
        <v>360761.47673649504</v>
      </c>
      <c r="F2972" s="4" t="s">
        <v>29</v>
      </c>
    </row>
    <row r="2973" spans="1:6" x14ac:dyDescent="0.25">
      <c r="A2973" s="4" t="s">
        <v>74</v>
      </c>
      <c r="B2973" s="4" t="s">
        <v>6</v>
      </c>
      <c r="C2973" s="4" t="s">
        <v>34</v>
      </c>
      <c r="D2973" s="4">
        <v>2024</v>
      </c>
      <c r="E2973" s="4">
        <v>385834.40092542779</v>
      </c>
      <c r="F2973" s="4" t="s">
        <v>29</v>
      </c>
    </row>
    <row r="2974" spans="1:6" x14ac:dyDescent="0.25">
      <c r="A2974" s="4" t="s">
        <v>74</v>
      </c>
      <c r="B2974" s="4" t="s">
        <v>6</v>
      </c>
      <c r="C2974" s="4" t="s">
        <v>34</v>
      </c>
      <c r="D2974" s="4">
        <v>2025</v>
      </c>
      <c r="E2974" s="4">
        <v>400520.32671273896</v>
      </c>
      <c r="F2974" s="4" t="s">
        <v>29</v>
      </c>
    </row>
    <row r="2975" spans="1:6" x14ac:dyDescent="0.25">
      <c r="A2975" s="4" t="s">
        <v>74</v>
      </c>
      <c r="B2975" s="4" t="s">
        <v>6</v>
      </c>
      <c r="C2975" s="4" t="s">
        <v>34</v>
      </c>
      <c r="D2975" s="4">
        <v>2026</v>
      </c>
      <c r="E2975" s="4">
        <v>424148.91973252734</v>
      </c>
      <c r="F2975" s="4" t="s">
        <v>29</v>
      </c>
    </row>
    <row r="2976" spans="1:6" x14ac:dyDescent="0.25">
      <c r="A2976" s="4" t="s">
        <v>74</v>
      </c>
      <c r="B2976" s="4" t="s">
        <v>6</v>
      </c>
      <c r="C2976" s="4" t="s">
        <v>34</v>
      </c>
      <c r="D2976" s="4">
        <v>2027</v>
      </c>
      <c r="E2976" s="4">
        <v>435257.79760184925</v>
      </c>
      <c r="F2976" s="4" t="s">
        <v>29</v>
      </c>
    </row>
    <row r="2977" spans="1:6" x14ac:dyDescent="0.25">
      <c r="A2977" s="4" t="s">
        <v>74</v>
      </c>
      <c r="B2977" s="4" t="s">
        <v>6</v>
      </c>
      <c r="C2977" s="4" t="s">
        <v>34</v>
      </c>
      <c r="D2977" s="4">
        <v>2028</v>
      </c>
      <c r="E2977" s="4">
        <v>448795.07437364658</v>
      </c>
      <c r="F2977" s="4" t="s">
        <v>29</v>
      </c>
    </row>
    <row r="2978" spans="1:6" x14ac:dyDescent="0.25">
      <c r="A2978" s="4" t="s">
        <v>74</v>
      </c>
      <c r="B2978" s="4" t="s">
        <v>6</v>
      </c>
      <c r="C2978" s="4" t="s">
        <v>34</v>
      </c>
      <c r="D2978" s="4">
        <v>2029</v>
      </c>
      <c r="E2978" s="4">
        <v>457629.38591975474</v>
      </c>
      <c r="F2978" s="4" t="s">
        <v>29</v>
      </c>
    </row>
    <row r="2979" spans="1:6" x14ac:dyDescent="0.25">
      <c r="A2979" s="4" t="s">
        <v>74</v>
      </c>
      <c r="B2979" s="4" t="s">
        <v>6</v>
      </c>
      <c r="C2979" s="4" t="s">
        <v>34</v>
      </c>
      <c r="D2979" s="4">
        <v>2030</v>
      </c>
      <c r="E2979" s="4">
        <v>474185.94174517418</v>
      </c>
      <c r="F2979" s="4" t="s">
        <v>29</v>
      </c>
    </row>
    <row r="2980" spans="1:6" x14ac:dyDescent="0.25">
      <c r="A2980" s="4" t="s">
        <v>74</v>
      </c>
      <c r="B2980" s="4" t="s">
        <v>6</v>
      </c>
      <c r="C2980" s="4" t="s">
        <v>34</v>
      </c>
      <c r="D2980" s="4">
        <v>2031</v>
      </c>
      <c r="E2980" s="4">
        <v>492709.27301912702</v>
      </c>
      <c r="F2980" s="4" t="s">
        <v>29</v>
      </c>
    </row>
    <row r="2981" spans="1:6" x14ac:dyDescent="0.25">
      <c r="A2981" s="4" t="s">
        <v>74</v>
      </c>
      <c r="B2981" s="4" t="s">
        <v>6</v>
      </c>
      <c r="C2981" s="4" t="s">
        <v>34</v>
      </c>
      <c r="D2981" s="4">
        <v>2032</v>
      </c>
      <c r="E2981" s="4">
        <v>502549.04666740081</v>
      </c>
      <c r="F2981" s="4" t="s">
        <v>29</v>
      </c>
    </row>
    <row r="2982" spans="1:6" x14ac:dyDescent="0.25">
      <c r="A2982" s="4" t="s">
        <v>74</v>
      </c>
      <c r="B2982" s="4" t="s">
        <v>6</v>
      </c>
      <c r="C2982" s="4" t="s">
        <v>34</v>
      </c>
      <c r="D2982" s="4">
        <v>2033</v>
      </c>
      <c r="E2982" s="4">
        <v>512267.27668526414</v>
      </c>
      <c r="F2982" s="4" t="s">
        <v>29</v>
      </c>
    </row>
    <row r="2983" spans="1:6" x14ac:dyDescent="0.25">
      <c r="A2983" s="4" t="s">
        <v>74</v>
      </c>
      <c r="B2983" s="4" t="s">
        <v>6</v>
      </c>
      <c r="C2983" s="4" t="s">
        <v>34</v>
      </c>
      <c r="D2983" s="4">
        <v>2034</v>
      </c>
      <c r="E2983" s="4">
        <v>519567.43155508721</v>
      </c>
      <c r="F2983" s="4" t="s">
        <v>29</v>
      </c>
    </row>
    <row r="2984" spans="1:6" x14ac:dyDescent="0.25">
      <c r="A2984" s="4" t="s">
        <v>74</v>
      </c>
      <c r="B2984" s="4" t="s">
        <v>6</v>
      </c>
      <c r="C2984" s="4" t="s">
        <v>34</v>
      </c>
      <c r="D2984" s="4">
        <v>2035</v>
      </c>
      <c r="E2984" s="4">
        <v>524521.70072984754</v>
      </c>
      <c r="F2984" s="4" t="s">
        <v>29</v>
      </c>
    </row>
    <row r="2985" spans="1:6" x14ac:dyDescent="0.25">
      <c r="A2985" s="4" t="s">
        <v>74</v>
      </c>
      <c r="B2985" s="4" t="s">
        <v>6</v>
      </c>
      <c r="C2985" s="4" t="s">
        <v>34</v>
      </c>
      <c r="D2985" s="4">
        <v>2036</v>
      </c>
      <c r="E2985" s="4">
        <v>532984.51721051568</v>
      </c>
      <c r="F2985" s="4" t="s">
        <v>29</v>
      </c>
    </row>
    <row r="2986" spans="1:6" x14ac:dyDescent="0.25">
      <c r="A2986" s="4" t="s">
        <v>74</v>
      </c>
      <c r="B2986" s="4" t="s">
        <v>6</v>
      </c>
      <c r="C2986" s="4" t="s">
        <v>34</v>
      </c>
      <c r="D2986" s="4">
        <v>2037</v>
      </c>
      <c r="E2986" s="4">
        <v>543164.45912687574</v>
      </c>
      <c r="F2986" s="4" t="s">
        <v>29</v>
      </c>
    </row>
    <row r="2987" spans="1:6" x14ac:dyDescent="0.25">
      <c r="A2987" s="4" t="s">
        <v>74</v>
      </c>
      <c r="B2987" s="4" t="s">
        <v>6</v>
      </c>
      <c r="C2987" s="4" t="s">
        <v>34</v>
      </c>
      <c r="D2987" s="4">
        <v>2038</v>
      </c>
      <c r="E2987" s="4">
        <v>549853.68815716414</v>
      </c>
      <c r="F2987" s="4" t="s">
        <v>29</v>
      </c>
    </row>
    <row r="2988" spans="1:6" x14ac:dyDescent="0.25">
      <c r="A2988" s="4" t="s">
        <v>74</v>
      </c>
      <c r="B2988" s="4" t="s">
        <v>6</v>
      </c>
      <c r="C2988" s="4" t="s">
        <v>34</v>
      </c>
      <c r="D2988" s="4">
        <v>2039</v>
      </c>
      <c r="E2988" s="4">
        <v>552106.14308349392</v>
      </c>
      <c r="F2988" s="4" t="s">
        <v>29</v>
      </c>
    </row>
    <row r="2989" spans="1:6" x14ac:dyDescent="0.25">
      <c r="A2989" s="4" t="s">
        <v>74</v>
      </c>
      <c r="B2989" s="4" t="s">
        <v>6</v>
      </c>
      <c r="C2989" s="4" t="s">
        <v>34</v>
      </c>
      <c r="D2989" s="4">
        <v>2040</v>
      </c>
      <c r="E2989" s="4">
        <v>553393.24972269603</v>
      </c>
      <c r="F2989" s="4" t="s">
        <v>29</v>
      </c>
    </row>
    <row r="2990" spans="1:6" x14ac:dyDescent="0.25">
      <c r="A2990" s="4" t="s">
        <v>74</v>
      </c>
      <c r="B2990" s="4" t="s">
        <v>23</v>
      </c>
      <c r="C2990" s="4" t="s">
        <v>34</v>
      </c>
      <c r="D2990" s="4">
        <v>2005</v>
      </c>
      <c r="E2990" s="4">
        <v>282212.47959485406</v>
      </c>
      <c r="F2990" s="4" t="s">
        <v>29</v>
      </c>
    </row>
    <row r="2991" spans="1:6" x14ac:dyDescent="0.25">
      <c r="A2991" s="4" t="s">
        <v>74</v>
      </c>
      <c r="B2991" s="4" t="s">
        <v>23</v>
      </c>
      <c r="C2991" s="4" t="s">
        <v>34</v>
      </c>
      <c r="D2991" s="4">
        <v>2006</v>
      </c>
      <c r="E2991" s="4">
        <v>308821.51053891447</v>
      </c>
      <c r="F2991" s="4" t="s">
        <v>29</v>
      </c>
    </row>
    <row r="2992" spans="1:6" x14ac:dyDescent="0.25">
      <c r="A2992" s="4" t="s">
        <v>74</v>
      </c>
      <c r="B2992" s="4" t="s">
        <v>23</v>
      </c>
      <c r="C2992" s="4" t="s">
        <v>34</v>
      </c>
      <c r="D2992" s="4">
        <v>2007</v>
      </c>
      <c r="E2992" s="4">
        <v>316621.84584741422</v>
      </c>
      <c r="F2992" s="4" t="s">
        <v>29</v>
      </c>
    </row>
    <row r="2993" spans="1:6" x14ac:dyDescent="0.25">
      <c r="A2993" s="4" t="s">
        <v>74</v>
      </c>
      <c r="B2993" s="4" t="s">
        <v>23</v>
      </c>
      <c r="C2993" s="4" t="s">
        <v>34</v>
      </c>
      <c r="D2993" s="4">
        <v>2008</v>
      </c>
      <c r="E2993" s="4">
        <v>309817.91666666669</v>
      </c>
      <c r="F2993" s="4" t="s">
        <v>29</v>
      </c>
    </row>
    <row r="2994" spans="1:6" x14ac:dyDescent="0.25">
      <c r="A2994" s="4" t="s">
        <v>74</v>
      </c>
      <c r="B2994" s="4" t="s">
        <v>23</v>
      </c>
      <c r="C2994" s="4" t="s">
        <v>34</v>
      </c>
      <c r="D2994" s="4">
        <v>2009</v>
      </c>
      <c r="E2994" s="4">
        <v>331002.26312788017</v>
      </c>
      <c r="F2994" s="4" t="s">
        <v>29</v>
      </c>
    </row>
    <row r="2995" spans="1:6" x14ac:dyDescent="0.25">
      <c r="A2995" s="4" t="s">
        <v>74</v>
      </c>
      <c r="B2995" s="4" t="s">
        <v>23</v>
      </c>
      <c r="C2995" s="4" t="s">
        <v>34</v>
      </c>
      <c r="D2995" s="4">
        <v>2010</v>
      </c>
      <c r="E2995" s="4">
        <v>349078.57793704275</v>
      </c>
      <c r="F2995" s="4" t="s">
        <v>29</v>
      </c>
    </row>
    <row r="2996" spans="1:6" x14ac:dyDescent="0.25">
      <c r="A2996" s="4" t="s">
        <v>74</v>
      </c>
      <c r="B2996" s="4" t="s">
        <v>23</v>
      </c>
      <c r="C2996" s="4" t="s">
        <v>34</v>
      </c>
      <c r="D2996" s="4">
        <v>2011</v>
      </c>
      <c r="E2996" s="4">
        <v>374155.60891879012</v>
      </c>
      <c r="F2996" s="4" t="s">
        <v>29</v>
      </c>
    </row>
    <row r="2997" spans="1:6" x14ac:dyDescent="0.25">
      <c r="A2997" s="4" t="s">
        <v>74</v>
      </c>
      <c r="B2997" s="4" t="s">
        <v>23</v>
      </c>
      <c r="C2997" s="4" t="s">
        <v>34</v>
      </c>
      <c r="D2997" s="4">
        <v>2012</v>
      </c>
      <c r="E2997" s="4">
        <v>413332.3737569534</v>
      </c>
      <c r="F2997" s="4" t="s">
        <v>29</v>
      </c>
    </row>
    <row r="2998" spans="1:6" x14ac:dyDescent="0.25">
      <c r="A2998" s="4" t="s">
        <v>74</v>
      </c>
      <c r="B2998" s="4" t="s">
        <v>23</v>
      </c>
      <c r="C2998" s="4" t="s">
        <v>34</v>
      </c>
      <c r="D2998" s="4">
        <v>2013</v>
      </c>
      <c r="E2998" s="4">
        <v>444314.08336594386</v>
      </c>
      <c r="F2998" s="4" t="s">
        <v>29</v>
      </c>
    </row>
    <row r="2999" spans="1:6" x14ac:dyDescent="0.25">
      <c r="A2999" s="4" t="s">
        <v>74</v>
      </c>
      <c r="B2999" s="4" t="s">
        <v>23</v>
      </c>
      <c r="C2999" s="4" t="s">
        <v>34</v>
      </c>
      <c r="D2999" s="4">
        <v>2014</v>
      </c>
      <c r="E2999" s="4">
        <v>472104.01654323877</v>
      </c>
      <c r="F2999" s="4" t="s">
        <v>29</v>
      </c>
    </row>
    <row r="3000" spans="1:6" x14ac:dyDescent="0.25">
      <c r="A3000" s="4" t="s">
        <v>74</v>
      </c>
      <c r="B3000" s="4" t="s">
        <v>23</v>
      </c>
      <c r="C3000" s="4" t="s">
        <v>34</v>
      </c>
      <c r="D3000" s="4">
        <v>2015</v>
      </c>
      <c r="E3000" s="4">
        <v>515890.15396101726</v>
      </c>
      <c r="F3000" s="4" t="s">
        <v>29</v>
      </c>
    </row>
    <row r="3001" spans="1:6" x14ac:dyDescent="0.25">
      <c r="A3001" s="4" t="s">
        <v>74</v>
      </c>
      <c r="B3001" s="4" t="s">
        <v>23</v>
      </c>
      <c r="C3001" s="4" t="s">
        <v>34</v>
      </c>
      <c r="D3001" s="4">
        <v>2016</v>
      </c>
      <c r="E3001" s="4">
        <v>511295.13393929158</v>
      </c>
      <c r="F3001" s="4" t="s">
        <v>29</v>
      </c>
    </row>
    <row r="3002" spans="1:6" x14ac:dyDescent="0.25">
      <c r="A3002" s="4" t="s">
        <v>74</v>
      </c>
      <c r="B3002" s="4" t="s">
        <v>23</v>
      </c>
      <c r="C3002" s="4" t="s">
        <v>34</v>
      </c>
      <c r="D3002" s="4">
        <v>2017</v>
      </c>
      <c r="E3002" s="4">
        <v>562108.93723498529</v>
      </c>
      <c r="F3002" s="4" t="s">
        <v>29</v>
      </c>
    </row>
    <row r="3003" spans="1:6" x14ac:dyDescent="0.25">
      <c r="A3003" s="4" t="s">
        <v>74</v>
      </c>
      <c r="B3003" s="4" t="s">
        <v>23</v>
      </c>
      <c r="C3003" s="4" t="s">
        <v>34</v>
      </c>
      <c r="D3003" s="4">
        <v>2018</v>
      </c>
      <c r="E3003" s="4">
        <v>621837.82324603375</v>
      </c>
      <c r="F3003" s="4" t="s">
        <v>29</v>
      </c>
    </row>
    <row r="3004" spans="1:6" x14ac:dyDescent="0.25">
      <c r="A3004" s="4" t="s">
        <v>74</v>
      </c>
      <c r="B3004" s="4" t="s">
        <v>23</v>
      </c>
      <c r="C3004" s="4" t="s">
        <v>34</v>
      </c>
      <c r="D3004" s="4">
        <v>2019</v>
      </c>
      <c r="E3004" s="4">
        <v>654960.34552909608</v>
      </c>
      <c r="F3004" s="4" t="s">
        <v>29</v>
      </c>
    </row>
    <row r="3005" spans="1:6" x14ac:dyDescent="0.25">
      <c r="A3005" s="4" t="s">
        <v>74</v>
      </c>
      <c r="B3005" s="4" t="s">
        <v>23</v>
      </c>
      <c r="C3005" s="4" t="s">
        <v>34</v>
      </c>
      <c r="D3005" s="4">
        <v>2020</v>
      </c>
      <c r="E3005" s="4">
        <v>677715.33531860379</v>
      </c>
      <c r="F3005" s="4" t="s">
        <v>29</v>
      </c>
    </row>
    <row r="3006" spans="1:6" x14ac:dyDescent="0.25">
      <c r="A3006" s="4" t="s">
        <v>74</v>
      </c>
      <c r="B3006" s="4" t="s">
        <v>23</v>
      </c>
      <c r="C3006" s="4" t="s">
        <v>34</v>
      </c>
      <c r="D3006" s="4">
        <v>2021</v>
      </c>
      <c r="E3006" s="4">
        <v>699371.01802422362</v>
      </c>
      <c r="F3006" s="4" t="s">
        <v>29</v>
      </c>
    </row>
    <row r="3007" spans="1:6" x14ac:dyDescent="0.25">
      <c r="A3007" s="4" t="s">
        <v>74</v>
      </c>
      <c r="B3007" s="4" t="s">
        <v>23</v>
      </c>
      <c r="C3007" s="4" t="s">
        <v>34</v>
      </c>
      <c r="D3007" s="4">
        <v>2022</v>
      </c>
      <c r="E3007" s="4">
        <v>727897.08840360609</v>
      </c>
      <c r="F3007" s="4" t="s">
        <v>29</v>
      </c>
    </row>
    <row r="3008" spans="1:6" x14ac:dyDescent="0.25">
      <c r="A3008" s="4" t="s">
        <v>74</v>
      </c>
      <c r="B3008" s="4" t="s">
        <v>23</v>
      </c>
      <c r="C3008" s="4" t="s">
        <v>34</v>
      </c>
      <c r="D3008" s="4">
        <v>2023</v>
      </c>
      <c r="E3008" s="4">
        <v>773192.64134414028</v>
      </c>
      <c r="F3008" s="4" t="s">
        <v>29</v>
      </c>
    </row>
    <row r="3009" spans="1:6" x14ac:dyDescent="0.25">
      <c r="A3009" s="4" t="s">
        <v>74</v>
      </c>
      <c r="B3009" s="4" t="s">
        <v>23</v>
      </c>
      <c r="C3009" s="4" t="s">
        <v>34</v>
      </c>
      <c r="D3009" s="4">
        <v>2024</v>
      </c>
      <c r="E3009" s="4">
        <v>809256.64002450637</v>
      </c>
      <c r="F3009" s="4" t="s">
        <v>29</v>
      </c>
    </row>
    <row r="3010" spans="1:6" x14ac:dyDescent="0.25">
      <c r="A3010" s="4" t="s">
        <v>74</v>
      </c>
      <c r="B3010" s="4" t="s">
        <v>23</v>
      </c>
      <c r="C3010" s="4" t="s">
        <v>34</v>
      </c>
      <c r="D3010" s="4">
        <v>2025</v>
      </c>
      <c r="E3010" s="4">
        <v>837545.71899306274</v>
      </c>
      <c r="F3010" s="4" t="s">
        <v>29</v>
      </c>
    </row>
    <row r="3011" spans="1:6" x14ac:dyDescent="0.25">
      <c r="A3011" s="4" t="s">
        <v>74</v>
      </c>
      <c r="B3011" s="4" t="s">
        <v>23</v>
      </c>
      <c r="C3011" s="4" t="s">
        <v>34</v>
      </c>
      <c r="D3011" s="4">
        <v>2026</v>
      </c>
      <c r="E3011" s="4">
        <v>877671.44219855662</v>
      </c>
      <c r="F3011" s="4" t="s">
        <v>29</v>
      </c>
    </row>
    <row r="3012" spans="1:6" x14ac:dyDescent="0.25">
      <c r="A3012" s="4" t="s">
        <v>74</v>
      </c>
      <c r="B3012" s="4" t="s">
        <v>23</v>
      </c>
      <c r="C3012" s="4" t="s">
        <v>34</v>
      </c>
      <c r="D3012" s="4">
        <v>2027</v>
      </c>
      <c r="E3012" s="4">
        <v>903982.45888386155</v>
      </c>
      <c r="F3012" s="4" t="s">
        <v>29</v>
      </c>
    </row>
    <row r="3013" spans="1:6" x14ac:dyDescent="0.25">
      <c r="A3013" s="4" t="s">
        <v>74</v>
      </c>
      <c r="B3013" s="4" t="s">
        <v>23</v>
      </c>
      <c r="C3013" s="4" t="s">
        <v>34</v>
      </c>
      <c r="D3013" s="4">
        <v>2028</v>
      </c>
      <c r="E3013" s="4">
        <v>928421.84492823388</v>
      </c>
      <c r="F3013" s="4" t="s">
        <v>29</v>
      </c>
    </row>
    <row r="3014" spans="1:6" x14ac:dyDescent="0.25">
      <c r="A3014" s="4" t="s">
        <v>74</v>
      </c>
      <c r="B3014" s="4" t="s">
        <v>23</v>
      </c>
      <c r="C3014" s="4" t="s">
        <v>34</v>
      </c>
      <c r="D3014" s="4">
        <v>2029</v>
      </c>
      <c r="E3014" s="4">
        <v>947723.87786537292</v>
      </c>
      <c r="F3014" s="4" t="s">
        <v>29</v>
      </c>
    </row>
    <row r="3015" spans="1:6" x14ac:dyDescent="0.25">
      <c r="A3015" s="4" t="s">
        <v>74</v>
      </c>
      <c r="B3015" s="4" t="s">
        <v>23</v>
      </c>
      <c r="C3015" s="4" t="s">
        <v>34</v>
      </c>
      <c r="D3015" s="4">
        <v>2030</v>
      </c>
      <c r="E3015" s="4">
        <v>979891.63572695223</v>
      </c>
      <c r="F3015" s="4" t="s">
        <v>29</v>
      </c>
    </row>
    <row r="3016" spans="1:6" x14ac:dyDescent="0.25">
      <c r="A3016" s="4" t="s">
        <v>74</v>
      </c>
      <c r="B3016" s="4" t="s">
        <v>23</v>
      </c>
      <c r="C3016" s="4" t="s">
        <v>34</v>
      </c>
      <c r="D3016" s="4">
        <v>2031</v>
      </c>
      <c r="E3016" s="4">
        <v>1011703.0842443679</v>
      </c>
      <c r="F3016" s="4" t="s">
        <v>29</v>
      </c>
    </row>
    <row r="3017" spans="1:6" x14ac:dyDescent="0.25">
      <c r="A3017" s="4" t="s">
        <v>74</v>
      </c>
      <c r="B3017" s="4" t="s">
        <v>23</v>
      </c>
      <c r="C3017" s="4" t="s">
        <v>34</v>
      </c>
      <c r="D3017" s="4">
        <v>2032</v>
      </c>
      <c r="E3017" s="4">
        <v>1031243.5897499619</v>
      </c>
      <c r="F3017" s="4" t="s">
        <v>29</v>
      </c>
    </row>
    <row r="3018" spans="1:6" x14ac:dyDescent="0.25">
      <c r="A3018" s="4" t="s">
        <v>74</v>
      </c>
      <c r="B3018" s="4" t="s">
        <v>23</v>
      </c>
      <c r="C3018" s="4" t="s">
        <v>34</v>
      </c>
      <c r="D3018" s="4">
        <v>2033</v>
      </c>
      <c r="E3018" s="4">
        <v>1050349.5543749798</v>
      </c>
      <c r="F3018" s="4" t="s">
        <v>29</v>
      </c>
    </row>
    <row r="3019" spans="1:6" x14ac:dyDescent="0.25">
      <c r="A3019" s="4" t="s">
        <v>74</v>
      </c>
      <c r="B3019" s="4" t="s">
        <v>23</v>
      </c>
      <c r="C3019" s="4" t="s">
        <v>34</v>
      </c>
      <c r="D3019" s="4">
        <v>2034</v>
      </c>
      <c r="E3019" s="4">
        <v>1066753.7075548058</v>
      </c>
      <c r="F3019" s="4" t="s">
        <v>29</v>
      </c>
    </row>
    <row r="3020" spans="1:6" x14ac:dyDescent="0.25">
      <c r="A3020" s="4" t="s">
        <v>74</v>
      </c>
      <c r="B3020" s="4" t="s">
        <v>23</v>
      </c>
      <c r="C3020" s="4" t="s">
        <v>34</v>
      </c>
      <c r="D3020" s="4">
        <v>2035</v>
      </c>
      <c r="E3020" s="4">
        <v>1080459.4407161688</v>
      </c>
      <c r="F3020" s="4" t="s">
        <v>29</v>
      </c>
    </row>
    <row r="3021" spans="1:6" x14ac:dyDescent="0.25">
      <c r="A3021" s="4" t="s">
        <v>74</v>
      </c>
      <c r="B3021" s="4" t="s">
        <v>23</v>
      </c>
      <c r="C3021" s="4" t="s">
        <v>34</v>
      </c>
      <c r="D3021" s="4">
        <v>2036</v>
      </c>
      <c r="E3021" s="4">
        <v>1097271.3859331962</v>
      </c>
      <c r="F3021" s="4" t="s">
        <v>29</v>
      </c>
    </row>
    <row r="3022" spans="1:6" x14ac:dyDescent="0.25">
      <c r="A3022" s="4" t="s">
        <v>74</v>
      </c>
      <c r="B3022" s="4" t="s">
        <v>23</v>
      </c>
      <c r="C3022" s="4" t="s">
        <v>34</v>
      </c>
      <c r="D3022" s="4">
        <v>2037</v>
      </c>
      <c r="E3022" s="4">
        <v>1115356.0082834179</v>
      </c>
      <c r="F3022" s="4" t="s">
        <v>29</v>
      </c>
    </row>
    <row r="3023" spans="1:6" x14ac:dyDescent="0.25">
      <c r="A3023" s="4" t="s">
        <v>74</v>
      </c>
      <c r="B3023" s="4" t="s">
        <v>23</v>
      </c>
      <c r="C3023" s="4" t="s">
        <v>34</v>
      </c>
      <c r="D3023" s="4">
        <v>2038</v>
      </c>
      <c r="E3023" s="4">
        <v>1129484.3523355932</v>
      </c>
      <c r="F3023" s="4" t="s">
        <v>29</v>
      </c>
    </row>
    <row r="3024" spans="1:6" x14ac:dyDescent="0.25">
      <c r="A3024" s="4" t="s">
        <v>74</v>
      </c>
      <c r="B3024" s="4" t="s">
        <v>23</v>
      </c>
      <c r="C3024" s="4" t="s">
        <v>34</v>
      </c>
      <c r="D3024" s="4">
        <v>2039</v>
      </c>
      <c r="E3024" s="4">
        <v>1138658.3395298729</v>
      </c>
      <c r="F3024" s="4" t="s">
        <v>29</v>
      </c>
    </row>
    <row r="3025" spans="1:6" x14ac:dyDescent="0.25">
      <c r="A3025" s="4" t="s">
        <v>74</v>
      </c>
      <c r="B3025" s="4" t="s">
        <v>23</v>
      </c>
      <c r="C3025" s="4" t="s">
        <v>34</v>
      </c>
      <c r="D3025" s="4">
        <v>2040</v>
      </c>
      <c r="E3025" s="4">
        <v>1146427.3265438448</v>
      </c>
      <c r="F3025" s="4" t="s">
        <v>29</v>
      </c>
    </row>
    <row r="3026" spans="1:6" x14ac:dyDescent="0.25">
      <c r="A3026" s="4" t="s">
        <v>75</v>
      </c>
      <c r="B3026" s="4" t="s">
        <v>1</v>
      </c>
      <c r="C3026" s="4" t="s">
        <v>34</v>
      </c>
      <c r="D3026" s="4">
        <v>2005</v>
      </c>
      <c r="E3026" s="4">
        <v>96.492316484880945</v>
      </c>
      <c r="F3026" s="4" t="s">
        <v>29</v>
      </c>
    </row>
    <row r="3027" spans="1:6" x14ac:dyDescent="0.25">
      <c r="A3027" s="4" t="s">
        <v>75</v>
      </c>
      <c r="B3027" s="4" t="s">
        <v>1</v>
      </c>
      <c r="C3027" s="4" t="s">
        <v>34</v>
      </c>
      <c r="D3027" s="4">
        <v>2006</v>
      </c>
      <c r="E3027" s="4">
        <v>679.74809020666567</v>
      </c>
      <c r="F3027" s="4" t="s">
        <v>29</v>
      </c>
    </row>
    <row r="3028" spans="1:6" x14ac:dyDescent="0.25">
      <c r="A3028" s="4" t="s">
        <v>75</v>
      </c>
      <c r="B3028" s="4" t="s">
        <v>1</v>
      </c>
      <c r="C3028" s="4" t="s">
        <v>34</v>
      </c>
      <c r="D3028" s="4">
        <v>2007</v>
      </c>
      <c r="E3028" s="4">
        <v>2091.8865299329486</v>
      </c>
      <c r="F3028" s="4" t="s">
        <v>29</v>
      </c>
    </row>
    <row r="3029" spans="1:6" x14ac:dyDescent="0.25">
      <c r="A3029" s="4" t="s">
        <v>75</v>
      </c>
      <c r="B3029" s="4" t="s">
        <v>1</v>
      </c>
      <c r="C3029" s="4" t="s">
        <v>34</v>
      </c>
      <c r="D3029" s="4">
        <v>2008</v>
      </c>
      <c r="E3029" s="4">
        <v>6718.4492038985163</v>
      </c>
      <c r="F3029" s="4" t="s">
        <v>29</v>
      </c>
    </row>
    <row r="3030" spans="1:6" x14ac:dyDescent="0.25">
      <c r="A3030" s="4" t="s">
        <v>75</v>
      </c>
      <c r="B3030" s="4" t="s">
        <v>1</v>
      </c>
      <c r="C3030" s="4" t="s">
        <v>34</v>
      </c>
      <c r="D3030" s="4">
        <v>2009</v>
      </c>
      <c r="E3030" s="4">
        <v>9701.0385576611534</v>
      </c>
      <c r="F3030" s="4" t="s">
        <v>29</v>
      </c>
    </row>
    <row r="3031" spans="1:6" x14ac:dyDescent="0.25">
      <c r="A3031" s="4" t="s">
        <v>75</v>
      </c>
      <c r="B3031" s="4" t="s">
        <v>1</v>
      </c>
      <c r="C3031" s="4" t="s">
        <v>34</v>
      </c>
      <c r="D3031" s="4">
        <v>2010</v>
      </c>
      <c r="E3031" s="4">
        <v>9228.2576536040469</v>
      </c>
      <c r="F3031" s="4" t="s">
        <v>29</v>
      </c>
    </row>
    <row r="3032" spans="1:6" x14ac:dyDescent="0.25">
      <c r="A3032" s="4" t="s">
        <v>75</v>
      </c>
      <c r="B3032" s="4" t="s">
        <v>1</v>
      </c>
      <c r="C3032" s="4" t="s">
        <v>34</v>
      </c>
      <c r="D3032" s="4">
        <v>2011</v>
      </c>
      <c r="E3032" s="4">
        <v>9711.9899431634058</v>
      </c>
      <c r="F3032" s="4" t="s">
        <v>29</v>
      </c>
    </row>
    <row r="3033" spans="1:6" x14ac:dyDescent="0.25">
      <c r="A3033" s="4" t="s">
        <v>75</v>
      </c>
      <c r="B3033" s="4" t="s">
        <v>1</v>
      </c>
      <c r="C3033" s="4" t="s">
        <v>34</v>
      </c>
      <c r="D3033" s="4">
        <v>2012</v>
      </c>
      <c r="E3033" s="4">
        <v>10965.345709805462</v>
      </c>
      <c r="F3033" s="4" t="s">
        <v>29</v>
      </c>
    </row>
    <row r="3034" spans="1:6" x14ac:dyDescent="0.25">
      <c r="A3034" s="4" t="s">
        <v>75</v>
      </c>
      <c r="B3034" s="4" t="s">
        <v>1</v>
      </c>
      <c r="C3034" s="4" t="s">
        <v>34</v>
      </c>
      <c r="D3034" s="4">
        <v>2013</v>
      </c>
      <c r="E3034" s="4">
        <v>11162.071896151936</v>
      </c>
      <c r="F3034" s="4" t="s">
        <v>29</v>
      </c>
    </row>
    <row r="3035" spans="1:6" x14ac:dyDescent="0.25">
      <c r="A3035" s="4" t="s">
        <v>75</v>
      </c>
      <c r="B3035" s="4" t="s">
        <v>1</v>
      </c>
      <c r="C3035" s="4" t="s">
        <v>34</v>
      </c>
      <c r="D3035" s="4">
        <v>2014</v>
      </c>
      <c r="E3035" s="4">
        <v>12443.269117385948</v>
      </c>
      <c r="F3035" s="4" t="s">
        <v>29</v>
      </c>
    </row>
    <row r="3036" spans="1:6" x14ac:dyDescent="0.25">
      <c r="A3036" s="4" t="s">
        <v>75</v>
      </c>
      <c r="B3036" s="4" t="s">
        <v>1</v>
      </c>
      <c r="C3036" s="4" t="s">
        <v>34</v>
      </c>
      <c r="D3036" s="4">
        <v>2015</v>
      </c>
      <c r="E3036" s="4">
        <v>10860.397371171624</v>
      </c>
      <c r="F3036" s="4" t="s">
        <v>29</v>
      </c>
    </row>
    <row r="3037" spans="1:6" x14ac:dyDescent="0.25">
      <c r="A3037" s="4" t="s">
        <v>75</v>
      </c>
      <c r="B3037" s="4" t="s">
        <v>1</v>
      </c>
      <c r="C3037" s="4" t="s">
        <v>34</v>
      </c>
      <c r="D3037" s="4">
        <v>2016</v>
      </c>
      <c r="E3037" s="4">
        <v>9253.1959502336631</v>
      </c>
      <c r="F3037" s="4" t="s">
        <v>29</v>
      </c>
    </row>
    <row r="3038" spans="1:6" x14ac:dyDescent="0.25">
      <c r="A3038" s="4" t="s">
        <v>75</v>
      </c>
      <c r="B3038" s="4" t="s">
        <v>1</v>
      </c>
      <c r="C3038" s="4" t="s">
        <v>34</v>
      </c>
      <c r="D3038" s="4">
        <v>2017</v>
      </c>
      <c r="E3038" s="4">
        <v>9004.3643733022636</v>
      </c>
      <c r="F3038" s="4" t="s">
        <v>29</v>
      </c>
    </row>
    <row r="3039" spans="1:6" x14ac:dyDescent="0.25">
      <c r="A3039" s="4" t="s">
        <v>75</v>
      </c>
      <c r="B3039" s="4" t="s">
        <v>1</v>
      </c>
      <c r="C3039" s="4" t="s">
        <v>34</v>
      </c>
      <c r="D3039" s="4">
        <v>2018</v>
      </c>
      <c r="E3039" s="4">
        <v>8739.5270246992168</v>
      </c>
      <c r="F3039" s="4" t="s">
        <v>29</v>
      </c>
    </row>
    <row r="3040" spans="1:6" x14ac:dyDescent="0.25">
      <c r="A3040" s="4" t="s">
        <v>75</v>
      </c>
      <c r="B3040" s="4" t="s">
        <v>1</v>
      </c>
      <c r="C3040" s="4" t="s">
        <v>34</v>
      </c>
      <c r="D3040" s="4">
        <v>2019</v>
      </c>
      <c r="E3040" s="4">
        <v>8616.2409661120109</v>
      </c>
      <c r="F3040" s="4" t="s">
        <v>29</v>
      </c>
    </row>
    <row r="3041" spans="1:6" x14ac:dyDescent="0.25">
      <c r="A3041" s="4" t="s">
        <v>75</v>
      </c>
      <c r="B3041" s="4" t="s">
        <v>1</v>
      </c>
      <c r="C3041" s="4" t="s">
        <v>34</v>
      </c>
      <c r="D3041" s="4">
        <v>2020</v>
      </c>
      <c r="E3041" s="4">
        <v>8730.0430680228365</v>
      </c>
      <c r="F3041" s="4" t="s">
        <v>29</v>
      </c>
    </row>
    <row r="3042" spans="1:6" x14ac:dyDescent="0.25">
      <c r="A3042" s="4" t="s">
        <v>75</v>
      </c>
      <c r="B3042" s="4" t="s">
        <v>1</v>
      </c>
      <c r="C3042" s="4" t="s">
        <v>34</v>
      </c>
      <c r="D3042" s="4">
        <v>2021</v>
      </c>
      <c r="E3042" s="4">
        <v>9120.7887248805891</v>
      </c>
      <c r="F3042" s="4" t="s">
        <v>29</v>
      </c>
    </row>
    <row r="3043" spans="1:6" x14ac:dyDescent="0.25">
      <c r="A3043" s="4" t="s">
        <v>75</v>
      </c>
      <c r="B3043" s="4" t="s">
        <v>1</v>
      </c>
      <c r="C3043" s="4" t="s">
        <v>34</v>
      </c>
      <c r="D3043" s="4">
        <v>2022</v>
      </c>
      <c r="E3043" s="4">
        <v>9800.7443002029268</v>
      </c>
      <c r="F3043" s="4" t="s">
        <v>29</v>
      </c>
    </row>
    <row r="3044" spans="1:6" x14ac:dyDescent="0.25">
      <c r="A3044" s="4" t="s">
        <v>75</v>
      </c>
      <c r="B3044" s="4" t="s">
        <v>1</v>
      </c>
      <c r="C3044" s="4" t="s">
        <v>34</v>
      </c>
      <c r="D3044" s="4">
        <v>2023</v>
      </c>
      <c r="E3044" s="4">
        <v>10770.457017423352</v>
      </c>
      <c r="F3044" s="4" t="s">
        <v>29</v>
      </c>
    </row>
    <row r="3045" spans="1:6" x14ac:dyDescent="0.25">
      <c r="A3045" s="4" t="s">
        <v>75</v>
      </c>
      <c r="B3045" s="4" t="s">
        <v>1</v>
      </c>
      <c r="C3045" s="4" t="s">
        <v>34</v>
      </c>
      <c r="D3045" s="4">
        <v>2024</v>
      </c>
      <c r="E3045" s="4">
        <v>12037.647684955511</v>
      </c>
      <c r="F3045" s="4" t="s">
        <v>29</v>
      </c>
    </row>
    <row r="3046" spans="1:6" x14ac:dyDescent="0.25">
      <c r="A3046" s="4" t="s">
        <v>75</v>
      </c>
      <c r="B3046" s="4" t="s">
        <v>1</v>
      </c>
      <c r="C3046" s="4" t="s">
        <v>34</v>
      </c>
      <c r="D3046" s="4">
        <v>2025</v>
      </c>
      <c r="E3046" s="4">
        <v>13433.440079662263</v>
      </c>
      <c r="F3046" s="4" t="s">
        <v>29</v>
      </c>
    </row>
    <row r="3047" spans="1:6" x14ac:dyDescent="0.25">
      <c r="A3047" s="4" t="s">
        <v>75</v>
      </c>
      <c r="B3047" s="4" t="s">
        <v>1</v>
      </c>
      <c r="C3047" s="4" t="s">
        <v>34</v>
      </c>
      <c r="D3047" s="4">
        <v>2026</v>
      </c>
      <c r="E3047" s="4">
        <v>14828.734974887613</v>
      </c>
      <c r="F3047" s="4" t="s">
        <v>29</v>
      </c>
    </row>
    <row r="3048" spans="1:6" x14ac:dyDescent="0.25">
      <c r="A3048" s="4" t="s">
        <v>75</v>
      </c>
      <c r="B3048" s="4" t="s">
        <v>1</v>
      </c>
      <c r="C3048" s="4" t="s">
        <v>34</v>
      </c>
      <c r="D3048" s="4">
        <v>2027</v>
      </c>
      <c r="E3048" s="4">
        <v>16175.177763441816</v>
      </c>
      <c r="F3048" s="4" t="s">
        <v>29</v>
      </c>
    </row>
    <row r="3049" spans="1:6" x14ac:dyDescent="0.25">
      <c r="A3049" s="4" t="s">
        <v>75</v>
      </c>
      <c r="B3049" s="4" t="s">
        <v>1</v>
      </c>
      <c r="C3049" s="4" t="s">
        <v>34</v>
      </c>
      <c r="D3049" s="4">
        <v>2028</v>
      </c>
      <c r="E3049" s="4">
        <v>17446.082707755988</v>
      </c>
      <c r="F3049" s="4" t="s">
        <v>29</v>
      </c>
    </row>
    <row r="3050" spans="1:6" x14ac:dyDescent="0.25">
      <c r="A3050" s="4" t="s">
        <v>75</v>
      </c>
      <c r="B3050" s="4" t="s">
        <v>1</v>
      </c>
      <c r="C3050" s="4" t="s">
        <v>34</v>
      </c>
      <c r="D3050" s="4">
        <v>2029</v>
      </c>
      <c r="E3050" s="4">
        <v>18648.872467018748</v>
      </c>
      <c r="F3050" s="4" t="s">
        <v>29</v>
      </c>
    </row>
    <row r="3051" spans="1:6" x14ac:dyDescent="0.25">
      <c r="A3051" s="4" t="s">
        <v>75</v>
      </c>
      <c r="B3051" s="4" t="s">
        <v>1</v>
      </c>
      <c r="C3051" s="4" t="s">
        <v>34</v>
      </c>
      <c r="D3051" s="4">
        <v>2030</v>
      </c>
      <c r="E3051" s="4">
        <v>19798.085921903119</v>
      </c>
      <c r="F3051" s="4" t="s">
        <v>29</v>
      </c>
    </row>
    <row r="3052" spans="1:6" x14ac:dyDescent="0.25">
      <c r="A3052" s="4" t="s">
        <v>75</v>
      </c>
      <c r="B3052" s="4" t="s">
        <v>1</v>
      </c>
      <c r="C3052" s="4" t="s">
        <v>34</v>
      </c>
      <c r="D3052" s="4">
        <v>2031</v>
      </c>
      <c r="E3052" s="4">
        <v>20897.797901281367</v>
      </c>
      <c r="F3052" s="4" t="s">
        <v>29</v>
      </c>
    </row>
    <row r="3053" spans="1:6" x14ac:dyDescent="0.25">
      <c r="A3053" s="4" t="s">
        <v>75</v>
      </c>
      <c r="B3053" s="4" t="s">
        <v>1</v>
      </c>
      <c r="C3053" s="4" t="s">
        <v>34</v>
      </c>
      <c r="D3053" s="4">
        <v>2032</v>
      </c>
      <c r="E3053" s="4">
        <v>21941.556879906191</v>
      </c>
      <c r="F3053" s="4" t="s">
        <v>29</v>
      </c>
    </row>
    <row r="3054" spans="1:6" x14ac:dyDescent="0.25">
      <c r="A3054" s="4" t="s">
        <v>75</v>
      </c>
      <c r="B3054" s="4" t="s">
        <v>1</v>
      </c>
      <c r="C3054" s="4" t="s">
        <v>34</v>
      </c>
      <c r="D3054" s="4">
        <v>2033</v>
      </c>
      <c r="E3054" s="4">
        <v>22926.182739726475</v>
      </c>
      <c r="F3054" s="4" t="s">
        <v>29</v>
      </c>
    </row>
    <row r="3055" spans="1:6" x14ac:dyDescent="0.25">
      <c r="A3055" s="4" t="s">
        <v>75</v>
      </c>
      <c r="B3055" s="4" t="s">
        <v>1</v>
      </c>
      <c r="C3055" s="4" t="s">
        <v>34</v>
      </c>
      <c r="D3055" s="4">
        <v>2034</v>
      </c>
      <c r="E3055" s="4">
        <v>23842.129331774242</v>
      </c>
      <c r="F3055" s="4" t="s">
        <v>29</v>
      </c>
    </row>
    <row r="3056" spans="1:6" x14ac:dyDescent="0.25">
      <c r="A3056" s="4" t="s">
        <v>75</v>
      </c>
      <c r="B3056" s="4" t="s">
        <v>1</v>
      </c>
      <c r="C3056" s="4" t="s">
        <v>34</v>
      </c>
      <c r="D3056" s="4">
        <v>2035</v>
      </c>
      <c r="E3056" s="4">
        <v>24681.121098624866</v>
      </c>
      <c r="F3056" s="4" t="s">
        <v>29</v>
      </c>
    </row>
    <row r="3057" spans="1:6" x14ac:dyDescent="0.25">
      <c r="A3057" s="4" t="s">
        <v>75</v>
      </c>
      <c r="B3057" s="4" t="s">
        <v>1</v>
      </c>
      <c r="C3057" s="4" t="s">
        <v>34</v>
      </c>
      <c r="D3057" s="4">
        <v>2036</v>
      </c>
      <c r="E3057" s="4">
        <v>25435.456466092637</v>
      </c>
      <c r="F3057" s="4" t="s">
        <v>29</v>
      </c>
    </row>
    <row r="3058" spans="1:6" x14ac:dyDescent="0.25">
      <c r="A3058" s="4" t="s">
        <v>75</v>
      </c>
      <c r="B3058" s="4" t="s">
        <v>1</v>
      </c>
      <c r="C3058" s="4" t="s">
        <v>34</v>
      </c>
      <c r="D3058" s="4">
        <v>2037</v>
      </c>
      <c r="E3058" s="4">
        <v>26097.855863092802</v>
      </c>
      <c r="F3058" s="4" t="s">
        <v>29</v>
      </c>
    </row>
    <row r="3059" spans="1:6" x14ac:dyDescent="0.25">
      <c r="A3059" s="4" t="s">
        <v>75</v>
      </c>
      <c r="B3059" s="4" t="s">
        <v>1</v>
      </c>
      <c r="C3059" s="4" t="s">
        <v>34</v>
      </c>
      <c r="D3059" s="4">
        <v>2038</v>
      </c>
      <c r="E3059" s="4">
        <v>26663.061047284835</v>
      </c>
      <c r="F3059" s="4" t="s">
        <v>29</v>
      </c>
    </row>
    <row r="3060" spans="1:6" x14ac:dyDescent="0.25">
      <c r="A3060" s="4" t="s">
        <v>75</v>
      </c>
      <c r="B3060" s="4" t="s">
        <v>1</v>
      </c>
      <c r="C3060" s="4" t="s">
        <v>34</v>
      </c>
      <c r="D3060" s="4">
        <v>2039</v>
      </c>
      <c r="E3060" s="4">
        <v>27142.423029203335</v>
      </c>
      <c r="F3060" s="4" t="s">
        <v>29</v>
      </c>
    </row>
    <row r="3061" spans="1:6" x14ac:dyDescent="0.25">
      <c r="A3061" s="4" t="s">
        <v>75</v>
      </c>
      <c r="B3061" s="4" t="s">
        <v>1</v>
      </c>
      <c r="C3061" s="4" t="s">
        <v>34</v>
      </c>
      <c r="D3061" s="4">
        <v>2040</v>
      </c>
      <c r="E3061" s="4">
        <v>27543.305648173049</v>
      </c>
      <c r="F3061" s="4" t="s">
        <v>29</v>
      </c>
    </row>
    <row r="3062" spans="1:6" x14ac:dyDescent="0.25">
      <c r="A3062" s="4" t="s">
        <v>75</v>
      </c>
      <c r="B3062" s="4" t="s">
        <v>2</v>
      </c>
      <c r="C3062" s="4" t="s">
        <v>34</v>
      </c>
      <c r="D3062" s="4">
        <v>2005</v>
      </c>
      <c r="E3062" s="4">
        <v>66520.777872327206</v>
      </c>
      <c r="F3062" s="4" t="s">
        <v>29</v>
      </c>
    </row>
    <row r="3063" spans="1:6" x14ac:dyDescent="0.25">
      <c r="A3063" s="4" t="s">
        <v>75</v>
      </c>
      <c r="B3063" s="4" t="s">
        <v>2</v>
      </c>
      <c r="C3063" s="4" t="s">
        <v>34</v>
      </c>
      <c r="D3063" s="4">
        <v>2006</v>
      </c>
      <c r="E3063" s="4">
        <v>67372.372664401628</v>
      </c>
      <c r="F3063" s="4" t="s">
        <v>29</v>
      </c>
    </row>
    <row r="3064" spans="1:6" x14ac:dyDescent="0.25">
      <c r="A3064" s="4" t="s">
        <v>75</v>
      </c>
      <c r="B3064" s="4" t="s">
        <v>2</v>
      </c>
      <c r="C3064" s="4" t="s">
        <v>34</v>
      </c>
      <c r="D3064" s="4">
        <v>2007</v>
      </c>
      <c r="E3064" s="4">
        <v>65879.084796231924</v>
      </c>
      <c r="F3064" s="4" t="s">
        <v>29</v>
      </c>
    </row>
    <row r="3065" spans="1:6" x14ac:dyDescent="0.25">
      <c r="A3065" s="4" t="s">
        <v>75</v>
      </c>
      <c r="B3065" s="4" t="s">
        <v>2</v>
      </c>
      <c r="C3065" s="4" t="s">
        <v>34</v>
      </c>
      <c r="D3065" s="4">
        <v>2008</v>
      </c>
      <c r="E3065" s="4">
        <v>63127.050796101496</v>
      </c>
      <c r="F3065" s="4" t="s">
        <v>29</v>
      </c>
    </row>
    <row r="3066" spans="1:6" x14ac:dyDescent="0.25">
      <c r="A3066" s="4" t="s">
        <v>75</v>
      </c>
      <c r="B3066" s="4" t="s">
        <v>2</v>
      </c>
      <c r="C3066" s="4" t="s">
        <v>34</v>
      </c>
      <c r="D3066" s="4">
        <v>2009</v>
      </c>
      <c r="E3066" s="4">
        <v>57738.111714996281</v>
      </c>
      <c r="F3066" s="4" t="s">
        <v>29</v>
      </c>
    </row>
    <row r="3067" spans="1:6" x14ac:dyDescent="0.25">
      <c r="A3067" s="4" t="s">
        <v>75</v>
      </c>
      <c r="B3067" s="4" t="s">
        <v>2</v>
      </c>
      <c r="C3067" s="4" t="s">
        <v>34</v>
      </c>
      <c r="D3067" s="4">
        <v>2010</v>
      </c>
      <c r="E3067" s="4">
        <v>57927.210582443062</v>
      </c>
      <c r="F3067" s="4" t="s">
        <v>29</v>
      </c>
    </row>
    <row r="3068" spans="1:6" x14ac:dyDescent="0.25">
      <c r="A3068" s="4" t="s">
        <v>75</v>
      </c>
      <c r="B3068" s="4" t="s">
        <v>2</v>
      </c>
      <c r="C3068" s="4" t="s">
        <v>34</v>
      </c>
      <c r="D3068" s="4">
        <v>2011</v>
      </c>
      <c r="E3068" s="4">
        <v>58235.193228879602</v>
      </c>
      <c r="F3068" s="4" t="s">
        <v>29</v>
      </c>
    </row>
    <row r="3069" spans="1:6" x14ac:dyDescent="0.25">
      <c r="A3069" s="4" t="s">
        <v>75</v>
      </c>
      <c r="B3069" s="4" t="s">
        <v>2</v>
      </c>
      <c r="C3069" s="4" t="s">
        <v>34</v>
      </c>
      <c r="D3069" s="4">
        <v>2012</v>
      </c>
      <c r="E3069" s="4">
        <v>63998.916429851473</v>
      </c>
      <c r="F3069" s="4" t="s">
        <v>29</v>
      </c>
    </row>
    <row r="3070" spans="1:6" x14ac:dyDescent="0.25">
      <c r="A3070" s="4" t="s">
        <v>75</v>
      </c>
      <c r="B3070" s="4" t="s">
        <v>2</v>
      </c>
      <c r="C3070" s="4" t="s">
        <v>34</v>
      </c>
      <c r="D3070" s="4">
        <v>2013</v>
      </c>
      <c r="E3070" s="4">
        <v>65898.730391354446</v>
      </c>
      <c r="F3070" s="4" t="s">
        <v>29</v>
      </c>
    </row>
    <row r="3071" spans="1:6" x14ac:dyDescent="0.25">
      <c r="A3071" s="4" t="s">
        <v>75</v>
      </c>
      <c r="B3071" s="4" t="s">
        <v>2</v>
      </c>
      <c r="C3071" s="4" t="s">
        <v>34</v>
      </c>
      <c r="D3071" s="4">
        <v>2014</v>
      </c>
      <c r="E3071" s="4">
        <v>76109.268382614042</v>
      </c>
      <c r="F3071" s="4" t="s">
        <v>29</v>
      </c>
    </row>
    <row r="3072" spans="1:6" x14ac:dyDescent="0.25">
      <c r="A3072" s="4" t="s">
        <v>75</v>
      </c>
      <c r="B3072" s="4" t="s">
        <v>2</v>
      </c>
      <c r="C3072" s="4" t="s">
        <v>34</v>
      </c>
      <c r="D3072" s="4">
        <v>2015</v>
      </c>
      <c r="E3072" s="4">
        <v>66480.901538198566</v>
      </c>
      <c r="F3072" s="4" t="s">
        <v>29</v>
      </c>
    </row>
    <row r="3073" spans="1:6" x14ac:dyDescent="0.25">
      <c r="A3073" s="4" t="s">
        <v>75</v>
      </c>
      <c r="B3073" s="4" t="s">
        <v>2</v>
      </c>
      <c r="C3073" s="4" t="s">
        <v>34</v>
      </c>
      <c r="D3073" s="4">
        <v>2016</v>
      </c>
      <c r="E3073" s="4">
        <v>63793.965540929341</v>
      </c>
      <c r="F3073" s="4" t="s">
        <v>29</v>
      </c>
    </row>
    <row r="3074" spans="1:6" x14ac:dyDescent="0.25">
      <c r="A3074" s="4" t="s">
        <v>75</v>
      </c>
      <c r="B3074" s="4" t="s">
        <v>2</v>
      </c>
      <c r="C3074" s="4" t="s">
        <v>34</v>
      </c>
      <c r="D3074" s="4">
        <v>2017</v>
      </c>
      <c r="E3074" s="4">
        <v>68379.877899827276</v>
      </c>
      <c r="F3074" s="4" t="s">
        <v>29</v>
      </c>
    </row>
    <row r="3075" spans="1:6" x14ac:dyDescent="0.25">
      <c r="A3075" s="4" t="s">
        <v>75</v>
      </c>
      <c r="B3075" s="4" t="s">
        <v>2</v>
      </c>
      <c r="C3075" s="4" t="s">
        <v>34</v>
      </c>
      <c r="D3075" s="4">
        <v>2018</v>
      </c>
      <c r="E3075" s="4">
        <v>72337.115301320446</v>
      </c>
      <c r="F3075" s="4" t="s">
        <v>29</v>
      </c>
    </row>
    <row r="3076" spans="1:6" x14ac:dyDescent="0.25">
      <c r="A3076" s="4" t="s">
        <v>75</v>
      </c>
      <c r="B3076" s="4" t="s">
        <v>2</v>
      </c>
      <c r="C3076" s="4" t="s">
        <v>34</v>
      </c>
      <c r="D3076" s="4">
        <v>2019</v>
      </c>
      <c r="E3076" s="4">
        <v>76938.901123835807</v>
      </c>
      <c r="F3076" s="4" t="s">
        <v>29</v>
      </c>
    </row>
    <row r="3077" spans="1:6" x14ac:dyDescent="0.25">
      <c r="A3077" s="4" t="s">
        <v>75</v>
      </c>
      <c r="B3077" s="4" t="s">
        <v>2</v>
      </c>
      <c r="C3077" s="4" t="s">
        <v>34</v>
      </c>
      <c r="D3077" s="4">
        <v>2020</v>
      </c>
      <c r="E3077" s="4">
        <v>81237.78421462886</v>
      </c>
      <c r="F3077" s="4" t="s">
        <v>29</v>
      </c>
    </row>
    <row r="3078" spans="1:6" x14ac:dyDescent="0.25">
      <c r="A3078" s="4" t="s">
        <v>75</v>
      </c>
      <c r="B3078" s="4" t="s">
        <v>2</v>
      </c>
      <c r="C3078" s="4" t="s">
        <v>34</v>
      </c>
      <c r="D3078" s="4">
        <v>2021</v>
      </c>
      <c r="E3078" s="4">
        <v>85921.404973492259</v>
      </c>
      <c r="F3078" s="4" t="s">
        <v>29</v>
      </c>
    </row>
    <row r="3079" spans="1:6" x14ac:dyDescent="0.25">
      <c r="A3079" s="4" t="s">
        <v>75</v>
      </c>
      <c r="B3079" s="4" t="s">
        <v>2</v>
      </c>
      <c r="C3079" s="4" t="s">
        <v>34</v>
      </c>
      <c r="D3079" s="4">
        <v>2022</v>
      </c>
      <c r="E3079" s="4">
        <v>91541.388071552909</v>
      </c>
      <c r="F3079" s="4" t="s">
        <v>29</v>
      </c>
    </row>
    <row r="3080" spans="1:6" x14ac:dyDescent="0.25">
      <c r="A3080" s="4" t="s">
        <v>75</v>
      </c>
      <c r="B3080" s="4" t="s">
        <v>2</v>
      </c>
      <c r="C3080" s="4" t="s">
        <v>34</v>
      </c>
      <c r="D3080" s="4">
        <v>2023</v>
      </c>
      <c r="E3080" s="4">
        <v>97961.436295172607</v>
      </c>
      <c r="F3080" s="4" t="s">
        <v>29</v>
      </c>
    </row>
    <row r="3081" spans="1:6" x14ac:dyDescent="0.25">
      <c r="A3081" s="4" t="s">
        <v>75</v>
      </c>
      <c r="B3081" s="4" t="s">
        <v>2</v>
      </c>
      <c r="C3081" s="4" t="s">
        <v>34</v>
      </c>
      <c r="D3081" s="4">
        <v>2024</v>
      </c>
      <c r="E3081" s="4">
        <v>105179.78960564404</v>
      </c>
      <c r="F3081" s="4" t="s">
        <v>29</v>
      </c>
    </row>
    <row r="3082" spans="1:6" x14ac:dyDescent="0.25">
      <c r="A3082" s="4" t="s">
        <v>75</v>
      </c>
      <c r="B3082" s="4" t="s">
        <v>2</v>
      </c>
      <c r="C3082" s="4" t="s">
        <v>34</v>
      </c>
      <c r="D3082" s="4">
        <v>2025</v>
      </c>
      <c r="E3082" s="4">
        <v>112502.88308252112</v>
      </c>
      <c r="F3082" s="4" t="s">
        <v>29</v>
      </c>
    </row>
    <row r="3083" spans="1:6" x14ac:dyDescent="0.25">
      <c r="A3083" s="4" t="s">
        <v>75</v>
      </c>
      <c r="B3083" s="4" t="s">
        <v>2</v>
      </c>
      <c r="C3083" s="4" t="s">
        <v>34</v>
      </c>
      <c r="D3083" s="4">
        <v>2026</v>
      </c>
      <c r="E3083" s="4">
        <v>119238.87628708019</v>
      </c>
      <c r="F3083" s="4" t="s">
        <v>29</v>
      </c>
    </row>
    <row r="3084" spans="1:6" x14ac:dyDescent="0.25">
      <c r="A3084" s="4" t="s">
        <v>75</v>
      </c>
      <c r="B3084" s="4" t="s">
        <v>2</v>
      </c>
      <c r="C3084" s="4" t="s">
        <v>34</v>
      </c>
      <c r="D3084" s="4">
        <v>2027</v>
      </c>
      <c r="E3084" s="4">
        <v>125140.94999078717</v>
      </c>
      <c r="F3084" s="4" t="s">
        <v>29</v>
      </c>
    </row>
    <row r="3085" spans="1:6" x14ac:dyDescent="0.25">
      <c r="A3085" s="4" t="s">
        <v>75</v>
      </c>
      <c r="B3085" s="4" t="s">
        <v>2</v>
      </c>
      <c r="C3085" s="4" t="s">
        <v>34</v>
      </c>
      <c r="D3085" s="4">
        <v>2028</v>
      </c>
      <c r="E3085" s="4">
        <v>130302.6948580413</v>
      </c>
      <c r="F3085" s="4" t="s">
        <v>29</v>
      </c>
    </row>
    <row r="3086" spans="1:6" x14ac:dyDescent="0.25">
      <c r="A3086" s="4" t="s">
        <v>75</v>
      </c>
      <c r="B3086" s="4" t="s">
        <v>2</v>
      </c>
      <c r="C3086" s="4" t="s">
        <v>34</v>
      </c>
      <c r="D3086" s="4">
        <v>2029</v>
      </c>
      <c r="E3086" s="4">
        <v>134918.2703205217</v>
      </c>
      <c r="F3086" s="4" t="s">
        <v>29</v>
      </c>
    </row>
    <row r="3087" spans="1:6" x14ac:dyDescent="0.25">
      <c r="A3087" s="4" t="s">
        <v>75</v>
      </c>
      <c r="B3087" s="4" t="s">
        <v>2</v>
      </c>
      <c r="C3087" s="4" t="s">
        <v>34</v>
      </c>
      <c r="D3087" s="4">
        <v>2030</v>
      </c>
      <c r="E3087" s="4">
        <v>139156.41317219753</v>
      </c>
      <c r="F3087" s="4" t="s">
        <v>29</v>
      </c>
    </row>
    <row r="3088" spans="1:6" x14ac:dyDescent="0.25">
      <c r="A3088" s="4" t="s">
        <v>75</v>
      </c>
      <c r="B3088" s="4" t="s">
        <v>2</v>
      </c>
      <c r="C3088" s="4" t="s">
        <v>34</v>
      </c>
      <c r="D3088" s="4">
        <v>2031</v>
      </c>
      <c r="E3088" s="4">
        <v>143095.26810005103</v>
      </c>
      <c r="F3088" s="4" t="s">
        <v>29</v>
      </c>
    </row>
    <row r="3089" spans="1:6" x14ac:dyDescent="0.25">
      <c r="A3089" s="4" t="s">
        <v>75</v>
      </c>
      <c r="B3089" s="4" t="s">
        <v>2</v>
      </c>
      <c r="C3089" s="4" t="s">
        <v>34</v>
      </c>
      <c r="D3089" s="4">
        <v>2032</v>
      </c>
      <c r="E3089" s="4">
        <v>146720.43055918242</v>
      </c>
      <c r="F3089" s="4" t="s">
        <v>29</v>
      </c>
    </row>
    <row r="3090" spans="1:6" x14ac:dyDescent="0.25">
      <c r="A3090" s="4" t="s">
        <v>75</v>
      </c>
      <c r="B3090" s="4" t="s">
        <v>2</v>
      </c>
      <c r="C3090" s="4" t="s">
        <v>34</v>
      </c>
      <c r="D3090" s="4">
        <v>2033</v>
      </c>
      <c r="E3090" s="4">
        <v>149949.92490664346</v>
      </c>
      <c r="F3090" s="4" t="s">
        <v>29</v>
      </c>
    </row>
    <row r="3091" spans="1:6" x14ac:dyDescent="0.25">
      <c r="A3091" s="4" t="s">
        <v>75</v>
      </c>
      <c r="B3091" s="4" t="s">
        <v>2</v>
      </c>
      <c r="C3091" s="4" t="s">
        <v>34</v>
      </c>
      <c r="D3091" s="4">
        <v>2034</v>
      </c>
      <c r="E3091" s="4">
        <v>152795.82591607264</v>
      </c>
      <c r="F3091" s="4" t="s">
        <v>29</v>
      </c>
    </row>
    <row r="3092" spans="1:6" x14ac:dyDescent="0.25">
      <c r="A3092" s="4" t="s">
        <v>75</v>
      </c>
      <c r="B3092" s="4" t="s">
        <v>2</v>
      </c>
      <c r="C3092" s="4" t="s">
        <v>34</v>
      </c>
      <c r="D3092" s="4">
        <v>2035</v>
      </c>
      <c r="E3092" s="4">
        <v>155362.28133642513</v>
      </c>
      <c r="F3092" s="4" t="s">
        <v>29</v>
      </c>
    </row>
    <row r="3093" spans="1:6" x14ac:dyDescent="0.25">
      <c r="A3093" s="4" t="s">
        <v>75</v>
      </c>
      <c r="B3093" s="4" t="s">
        <v>2</v>
      </c>
      <c r="C3093" s="4" t="s">
        <v>34</v>
      </c>
      <c r="D3093" s="4">
        <v>2036</v>
      </c>
      <c r="E3093" s="4">
        <v>157238.85557715301</v>
      </c>
      <c r="F3093" s="4" t="s">
        <v>29</v>
      </c>
    </row>
    <row r="3094" spans="1:6" x14ac:dyDescent="0.25">
      <c r="A3094" s="4" t="s">
        <v>75</v>
      </c>
      <c r="B3094" s="4" t="s">
        <v>2</v>
      </c>
      <c r="C3094" s="4" t="s">
        <v>34</v>
      </c>
      <c r="D3094" s="4">
        <v>2037</v>
      </c>
      <c r="E3094" s="4">
        <v>158796.80020966608</v>
      </c>
      <c r="F3094" s="4" t="s">
        <v>29</v>
      </c>
    </row>
    <row r="3095" spans="1:6" x14ac:dyDescent="0.25">
      <c r="A3095" s="4" t="s">
        <v>75</v>
      </c>
      <c r="B3095" s="4" t="s">
        <v>2</v>
      </c>
      <c r="C3095" s="4" t="s">
        <v>34</v>
      </c>
      <c r="D3095" s="4">
        <v>2038</v>
      </c>
      <c r="E3095" s="4">
        <v>159704.85810792938</v>
      </c>
      <c r="F3095" s="4" t="s">
        <v>29</v>
      </c>
    </row>
    <row r="3096" spans="1:6" x14ac:dyDescent="0.25">
      <c r="A3096" s="4" t="s">
        <v>75</v>
      </c>
      <c r="B3096" s="4" t="s">
        <v>2</v>
      </c>
      <c r="C3096" s="4" t="s">
        <v>34</v>
      </c>
      <c r="D3096" s="4">
        <v>2039</v>
      </c>
      <c r="E3096" s="4">
        <v>160359.27314106637</v>
      </c>
      <c r="F3096" s="4" t="s">
        <v>29</v>
      </c>
    </row>
    <row r="3097" spans="1:6" x14ac:dyDescent="0.25">
      <c r="A3097" s="4" t="s">
        <v>75</v>
      </c>
      <c r="B3097" s="4" t="s">
        <v>2</v>
      </c>
      <c r="C3097" s="4" t="s">
        <v>34</v>
      </c>
      <c r="D3097" s="4">
        <v>2040</v>
      </c>
      <c r="E3097" s="4">
        <v>160640.01175612153</v>
      </c>
      <c r="F3097" s="4" t="s">
        <v>29</v>
      </c>
    </row>
    <row r="3098" spans="1:6" x14ac:dyDescent="0.25">
      <c r="A3098" s="4" t="s">
        <v>75</v>
      </c>
      <c r="B3098" s="4" t="s">
        <v>3</v>
      </c>
      <c r="C3098" s="4" t="s">
        <v>34</v>
      </c>
      <c r="D3098" s="4">
        <v>2005</v>
      </c>
      <c r="E3098" s="4">
        <v>90</v>
      </c>
      <c r="F3098" s="4" t="s">
        <v>29</v>
      </c>
    </row>
    <row r="3099" spans="1:6" x14ac:dyDescent="0.25">
      <c r="A3099" s="4" t="s">
        <v>75</v>
      </c>
      <c r="B3099" s="4" t="s">
        <v>3</v>
      </c>
      <c r="C3099" s="4" t="s">
        <v>34</v>
      </c>
      <c r="D3099" s="4">
        <v>2006</v>
      </c>
      <c r="E3099" s="4">
        <v>100</v>
      </c>
      <c r="F3099" s="4" t="s">
        <v>29</v>
      </c>
    </row>
    <row r="3100" spans="1:6" x14ac:dyDescent="0.25">
      <c r="A3100" s="4" t="s">
        <v>75</v>
      </c>
      <c r="B3100" s="4" t="s">
        <v>3</v>
      </c>
      <c r="C3100" s="4" t="s">
        <v>34</v>
      </c>
      <c r="D3100" s="4">
        <v>2007</v>
      </c>
      <c r="E3100" s="4">
        <v>100</v>
      </c>
      <c r="F3100" s="4" t="s">
        <v>29</v>
      </c>
    </row>
    <row r="3101" spans="1:6" x14ac:dyDescent="0.25">
      <c r="A3101" s="4" t="s">
        <v>75</v>
      </c>
      <c r="B3101" s="4" t="s">
        <v>3</v>
      </c>
      <c r="C3101" s="4" t="s">
        <v>34</v>
      </c>
      <c r="D3101" s="4">
        <v>2008</v>
      </c>
      <c r="E3101" s="4">
        <v>120</v>
      </c>
      <c r="F3101" s="4" t="s">
        <v>29</v>
      </c>
    </row>
    <row r="3102" spans="1:6" x14ac:dyDescent="0.25">
      <c r="A3102" s="4" t="s">
        <v>75</v>
      </c>
      <c r="B3102" s="4" t="s">
        <v>3</v>
      </c>
      <c r="C3102" s="4" t="s">
        <v>34</v>
      </c>
      <c r="D3102" s="4">
        <v>2009</v>
      </c>
      <c r="E3102" s="4">
        <v>170</v>
      </c>
      <c r="F3102" s="4" t="s">
        <v>29</v>
      </c>
    </row>
    <row r="3103" spans="1:6" x14ac:dyDescent="0.25">
      <c r="A3103" s="4" t="s">
        <v>75</v>
      </c>
      <c r="B3103" s="4" t="s">
        <v>3</v>
      </c>
      <c r="C3103" s="4" t="s">
        <v>34</v>
      </c>
      <c r="D3103" s="4">
        <v>2010</v>
      </c>
      <c r="E3103" s="4">
        <v>100</v>
      </c>
      <c r="F3103" s="4" t="s">
        <v>29</v>
      </c>
    </row>
    <row r="3104" spans="1:6" x14ac:dyDescent="0.25">
      <c r="A3104" s="4" t="s">
        <v>75</v>
      </c>
      <c r="B3104" s="4" t="s">
        <v>3</v>
      </c>
      <c r="C3104" s="4" t="s">
        <v>34</v>
      </c>
      <c r="D3104" s="4">
        <v>2011</v>
      </c>
      <c r="E3104" s="4">
        <v>100</v>
      </c>
      <c r="F3104" s="4" t="s">
        <v>29</v>
      </c>
    </row>
    <row r="3105" spans="1:6" x14ac:dyDescent="0.25">
      <c r="A3105" s="4" t="s">
        <v>75</v>
      </c>
      <c r="B3105" s="4" t="s">
        <v>3</v>
      </c>
      <c r="C3105" s="4" t="s">
        <v>34</v>
      </c>
      <c r="D3105" s="4">
        <v>2012</v>
      </c>
      <c r="E3105" s="4">
        <v>100</v>
      </c>
      <c r="F3105" s="4" t="s">
        <v>29</v>
      </c>
    </row>
    <row r="3106" spans="1:6" x14ac:dyDescent="0.25">
      <c r="A3106" s="4" t="s">
        <v>75</v>
      </c>
      <c r="B3106" s="4" t="s">
        <v>3</v>
      </c>
      <c r="C3106" s="4" t="s">
        <v>34</v>
      </c>
      <c r="D3106" s="4">
        <v>2013</v>
      </c>
      <c r="E3106" s="4">
        <v>100</v>
      </c>
      <c r="F3106" s="4" t="s">
        <v>29</v>
      </c>
    </row>
    <row r="3107" spans="1:6" x14ac:dyDescent="0.25">
      <c r="A3107" s="4" t="s">
        <v>75</v>
      </c>
      <c r="B3107" s="4" t="s">
        <v>3</v>
      </c>
      <c r="C3107" s="4" t="s">
        <v>34</v>
      </c>
      <c r="D3107" s="4">
        <v>2014</v>
      </c>
      <c r="E3107" s="4">
        <v>100</v>
      </c>
      <c r="F3107" s="4" t="s">
        <v>29</v>
      </c>
    </row>
    <row r="3108" spans="1:6" x14ac:dyDescent="0.25">
      <c r="A3108" s="4" t="s">
        <v>75</v>
      </c>
      <c r="B3108" s="4" t="s">
        <v>3</v>
      </c>
      <c r="C3108" s="4" t="s">
        <v>34</v>
      </c>
      <c r="D3108" s="4">
        <v>2015</v>
      </c>
      <c r="E3108" s="4">
        <v>100</v>
      </c>
      <c r="F3108" s="4" t="s">
        <v>29</v>
      </c>
    </row>
    <row r="3109" spans="1:6" x14ac:dyDescent="0.25">
      <c r="A3109" s="4" t="s">
        <v>75</v>
      </c>
      <c r="B3109" s="4" t="s">
        <v>3</v>
      </c>
      <c r="C3109" s="4" t="s">
        <v>34</v>
      </c>
      <c r="D3109" s="4">
        <v>2016</v>
      </c>
      <c r="E3109" s="4">
        <v>100</v>
      </c>
      <c r="F3109" s="4" t="s">
        <v>29</v>
      </c>
    </row>
    <row r="3110" spans="1:6" x14ac:dyDescent="0.25">
      <c r="A3110" s="4" t="s">
        <v>75</v>
      </c>
      <c r="B3110" s="4" t="s">
        <v>3</v>
      </c>
      <c r="C3110" s="4" t="s">
        <v>34</v>
      </c>
      <c r="D3110" s="4">
        <v>2017</v>
      </c>
      <c r="E3110" s="4">
        <v>100</v>
      </c>
      <c r="F3110" s="4" t="s">
        <v>29</v>
      </c>
    </row>
    <row r="3111" spans="1:6" x14ac:dyDescent="0.25">
      <c r="A3111" s="4" t="s">
        <v>75</v>
      </c>
      <c r="B3111" s="4" t="s">
        <v>3</v>
      </c>
      <c r="C3111" s="4" t="s">
        <v>34</v>
      </c>
      <c r="D3111" s="4">
        <v>2018</v>
      </c>
      <c r="E3111" s="4">
        <v>100</v>
      </c>
      <c r="F3111" s="4" t="s">
        <v>29</v>
      </c>
    </row>
    <row r="3112" spans="1:6" x14ac:dyDescent="0.25">
      <c r="A3112" s="4" t="s">
        <v>75</v>
      </c>
      <c r="B3112" s="4" t="s">
        <v>3</v>
      </c>
      <c r="C3112" s="4" t="s">
        <v>34</v>
      </c>
      <c r="D3112" s="4">
        <v>2019</v>
      </c>
      <c r="E3112" s="4">
        <v>100</v>
      </c>
      <c r="F3112" s="4" t="s">
        <v>29</v>
      </c>
    </row>
    <row r="3113" spans="1:6" x14ac:dyDescent="0.25">
      <c r="A3113" s="4" t="s">
        <v>75</v>
      </c>
      <c r="B3113" s="4" t="s">
        <v>3</v>
      </c>
      <c r="C3113" s="4" t="s">
        <v>34</v>
      </c>
      <c r="D3113" s="4">
        <v>2020</v>
      </c>
      <c r="E3113" s="4">
        <v>100</v>
      </c>
      <c r="F3113" s="4" t="s">
        <v>29</v>
      </c>
    </row>
    <row r="3114" spans="1:6" x14ac:dyDescent="0.25">
      <c r="A3114" s="4" t="s">
        <v>75</v>
      </c>
      <c r="B3114" s="4" t="s">
        <v>3</v>
      </c>
      <c r="C3114" s="4" t="s">
        <v>34</v>
      </c>
      <c r="D3114" s="4">
        <v>2021</v>
      </c>
      <c r="E3114" s="4">
        <v>100</v>
      </c>
      <c r="F3114" s="4" t="s">
        <v>29</v>
      </c>
    </row>
    <row r="3115" spans="1:6" x14ac:dyDescent="0.25">
      <c r="A3115" s="4" t="s">
        <v>75</v>
      </c>
      <c r="B3115" s="4" t="s">
        <v>3</v>
      </c>
      <c r="C3115" s="4" t="s">
        <v>34</v>
      </c>
      <c r="D3115" s="4">
        <v>2022</v>
      </c>
      <c r="E3115" s="4">
        <v>100</v>
      </c>
      <c r="F3115" s="4" t="s">
        <v>29</v>
      </c>
    </row>
    <row r="3116" spans="1:6" x14ac:dyDescent="0.25">
      <c r="A3116" s="4" t="s">
        <v>75</v>
      </c>
      <c r="B3116" s="4" t="s">
        <v>3</v>
      </c>
      <c r="C3116" s="4" t="s">
        <v>34</v>
      </c>
      <c r="D3116" s="4">
        <v>2023</v>
      </c>
      <c r="E3116" s="4">
        <v>100</v>
      </c>
      <c r="F3116" s="4" t="s">
        <v>29</v>
      </c>
    </row>
    <row r="3117" spans="1:6" x14ac:dyDescent="0.25">
      <c r="A3117" s="4" t="s">
        <v>75</v>
      </c>
      <c r="B3117" s="4" t="s">
        <v>3</v>
      </c>
      <c r="C3117" s="4" t="s">
        <v>34</v>
      </c>
      <c r="D3117" s="4">
        <v>2024</v>
      </c>
      <c r="E3117" s="4">
        <v>100</v>
      </c>
      <c r="F3117" s="4" t="s">
        <v>29</v>
      </c>
    </row>
    <row r="3118" spans="1:6" x14ac:dyDescent="0.25">
      <c r="A3118" s="4" t="s">
        <v>75</v>
      </c>
      <c r="B3118" s="4" t="s">
        <v>3</v>
      </c>
      <c r="C3118" s="4" t="s">
        <v>34</v>
      </c>
      <c r="D3118" s="4">
        <v>2025</v>
      </c>
      <c r="E3118" s="4">
        <v>100</v>
      </c>
      <c r="F3118" s="4" t="s">
        <v>29</v>
      </c>
    </row>
    <row r="3119" spans="1:6" x14ac:dyDescent="0.25">
      <c r="A3119" s="4" t="s">
        <v>75</v>
      </c>
      <c r="B3119" s="4" t="s">
        <v>3</v>
      </c>
      <c r="C3119" s="4" t="s">
        <v>34</v>
      </c>
      <c r="D3119" s="4">
        <v>2026</v>
      </c>
      <c r="E3119" s="4">
        <v>100</v>
      </c>
      <c r="F3119" s="4" t="s">
        <v>29</v>
      </c>
    </row>
    <row r="3120" spans="1:6" x14ac:dyDescent="0.25">
      <c r="A3120" s="4" t="s">
        <v>75</v>
      </c>
      <c r="B3120" s="4" t="s">
        <v>3</v>
      </c>
      <c r="C3120" s="4" t="s">
        <v>34</v>
      </c>
      <c r="D3120" s="4">
        <v>2027</v>
      </c>
      <c r="E3120" s="4">
        <v>100</v>
      </c>
      <c r="F3120" s="4" t="s">
        <v>29</v>
      </c>
    </row>
    <row r="3121" spans="1:6" x14ac:dyDescent="0.25">
      <c r="A3121" s="4" t="s">
        <v>75</v>
      </c>
      <c r="B3121" s="4" t="s">
        <v>3</v>
      </c>
      <c r="C3121" s="4" t="s">
        <v>34</v>
      </c>
      <c r="D3121" s="4">
        <v>2028</v>
      </c>
      <c r="E3121" s="4">
        <v>100</v>
      </c>
      <c r="F3121" s="4" t="s">
        <v>29</v>
      </c>
    </row>
    <row r="3122" spans="1:6" x14ac:dyDescent="0.25">
      <c r="A3122" s="4" t="s">
        <v>75</v>
      </c>
      <c r="B3122" s="4" t="s">
        <v>3</v>
      </c>
      <c r="C3122" s="4" t="s">
        <v>34</v>
      </c>
      <c r="D3122" s="4">
        <v>2029</v>
      </c>
      <c r="E3122" s="4">
        <v>100</v>
      </c>
      <c r="F3122" s="4" t="s">
        <v>29</v>
      </c>
    </row>
    <row r="3123" spans="1:6" x14ac:dyDescent="0.25">
      <c r="A3123" s="4" t="s">
        <v>75</v>
      </c>
      <c r="B3123" s="4" t="s">
        <v>3</v>
      </c>
      <c r="C3123" s="4" t="s">
        <v>34</v>
      </c>
      <c r="D3123" s="4">
        <v>2030</v>
      </c>
      <c r="E3123" s="4">
        <v>100</v>
      </c>
      <c r="F3123" s="4" t="s">
        <v>29</v>
      </c>
    </row>
    <row r="3124" spans="1:6" x14ac:dyDescent="0.25">
      <c r="A3124" s="4" t="s">
        <v>75</v>
      </c>
      <c r="B3124" s="4" t="s">
        <v>3</v>
      </c>
      <c r="C3124" s="4" t="s">
        <v>34</v>
      </c>
      <c r="D3124" s="4">
        <v>2031</v>
      </c>
      <c r="E3124" s="4">
        <v>100</v>
      </c>
      <c r="F3124" s="4" t="s">
        <v>29</v>
      </c>
    </row>
    <row r="3125" spans="1:6" x14ac:dyDescent="0.25">
      <c r="A3125" s="4" t="s">
        <v>75</v>
      </c>
      <c r="B3125" s="4" t="s">
        <v>3</v>
      </c>
      <c r="C3125" s="4" t="s">
        <v>34</v>
      </c>
      <c r="D3125" s="4">
        <v>2032</v>
      </c>
      <c r="E3125" s="4">
        <v>100</v>
      </c>
      <c r="F3125" s="4" t="s">
        <v>29</v>
      </c>
    </row>
    <row r="3126" spans="1:6" x14ac:dyDescent="0.25">
      <c r="A3126" s="4" t="s">
        <v>75</v>
      </c>
      <c r="B3126" s="4" t="s">
        <v>3</v>
      </c>
      <c r="C3126" s="4" t="s">
        <v>34</v>
      </c>
      <c r="D3126" s="4">
        <v>2033</v>
      </c>
      <c r="E3126" s="4">
        <v>100</v>
      </c>
      <c r="F3126" s="4" t="s">
        <v>29</v>
      </c>
    </row>
    <row r="3127" spans="1:6" x14ac:dyDescent="0.25">
      <c r="A3127" s="4" t="s">
        <v>75</v>
      </c>
      <c r="B3127" s="4" t="s">
        <v>3</v>
      </c>
      <c r="C3127" s="4" t="s">
        <v>34</v>
      </c>
      <c r="D3127" s="4">
        <v>2034</v>
      </c>
      <c r="E3127" s="4">
        <v>100</v>
      </c>
      <c r="F3127" s="4" t="s">
        <v>29</v>
      </c>
    </row>
    <row r="3128" spans="1:6" x14ac:dyDescent="0.25">
      <c r="A3128" s="4" t="s">
        <v>75</v>
      </c>
      <c r="B3128" s="4" t="s">
        <v>3</v>
      </c>
      <c r="C3128" s="4" t="s">
        <v>34</v>
      </c>
      <c r="D3128" s="4">
        <v>2035</v>
      </c>
      <c r="E3128" s="4">
        <v>100</v>
      </c>
      <c r="F3128" s="4" t="s">
        <v>29</v>
      </c>
    </row>
    <row r="3129" spans="1:6" x14ac:dyDescent="0.25">
      <c r="A3129" s="4" t="s">
        <v>75</v>
      </c>
      <c r="B3129" s="4" t="s">
        <v>3</v>
      </c>
      <c r="C3129" s="4" t="s">
        <v>34</v>
      </c>
      <c r="D3129" s="4">
        <v>2036</v>
      </c>
      <c r="E3129" s="4">
        <v>100</v>
      </c>
      <c r="F3129" s="4" t="s">
        <v>29</v>
      </c>
    </row>
    <row r="3130" spans="1:6" x14ac:dyDescent="0.25">
      <c r="A3130" s="4" t="s">
        <v>75</v>
      </c>
      <c r="B3130" s="4" t="s">
        <v>3</v>
      </c>
      <c r="C3130" s="4" t="s">
        <v>34</v>
      </c>
      <c r="D3130" s="4">
        <v>2037</v>
      </c>
      <c r="E3130" s="4">
        <v>100</v>
      </c>
      <c r="F3130" s="4" t="s">
        <v>29</v>
      </c>
    </row>
    <row r="3131" spans="1:6" x14ac:dyDescent="0.25">
      <c r="A3131" s="4" t="s">
        <v>75</v>
      </c>
      <c r="B3131" s="4" t="s">
        <v>3</v>
      </c>
      <c r="C3131" s="4" t="s">
        <v>34</v>
      </c>
      <c r="D3131" s="4">
        <v>2038</v>
      </c>
      <c r="E3131" s="4">
        <v>100</v>
      </c>
      <c r="F3131" s="4" t="s">
        <v>29</v>
      </c>
    </row>
    <row r="3132" spans="1:6" x14ac:dyDescent="0.25">
      <c r="A3132" s="4" t="s">
        <v>75</v>
      </c>
      <c r="B3132" s="4" t="s">
        <v>3</v>
      </c>
      <c r="C3132" s="4" t="s">
        <v>34</v>
      </c>
      <c r="D3132" s="4">
        <v>2039</v>
      </c>
      <c r="E3132" s="4">
        <v>100</v>
      </c>
      <c r="F3132" s="4" t="s">
        <v>29</v>
      </c>
    </row>
    <row r="3133" spans="1:6" x14ac:dyDescent="0.25">
      <c r="A3133" s="4" t="s">
        <v>75</v>
      </c>
      <c r="B3133" s="4" t="s">
        <v>3</v>
      </c>
      <c r="C3133" s="4" t="s">
        <v>34</v>
      </c>
      <c r="D3133" s="4">
        <v>2040</v>
      </c>
      <c r="E3133" s="4">
        <v>100</v>
      </c>
      <c r="F3133" s="4" t="s">
        <v>29</v>
      </c>
    </row>
    <row r="3134" spans="1:6" x14ac:dyDescent="0.25">
      <c r="A3134" s="4" t="s">
        <v>75</v>
      </c>
      <c r="B3134" s="4" t="s">
        <v>23</v>
      </c>
      <c r="C3134" s="4" t="s">
        <v>34</v>
      </c>
      <c r="D3134" s="4">
        <v>2005</v>
      </c>
      <c r="E3134" s="4">
        <v>66707.270188812094</v>
      </c>
      <c r="F3134" s="4" t="s">
        <v>29</v>
      </c>
    </row>
    <row r="3135" spans="1:6" x14ac:dyDescent="0.25">
      <c r="A3135" s="4" t="s">
        <v>75</v>
      </c>
      <c r="B3135" s="4" t="s">
        <v>23</v>
      </c>
      <c r="C3135" s="4" t="s">
        <v>34</v>
      </c>
      <c r="D3135" s="4">
        <v>2006</v>
      </c>
      <c r="E3135" s="4">
        <v>68152.120754608288</v>
      </c>
      <c r="F3135" s="4" t="s">
        <v>29</v>
      </c>
    </row>
    <row r="3136" spans="1:6" x14ac:dyDescent="0.25">
      <c r="A3136" s="4" t="s">
        <v>75</v>
      </c>
      <c r="B3136" s="4" t="s">
        <v>23</v>
      </c>
      <c r="C3136" s="4" t="s">
        <v>34</v>
      </c>
      <c r="D3136" s="4">
        <v>2007</v>
      </c>
      <c r="E3136" s="4">
        <v>68070.971326164872</v>
      </c>
      <c r="F3136" s="4" t="s">
        <v>29</v>
      </c>
    </row>
    <row r="3137" spans="1:6" x14ac:dyDescent="0.25">
      <c r="A3137" s="4" t="s">
        <v>75</v>
      </c>
      <c r="B3137" s="4" t="s">
        <v>23</v>
      </c>
      <c r="C3137" s="4" t="s">
        <v>34</v>
      </c>
      <c r="D3137" s="4">
        <v>2008</v>
      </c>
      <c r="E3137" s="4">
        <v>69965.500000000015</v>
      </c>
      <c r="F3137" s="4" t="s">
        <v>29</v>
      </c>
    </row>
    <row r="3138" spans="1:6" x14ac:dyDescent="0.25">
      <c r="A3138" s="4" t="s">
        <v>75</v>
      </c>
      <c r="B3138" s="4" t="s">
        <v>23</v>
      </c>
      <c r="C3138" s="4" t="s">
        <v>34</v>
      </c>
      <c r="D3138" s="4">
        <v>2009</v>
      </c>
      <c r="E3138" s="4">
        <v>67609.15027265744</v>
      </c>
      <c r="F3138" s="4" t="s">
        <v>29</v>
      </c>
    </row>
    <row r="3139" spans="1:6" x14ac:dyDescent="0.25">
      <c r="A3139" s="4" t="s">
        <v>75</v>
      </c>
      <c r="B3139" s="4" t="s">
        <v>23</v>
      </c>
      <c r="C3139" s="4" t="s">
        <v>34</v>
      </c>
      <c r="D3139" s="4">
        <v>2010</v>
      </c>
      <c r="E3139" s="4">
        <v>67255.468236047105</v>
      </c>
      <c r="F3139" s="4" t="s">
        <v>29</v>
      </c>
    </row>
    <row r="3140" spans="1:6" x14ac:dyDescent="0.25">
      <c r="A3140" s="4" t="s">
        <v>75</v>
      </c>
      <c r="B3140" s="4" t="s">
        <v>23</v>
      </c>
      <c r="C3140" s="4" t="s">
        <v>34</v>
      </c>
      <c r="D3140" s="4">
        <v>2011</v>
      </c>
      <c r="E3140" s="4">
        <v>68047.183172043005</v>
      </c>
      <c r="F3140" s="4" t="s">
        <v>29</v>
      </c>
    </row>
    <row r="3141" spans="1:6" x14ac:dyDescent="0.25">
      <c r="A3141" s="4" t="s">
        <v>75</v>
      </c>
      <c r="B3141" s="4" t="s">
        <v>23</v>
      </c>
      <c r="C3141" s="4" t="s">
        <v>34</v>
      </c>
      <c r="D3141" s="4">
        <v>2012</v>
      </c>
      <c r="E3141" s="4">
        <v>75064.26213965693</v>
      </c>
      <c r="F3141" s="4" t="s">
        <v>29</v>
      </c>
    </row>
    <row r="3142" spans="1:6" x14ac:dyDescent="0.25">
      <c r="A3142" s="4" t="s">
        <v>75</v>
      </c>
      <c r="B3142" s="4" t="s">
        <v>23</v>
      </c>
      <c r="C3142" s="4" t="s">
        <v>34</v>
      </c>
      <c r="D3142" s="4">
        <v>2013</v>
      </c>
      <c r="E3142" s="4">
        <v>77160.802287506376</v>
      </c>
      <c r="F3142" s="4" t="s">
        <v>29</v>
      </c>
    </row>
    <row r="3143" spans="1:6" x14ac:dyDescent="0.25">
      <c r="A3143" s="4" t="s">
        <v>75</v>
      </c>
      <c r="B3143" s="4" t="s">
        <v>23</v>
      </c>
      <c r="C3143" s="4" t="s">
        <v>34</v>
      </c>
      <c r="D3143" s="4">
        <v>2014</v>
      </c>
      <c r="E3143" s="4">
        <v>88652.537499999991</v>
      </c>
      <c r="F3143" s="4" t="s">
        <v>29</v>
      </c>
    </row>
    <row r="3144" spans="1:6" x14ac:dyDescent="0.25">
      <c r="A3144" s="4" t="s">
        <v>75</v>
      </c>
      <c r="B3144" s="4" t="s">
        <v>23</v>
      </c>
      <c r="C3144" s="4" t="s">
        <v>34</v>
      </c>
      <c r="D3144" s="4">
        <v>2015</v>
      </c>
      <c r="E3144" s="4">
        <v>77441.298909370191</v>
      </c>
      <c r="F3144" s="4" t="s">
        <v>29</v>
      </c>
    </row>
    <row r="3145" spans="1:6" x14ac:dyDescent="0.25">
      <c r="A3145" s="4" t="s">
        <v>75</v>
      </c>
      <c r="B3145" s="4" t="s">
        <v>23</v>
      </c>
      <c r="C3145" s="4" t="s">
        <v>34</v>
      </c>
      <c r="D3145" s="4">
        <v>2016</v>
      </c>
      <c r="E3145" s="4">
        <v>73147.161491163002</v>
      </c>
      <c r="F3145" s="4" t="s">
        <v>29</v>
      </c>
    </row>
    <row r="3146" spans="1:6" x14ac:dyDescent="0.25">
      <c r="A3146" s="4" t="s">
        <v>75</v>
      </c>
      <c r="B3146" s="4" t="s">
        <v>23</v>
      </c>
      <c r="C3146" s="4" t="s">
        <v>34</v>
      </c>
      <c r="D3146" s="4">
        <v>2017</v>
      </c>
      <c r="E3146" s="4">
        <v>77484.242273129537</v>
      </c>
      <c r="F3146" s="4" t="s">
        <v>29</v>
      </c>
    </row>
    <row r="3147" spans="1:6" x14ac:dyDescent="0.25">
      <c r="A3147" s="4" t="s">
        <v>75</v>
      </c>
      <c r="B3147" s="4" t="s">
        <v>23</v>
      </c>
      <c r="C3147" s="4" t="s">
        <v>34</v>
      </c>
      <c r="D3147" s="4">
        <v>2018</v>
      </c>
      <c r="E3147" s="4">
        <v>81176.642326019661</v>
      </c>
      <c r="F3147" s="4" t="s">
        <v>29</v>
      </c>
    </row>
    <row r="3148" spans="1:6" x14ac:dyDescent="0.25">
      <c r="A3148" s="4" t="s">
        <v>75</v>
      </c>
      <c r="B3148" s="4" t="s">
        <v>23</v>
      </c>
      <c r="C3148" s="4" t="s">
        <v>34</v>
      </c>
      <c r="D3148" s="4">
        <v>2019</v>
      </c>
      <c r="E3148" s="4">
        <v>85655.142089947825</v>
      </c>
      <c r="F3148" s="4" t="s">
        <v>29</v>
      </c>
    </row>
    <row r="3149" spans="1:6" x14ac:dyDescent="0.25">
      <c r="A3149" s="4" t="s">
        <v>75</v>
      </c>
      <c r="B3149" s="4" t="s">
        <v>23</v>
      </c>
      <c r="C3149" s="4" t="s">
        <v>34</v>
      </c>
      <c r="D3149" s="4">
        <v>2020</v>
      </c>
      <c r="E3149" s="4">
        <v>90067.827282651691</v>
      </c>
      <c r="F3149" s="4" t="s">
        <v>29</v>
      </c>
    </row>
    <row r="3150" spans="1:6" x14ac:dyDescent="0.25">
      <c r="A3150" s="4" t="s">
        <v>75</v>
      </c>
      <c r="B3150" s="4" t="s">
        <v>23</v>
      </c>
      <c r="C3150" s="4" t="s">
        <v>34</v>
      </c>
      <c r="D3150" s="4">
        <v>2021</v>
      </c>
      <c r="E3150" s="4">
        <v>95142.193698372852</v>
      </c>
      <c r="F3150" s="4" t="s">
        <v>29</v>
      </c>
    </row>
    <row r="3151" spans="1:6" x14ac:dyDescent="0.25">
      <c r="A3151" s="4" t="s">
        <v>75</v>
      </c>
      <c r="B3151" s="4" t="s">
        <v>23</v>
      </c>
      <c r="C3151" s="4" t="s">
        <v>34</v>
      </c>
      <c r="D3151" s="4">
        <v>2022</v>
      </c>
      <c r="E3151" s="4">
        <v>101442.13237175584</v>
      </c>
      <c r="F3151" s="4" t="s">
        <v>29</v>
      </c>
    </row>
    <row r="3152" spans="1:6" x14ac:dyDescent="0.25">
      <c r="A3152" s="4" t="s">
        <v>75</v>
      </c>
      <c r="B3152" s="4" t="s">
        <v>23</v>
      </c>
      <c r="C3152" s="4" t="s">
        <v>34</v>
      </c>
      <c r="D3152" s="4">
        <v>2023</v>
      </c>
      <c r="E3152" s="4">
        <v>108831.89331259596</v>
      </c>
      <c r="F3152" s="4" t="s">
        <v>29</v>
      </c>
    </row>
    <row r="3153" spans="1:6" x14ac:dyDescent="0.25">
      <c r="A3153" s="4" t="s">
        <v>75</v>
      </c>
      <c r="B3153" s="4" t="s">
        <v>23</v>
      </c>
      <c r="C3153" s="4" t="s">
        <v>34</v>
      </c>
      <c r="D3153" s="4">
        <v>2024</v>
      </c>
      <c r="E3153" s="4">
        <v>117317.43729059954</v>
      </c>
      <c r="F3153" s="4" t="s">
        <v>29</v>
      </c>
    </row>
    <row r="3154" spans="1:6" x14ac:dyDescent="0.25">
      <c r="A3154" s="4" t="s">
        <v>75</v>
      </c>
      <c r="B3154" s="4" t="s">
        <v>23</v>
      </c>
      <c r="C3154" s="4" t="s">
        <v>34</v>
      </c>
      <c r="D3154" s="4">
        <v>2025</v>
      </c>
      <c r="E3154" s="4">
        <v>126036.32316218338</v>
      </c>
      <c r="F3154" s="4" t="s">
        <v>29</v>
      </c>
    </row>
    <row r="3155" spans="1:6" x14ac:dyDescent="0.25">
      <c r="A3155" s="4" t="s">
        <v>75</v>
      </c>
      <c r="B3155" s="4" t="s">
        <v>23</v>
      </c>
      <c r="C3155" s="4" t="s">
        <v>34</v>
      </c>
      <c r="D3155" s="4">
        <v>2026</v>
      </c>
      <c r="E3155" s="4">
        <v>134167.6112619678</v>
      </c>
      <c r="F3155" s="4" t="s">
        <v>29</v>
      </c>
    </row>
    <row r="3156" spans="1:6" x14ac:dyDescent="0.25">
      <c r="A3156" s="4" t="s">
        <v>75</v>
      </c>
      <c r="B3156" s="4" t="s">
        <v>23</v>
      </c>
      <c r="C3156" s="4" t="s">
        <v>34</v>
      </c>
      <c r="D3156" s="4">
        <v>2027</v>
      </c>
      <c r="E3156" s="4">
        <v>141416.12775422898</v>
      </c>
      <c r="F3156" s="4" t="s">
        <v>29</v>
      </c>
    </row>
    <row r="3157" spans="1:6" x14ac:dyDescent="0.25">
      <c r="A3157" s="4" t="s">
        <v>75</v>
      </c>
      <c r="B3157" s="4" t="s">
        <v>23</v>
      </c>
      <c r="C3157" s="4" t="s">
        <v>34</v>
      </c>
      <c r="D3157" s="4">
        <v>2028</v>
      </c>
      <c r="E3157" s="4">
        <v>147848.7775657973</v>
      </c>
      <c r="F3157" s="4" t="s">
        <v>29</v>
      </c>
    </row>
    <row r="3158" spans="1:6" x14ac:dyDescent="0.25">
      <c r="A3158" s="4" t="s">
        <v>75</v>
      </c>
      <c r="B3158" s="4" t="s">
        <v>23</v>
      </c>
      <c r="C3158" s="4" t="s">
        <v>34</v>
      </c>
      <c r="D3158" s="4">
        <v>2029</v>
      </c>
      <c r="E3158" s="4">
        <v>153667.14278754045</v>
      </c>
      <c r="F3158" s="4" t="s">
        <v>29</v>
      </c>
    </row>
    <row r="3159" spans="1:6" x14ac:dyDescent="0.25">
      <c r="A3159" s="4" t="s">
        <v>75</v>
      </c>
      <c r="B3159" s="4" t="s">
        <v>23</v>
      </c>
      <c r="C3159" s="4" t="s">
        <v>34</v>
      </c>
      <c r="D3159" s="4">
        <v>2030</v>
      </c>
      <c r="E3159" s="4">
        <v>159054.49909410064</v>
      </c>
      <c r="F3159" s="4" t="s">
        <v>29</v>
      </c>
    </row>
    <row r="3160" spans="1:6" x14ac:dyDescent="0.25">
      <c r="A3160" s="4" t="s">
        <v>75</v>
      </c>
      <c r="B3160" s="4" t="s">
        <v>23</v>
      </c>
      <c r="C3160" s="4" t="s">
        <v>34</v>
      </c>
      <c r="D3160" s="4">
        <v>2031</v>
      </c>
      <c r="E3160" s="4">
        <v>164093.06600133239</v>
      </c>
      <c r="F3160" s="4" t="s">
        <v>29</v>
      </c>
    </row>
    <row r="3161" spans="1:6" x14ac:dyDescent="0.25">
      <c r="A3161" s="4" t="s">
        <v>75</v>
      </c>
      <c r="B3161" s="4" t="s">
        <v>23</v>
      </c>
      <c r="C3161" s="4" t="s">
        <v>34</v>
      </c>
      <c r="D3161" s="4">
        <v>2032</v>
      </c>
      <c r="E3161" s="4">
        <v>168761.98743908861</v>
      </c>
      <c r="F3161" s="4" t="s">
        <v>29</v>
      </c>
    </row>
    <row r="3162" spans="1:6" x14ac:dyDescent="0.25">
      <c r="A3162" s="4" t="s">
        <v>75</v>
      </c>
      <c r="B3162" s="4" t="s">
        <v>23</v>
      </c>
      <c r="C3162" s="4" t="s">
        <v>34</v>
      </c>
      <c r="D3162" s="4">
        <v>2033</v>
      </c>
      <c r="E3162" s="4">
        <v>172976.10764636993</v>
      </c>
      <c r="F3162" s="4" t="s">
        <v>29</v>
      </c>
    </row>
    <row r="3163" spans="1:6" x14ac:dyDescent="0.25">
      <c r="A3163" s="4" t="s">
        <v>75</v>
      </c>
      <c r="B3163" s="4" t="s">
        <v>23</v>
      </c>
      <c r="C3163" s="4" t="s">
        <v>34</v>
      </c>
      <c r="D3163" s="4">
        <v>2034</v>
      </c>
      <c r="E3163" s="4">
        <v>176737.9552478469</v>
      </c>
      <c r="F3163" s="4" t="s">
        <v>29</v>
      </c>
    </row>
    <row r="3164" spans="1:6" x14ac:dyDescent="0.25">
      <c r="A3164" s="4" t="s">
        <v>75</v>
      </c>
      <c r="B3164" s="4" t="s">
        <v>23</v>
      </c>
      <c r="C3164" s="4" t="s">
        <v>34</v>
      </c>
      <c r="D3164" s="4">
        <v>2035</v>
      </c>
      <c r="E3164" s="4">
        <v>180143.40243505</v>
      </c>
      <c r="F3164" s="4" t="s">
        <v>29</v>
      </c>
    </row>
    <row r="3165" spans="1:6" x14ac:dyDescent="0.25">
      <c r="A3165" s="4" t="s">
        <v>75</v>
      </c>
      <c r="B3165" s="4" t="s">
        <v>23</v>
      </c>
      <c r="C3165" s="4" t="s">
        <v>34</v>
      </c>
      <c r="D3165" s="4">
        <v>2036</v>
      </c>
      <c r="E3165" s="4">
        <v>182774.31204324565</v>
      </c>
      <c r="F3165" s="4" t="s">
        <v>29</v>
      </c>
    </row>
    <row r="3166" spans="1:6" x14ac:dyDescent="0.25">
      <c r="A3166" s="4" t="s">
        <v>75</v>
      </c>
      <c r="B3166" s="4" t="s">
        <v>23</v>
      </c>
      <c r="C3166" s="4" t="s">
        <v>34</v>
      </c>
      <c r="D3166" s="4">
        <v>2037</v>
      </c>
      <c r="E3166" s="4">
        <v>184994.65607275889</v>
      </c>
      <c r="F3166" s="4" t="s">
        <v>29</v>
      </c>
    </row>
    <row r="3167" spans="1:6" x14ac:dyDescent="0.25">
      <c r="A3167" s="4" t="s">
        <v>75</v>
      </c>
      <c r="B3167" s="4" t="s">
        <v>23</v>
      </c>
      <c r="C3167" s="4" t="s">
        <v>34</v>
      </c>
      <c r="D3167" s="4">
        <v>2038</v>
      </c>
      <c r="E3167" s="4">
        <v>186467.91915521421</v>
      </c>
      <c r="F3167" s="4" t="s">
        <v>29</v>
      </c>
    </row>
    <row r="3168" spans="1:6" x14ac:dyDescent="0.25">
      <c r="A3168" s="4" t="s">
        <v>75</v>
      </c>
      <c r="B3168" s="4" t="s">
        <v>23</v>
      </c>
      <c r="C3168" s="4" t="s">
        <v>34</v>
      </c>
      <c r="D3168" s="4">
        <v>2039</v>
      </c>
      <c r="E3168" s="4">
        <v>187601.69617026972</v>
      </c>
      <c r="F3168" s="4" t="s">
        <v>29</v>
      </c>
    </row>
    <row r="3169" spans="1:6" x14ac:dyDescent="0.25">
      <c r="A3169" s="4" t="s">
        <v>75</v>
      </c>
      <c r="B3169" s="4" t="s">
        <v>23</v>
      </c>
      <c r="C3169" s="4" t="s">
        <v>34</v>
      </c>
      <c r="D3169" s="4">
        <v>2040</v>
      </c>
      <c r="E3169" s="4">
        <v>188283.31740429459</v>
      </c>
      <c r="F3169" s="4" t="s">
        <v>29</v>
      </c>
    </row>
    <row r="3170" spans="1:6" x14ac:dyDescent="0.25">
      <c r="A3170" s="4" t="s">
        <v>76</v>
      </c>
      <c r="B3170" s="4" t="s">
        <v>1</v>
      </c>
      <c r="C3170" s="4" t="s">
        <v>34</v>
      </c>
      <c r="D3170" s="4">
        <v>2005</v>
      </c>
      <c r="E3170" s="4">
        <v>2203.4851382488482</v>
      </c>
      <c r="F3170" s="4" t="s">
        <v>29</v>
      </c>
    </row>
    <row r="3171" spans="1:6" x14ac:dyDescent="0.25">
      <c r="A3171" s="4" t="s">
        <v>76</v>
      </c>
      <c r="B3171" s="4" t="s">
        <v>1</v>
      </c>
      <c r="C3171" s="4" t="s">
        <v>34</v>
      </c>
      <c r="D3171" s="4">
        <v>2006</v>
      </c>
      <c r="E3171" s="4">
        <v>3398.1617415514593</v>
      </c>
      <c r="F3171" s="4" t="s">
        <v>29</v>
      </c>
    </row>
    <row r="3172" spans="1:6" x14ac:dyDescent="0.25">
      <c r="A3172" s="4" t="s">
        <v>76</v>
      </c>
      <c r="B3172" s="4" t="s">
        <v>1</v>
      </c>
      <c r="C3172" s="4" t="s">
        <v>34</v>
      </c>
      <c r="D3172" s="4">
        <v>2007</v>
      </c>
      <c r="E3172" s="4">
        <v>3531.5109030977987</v>
      </c>
      <c r="F3172" s="4" t="s">
        <v>29</v>
      </c>
    </row>
    <row r="3173" spans="1:6" x14ac:dyDescent="0.25">
      <c r="A3173" s="4" t="s">
        <v>76</v>
      </c>
      <c r="B3173" s="4" t="s">
        <v>1</v>
      </c>
      <c r="C3173" s="4" t="s">
        <v>34</v>
      </c>
      <c r="D3173" s="4">
        <v>2008</v>
      </c>
      <c r="E3173" s="4">
        <v>3746.5833333333339</v>
      </c>
      <c r="F3173" s="4" t="s">
        <v>29</v>
      </c>
    </row>
    <row r="3174" spans="1:6" x14ac:dyDescent="0.25">
      <c r="A3174" s="4" t="s">
        <v>76</v>
      </c>
      <c r="B3174" s="4" t="s">
        <v>1</v>
      </c>
      <c r="C3174" s="4" t="s">
        <v>34</v>
      </c>
      <c r="D3174" s="4">
        <v>2009</v>
      </c>
      <c r="E3174" s="4">
        <v>4116.2247580645162</v>
      </c>
      <c r="F3174" s="4" t="s">
        <v>29</v>
      </c>
    </row>
    <row r="3175" spans="1:6" x14ac:dyDescent="0.25">
      <c r="A3175" s="4" t="s">
        <v>76</v>
      </c>
      <c r="B3175" s="4" t="s">
        <v>1</v>
      </c>
      <c r="C3175" s="4" t="s">
        <v>34</v>
      </c>
      <c r="D3175" s="4">
        <v>2010</v>
      </c>
      <c r="E3175" s="4">
        <v>4763.6846684587817</v>
      </c>
      <c r="F3175" s="4" t="s">
        <v>29</v>
      </c>
    </row>
    <row r="3176" spans="1:6" x14ac:dyDescent="0.25">
      <c r="A3176" s="4" t="s">
        <v>76</v>
      </c>
      <c r="B3176" s="4" t="s">
        <v>1</v>
      </c>
      <c r="C3176" s="4" t="s">
        <v>34</v>
      </c>
      <c r="D3176" s="4">
        <v>2011</v>
      </c>
      <c r="E3176" s="4">
        <v>6462.2715092165899</v>
      </c>
      <c r="F3176" s="4" t="s">
        <v>29</v>
      </c>
    </row>
    <row r="3177" spans="1:6" x14ac:dyDescent="0.25">
      <c r="A3177" s="4" t="s">
        <v>76</v>
      </c>
      <c r="B3177" s="4" t="s">
        <v>1</v>
      </c>
      <c r="C3177" s="4" t="s">
        <v>34</v>
      </c>
      <c r="D3177" s="4">
        <v>2012</v>
      </c>
      <c r="E3177" s="4">
        <v>8094.5645528982814</v>
      </c>
      <c r="F3177" s="4" t="s">
        <v>29</v>
      </c>
    </row>
    <row r="3178" spans="1:6" x14ac:dyDescent="0.25">
      <c r="A3178" s="4" t="s">
        <v>76</v>
      </c>
      <c r="B3178" s="4" t="s">
        <v>1</v>
      </c>
      <c r="C3178" s="4" t="s">
        <v>34</v>
      </c>
      <c r="D3178" s="4">
        <v>2013</v>
      </c>
      <c r="E3178" s="4">
        <v>8262.7367191500271</v>
      </c>
      <c r="F3178" s="4" t="s">
        <v>29</v>
      </c>
    </row>
    <row r="3179" spans="1:6" x14ac:dyDescent="0.25">
      <c r="A3179" s="4" t="s">
        <v>76</v>
      </c>
      <c r="B3179" s="4" t="s">
        <v>1</v>
      </c>
      <c r="C3179" s="4" t="s">
        <v>34</v>
      </c>
      <c r="D3179" s="4">
        <v>2014</v>
      </c>
      <c r="E3179" s="4">
        <v>7781.3506688428042</v>
      </c>
      <c r="F3179" s="4" t="s">
        <v>29</v>
      </c>
    </row>
    <row r="3180" spans="1:6" x14ac:dyDescent="0.25">
      <c r="A3180" s="4" t="s">
        <v>76</v>
      </c>
      <c r="B3180" s="4" t="s">
        <v>1</v>
      </c>
      <c r="C3180" s="4" t="s">
        <v>34</v>
      </c>
      <c r="D3180" s="4">
        <v>2015</v>
      </c>
      <c r="E3180" s="4">
        <v>7282.7969105222728</v>
      </c>
      <c r="F3180" s="4" t="s">
        <v>29</v>
      </c>
    </row>
    <row r="3181" spans="1:6" x14ac:dyDescent="0.25">
      <c r="A3181" s="4" t="s">
        <v>76</v>
      </c>
      <c r="B3181" s="4" t="s">
        <v>1</v>
      </c>
      <c r="C3181" s="4" t="s">
        <v>34</v>
      </c>
      <c r="D3181" s="4">
        <v>2016</v>
      </c>
      <c r="E3181" s="4">
        <v>6380.9985653812873</v>
      </c>
      <c r="F3181" s="4" t="s">
        <v>29</v>
      </c>
    </row>
    <row r="3182" spans="1:6" x14ac:dyDescent="0.25">
      <c r="A3182" s="4" t="s">
        <v>76</v>
      </c>
      <c r="B3182" s="4" t="s">
        <v>1</v>
      </c>
      <c r="C3182" s="4" t="s">
        <v>34</v>
      </c>
      <c r="D3182" s="4">
        <v>2017</v>
      </c>
      <c r="E3182" s="4">
        <v>5830.8193436537013</v>
      </c>
      <c r="F3182" s="4" t="s">
        <v>29</v>
      </c>
    </row>
    <row r="3183" spans="1:6" x14ac:dyDescent="0.25">
      <c r="A3183" s="4" t="s">
        <v>76</v>
      </c>
      <c r="B3183" s="4" t="s">
        <v>1</v>
      </c>
      <c r="C3183" s="4" t="s">
        <v>34</v>
      </c>
      <c r="D3183" s="4">
        <v>2018</v>
      </c>
      <c r="E3183" s="4">
        <v>5370.0572684063036</v>
      </c>
      <c r="F3183" s="4" t="s">
        <v>29</v>
      </c>
    </row>
    <row r="3184" spans="1:6" x14ac:dyDescent="0.25">
      <c r="A3184" s="4" t="s">
        <v>76</v>
      </c>
      <c r="B3184" s="4" t="s">
        <v>1</v>
      </c>
      <c r="C3184" s="4" t="s">
        <v>34</v>
      </c>
      <c r="D3184" s="4">
        <v>2019</v>
      </c>
      <c r="E3184" s="4">
        <v>4951.1938705031926</v>
      </c>
      <c r="F3184" s="4" t="s">
        <v>29</v>
      </c>
    </row>
    <row r="3185" spans="1:6" x14ac:dyDescent="0.25">
      <c r="A3185" s="4" t="s">
        <v>76</v>
      </c>
      <c r="B3185" s="4" t="s">
        <v>1</v>
      </c>
      <c r="C3185" s="4" t="s">
        <v>34</v>
      </c>
      <c r="D3185" s="4">
        <v>2020</v>
      </c>
      <c r="E3185" s="4">
        <v>4613.176531405973</v>
      </c>
      <c r="F3185" s="4" t="s">
        <v>29</v>
      </c>
    </row>
    <row r="3186" spans="1:6" x14ac:dyDescent="0.25">
      <c r="A3186" s="4" t="s">
        <v>76</v>
      </c>
      <c r="B3186" s="4" t="s">
        <v>1</v>
      </c>
      <c r="C3186" s="4" t="s">
        <v>34</v>
      </c>
      <c r="D3186" s="4">
        <v>2021</v>
      </c>
      <c r="E3186" s="4">
        <v>4369.830982492359</v>
      </c>
      <c r="F3186" s="4" t="s">
        <v>29</v>
      </c>
    </row>
    <row r="3187" spans="1:6" x14ac:dyDescent="0.25">
      <c r="A3187" s="4" t="s">
        <v>76</v>
      </c>
      <c r="B3187" s="4" t="s">
        <v>1</v>
      </c>
      <c r="C3187" s="4" t="s">
        <v>34</v>
      </c>
      <c r="D3187" s="4">
        <v>2022</v>
      </c>
      <c r="E3187" s="4">
        <v>4225.3782626220191</v>
      </c>
      <c r="F3187" s="4" t="s">
        <v>29</v>
      </c>
    </row>
    <row r="3188" spans="1:6" x14ac:dyDescent="0.25">
      <c r="A3188" s="4" t="s">
        <v>76</v>
      </c>
      <c r="B3188" s="4" t="s">
        <v>1</v>
      </c>
      <c r="C3188" s="4" t="s">
        <v>34</v>
      </c>
      <c r="D3188" s="4">
        <v>2023</v>
      </c>
      <c r="E3188" s="4">
        <v>4171.2876727214516</v>
      </c>
      <c r="F3188" s="4" t="s">
        <v>29</v>
      </c>
    </row>
    <row r="3189" spans="1:6" x14ac:dyDescent="0.25">
      <c r="A3189" s="4" t="s">
        <v>76</v>
      </c>
      <c r="B3189" s="4" t="s">
        <v>1</v>
      </c>
      <c r="C3189" s="4" t="s">
        <v>34</v>
      </c>
      <c r="D3189" s="4">
        <v>2024</v>
      </c>
      <c r="E3189" s="4">
        <v>4191.052261001606</v>
      </c>
      <c r="F3189" s="4" t="s">
        <v>29</v>
      </c>
    </row>
    <row r="3190" spans="1:6" x14ac:dyDescent="0.25">
      <c r="A3190" s="4" t="s">
        <v>76</v>
      </c>
      <c r="B3190" s="4" t="s">
        <v>1</v>
      </c>
      <c r="C3190" s="4" t="s">
        <v>34</v>
      </c>
      <c r="D3190" s="4">
        <v>2025</v>
      </c>
      <c r="E3190" s="4">
        <v>4249.6813929066311</v>
      </c>
      <c r="F3190" s="4" t="s">
        <v>29</v>
      </c>
    </row>
    <row r="3191" spans="1:6" x14ac:dyDescent="0.25">
      <c r="A3191" s="4" t="s">
        <v>76</v>
      </c>
      <c r="B3191" s="4" t="s">
        <v>1</v>
      </c>
      <c r="C3191" s="4" t="s">
        <v>34</v>
      </c>
      <c r="D3191" s="4">
        <v>2026</v>
      </c>
      <c r="E3191" s="4">
        <v>4335.0419172862439</v>
      </c>
      <c r="F3191" s="4" t="s">
        <v>29</v>
      </c>
    </row>
    <row r="3192" spans="1:6" x14ac:dyDescent="0.25">
      <c r="A3192" s="4" t="s">
        <v>76</v>
      </c>
      <c r="B3192" s="4" t="s">
        <v>1</v>
      </c>
      <c r="C3192" s="4" t="s">
        <v>34</v>
      </c>
      <c r="D3192" s="4">
        <v>2027</v>
      </c>
      <c r="E3192" s="4">
        <v>4431.637443762912</v>
      </c>
      <c r="F3192" s="4" t="s">
        <v>29</v>
      </c>
    </row>
    <row r="3193" spans="1:6" x14ac:dyDescent="0.25">
      <c r="A3193" s="4" t="s">
        <v>76</v>
      </c>
      <c r="B3193" s="4" t="s">
        <v>1</v>
      </c>
      <c r="C3193" s="4" t="s">
        <v>34</v>
      </c>
      <c r="D3193" s="4">
        <v>2028</v>
      </c>
      <c r="E3193" s="4">
        <v>4528.3754934496974</v>
      </c>
      <c r="F3193" s="4" t="s">
        <v>29</v>
      </c>
    </row>
    <row r="3194" spans="1:6" x14ac:dyDescent="0.25">
      <c r="A3194" s="4" t="s">
        <v>76</v>
      </c>
      <c r="B3194" s="4" t="s">
        <v>1</v>
      </c>
      <c r="C3194" s="4" t="s">
        <v>34</v>
      </c>
      <c r="D3194" s="4">
        <v>2029</v>
      </c>
      <c r="E3194" s="4">
        <v>4621.6510124954357</v>
      </c>
      <c r="F3194" s="4" t="s">
        <v>29</v>
      </c>
    </row>
    <row r="3195" spans="1:6" x14ac:dyDescent="0.25">
      <c r="A3195" s="4" t="s">
        <v>76</v>
      </c>
      <c r="B3195" s="4" t="s">
        <v>1</v>
      </c>
      <c r="C3195" s="4" t="s">
        <v>34</v>
      </c>
      <c r="D3195" s="4">
        <v>2030</v>
      </c>
      <c r="E3195" s="4">
        <v>4711.1929643307758</v>
      </c>
      <c r="F3195" s="4" t="s">
        <v>29</v>
      </c>
    </row>
    <row r="3196" spans="1:6" x14ac:dyDescent="0.25">
      <c r="A3196" s="4" t="s">
        <v>76</v>
      </c>
      <c r="B3196" s="4" t="s">
        <v>1</v>
      </c>
      <c r="C3196" s="4" t="s">
        <v>34</v>
      </c>
      <c r="D3196" s="4">
        <v>2031</v>
      </c>
      <c r="E3196" s="4">
        <v>4795.2934250105636</v>
      </c>
      <c r="F3196" s="4" t="s">
        <v>29</v>
      </c>
    </row>
    <row r="3197" spans="1:6" x14ac:dyDescent="0.25">
      <c r="A3197" s="4" t="s">
        <v>76</v>
      </c>
      <c r="B3197" s="4" t="s">
        <v>1</v>
      </c>
      <c r="C3197" s="4" t="s">
        <v>34</v>
      </c>
      <c r="D3197" s="4">
        <v>2032</v>
      </c>
      <c r="E3197" s="4">
        <v>4872.6912148519486</v>
      </c>
      <c r="F3197" s="4" t="s">
        <v>29</v>
      </c>
    </row>
    <row r="3198" spans="1:6" x14ac:dyDescent="0.25">
      <c r="A3198" s="4" t="s">
        <v>76</v>
      </c>
      <c r="B3198" s="4" t="s">
        <v>1</v>
      </c>
      <c r="C3198" s="4" t="s">
        <v>34</v>
      </c>
      <c r="D3198" s="4">
        <v>2033</v>
      </c>
      <c r="E3198" s="4">
        <v>4944.1893841597748</v>
      </c>
      <c r="F3198" s="4" t="s">
        <v>29</v>
      </c>
    </row>
    <row r="3199" spans="1:6" x14ac:dyDescent="0.25">
      <c r="A3199" s="4" t="s">
        <v>76</v>
      </c>
      <c r="B3199" s="4" t="s">
        <v>1</v>
      </c>
      <c r="C3199" s="4" t="s">
        <v>34</v>
      </c>
      <c r="D3199" s="4">
        <v>2034</v>
      </c>
      <c r="E3199" s="4">
        <v>5008.6095575505979</v>
      </c>
      <c r="F3199" s="4" t="s">
        <v>29</v>
      </c>
    </row>
    <row r="3200" spans="1:6" x14ac:dyDescent="0.25">
      <c r="A3200" s="4" t="s">
        <v>76</v>
      </c>
      <c r="B3200" s="4" t="s">
        <v>1</v>
      </c>
      <c r="C3200" s="4" t="s">
        <v>34</v>
      </c>
      <c r="D3200" s="4">
        <v>2035</v>
      </c>
      <c r="E3200" s="4">
        <v>5064.7932933851944</v>
      </c>
      <c r="F3200" s="4" t="s">
        <v>29</v>
      </c>
    </row>
    <row r="3201" spans="1:6" x14ac:dyDescent="0.25">
      <c r="A3201" s="4" t="s">
        <v>76</v>
      </c>
      <c r="B3201" s="4" t="s">
        <v>1</v>
      </c>
      <c r="C3201" s="4" t="s">
        <v>34</v>
      </c>
      <c r="D3201" s="4">
        <v>2036</v>
      </c>
      <c r="E3201" s="4">
        <v>5108.2262915676793</v>
      </c>
      <c r="F3201" s="4" t="s">
        <v>29</v>
      </c>
    </row>
    <row r="3202" spans="1:6" x14ac:dyDescent="0.25">
      <c r="A3202" s="4" t="s">
        <v>76</v>
      </c>
      <c r="B3202" s="4" t="s">
        <v>1</v>
      </c>
      <c r="C3202" s="4" t="s">
        <v>34</v>
      </c>
      <c r="D3202" s="4">
        <v>2037</v>
      </c>
      <c r="E3202" s="4">
        <v>5123.8407256143419</v>
      </c>
      <c r="F3202" s="4" t="s">
        <v>29</v>
      </c>
    </row>
    <row r="3203" spans="1:6" x14ac:dyDescent="0.25">
      <c r="A3203" s="4" t="s">
        <v>76</v>
      </c>
      <c r="B3203" s="4" t="s">
        <v>1</v>
      </c>
      <c r="C3203" s="4" t="s">
        <v>34</v>
      </c>
      <c r="D3203" s="4">
        <v>2038</v>
      </c>
      <c r="E3203" s="4">
        <v>5122.425524309725</v>
      </c>
      <c r="F3203" s="4" t="s">
        <v>29</v>
      </c>
    </row>
    <row r="3204" spans="1:6" x14ac:dyDescent="0.25">
      <c r="A3204" s="4" t="s">
        <v>76</v>
      </c>
      <c r="B3204" s="4" t="s">
        <v>1</v>
      </c>
      <c r="C3204" s="4" t="s">
        <v>34</v>
      </c>
      <c r="D3204" s="4">
        <v>2039</v>
      </c>
      <c r="E3204" s="4">
        <v>5107.2631640759391</v>
      </c>
      <c r="F3204" s="4" t="s">
        <v>29</v>
      </c>
    </row>
    <row r="3205" spans="1:6" x14ac:dyDescent="0.25">
      <c r="A3205" s="4" t="s">
        <v>76</v>
      </c>
      <c r="B3205" s="4" t="s">
        <v>1</v>
      </c>
      <c r="C3205" s="4" t="s">
        <v>34</v>
      </c>
      <c r="D3205" s="4">
        <v>2040</v>
      </c>
      <c r="E3205" s="4">
        <v>5078.9589947879367</v>
      </c>
      <c r="F3205" s="4" t="s">
        <v>29</v>
      </c>
    </row>
    <row r="3206" spans="1:6" x14ac:dyDescent="0.25">
      <c r="A3206" s="4" t="s">
        <v>76</v>
      </c>
      <c r="B3206" s="4" t="s">
        <v>23</v>
      </c>
      <c r="C3206" s="4" t="s">
        <v>34</v>
      </c>
      <c r="D3206" s="4">
        <v>2005</v>
      </c>
      <c r="E3206" s="4">
        <v>2203.4851382488482</v>
      </c>
      <c r="F3206" s="4" t="s">
        <v>29</v>
      </c>
    </row>
    <row r="3207" spans="1:6" x14ac:dyDescent="0.25">
      <c r="A3207" s="4" t="s">
        <v>76</v>
      </c>
      <c r="B3207" s="4" t="s">
        <v>23</v>
      </c>
      <c r="C3207" s="4" t="s">
        <v>34</v>
      </c>
      <c r="D3207" s="4">
        <v>2006</v>
      </c>
      <c r="E3207" s="4">
        <v>3398.1617415514593</v>
      </c>
      <c r="F3207" s="4" t="s">
        <v>29</v>
      </c>
    </row>
    <row r="3208" spans="1:6" x14ac:dyDescent="0.25">
      <c r="A3208" s="4" t="s">
        <v>76</v>
      </c>
      <c r="B3208" s="4" t="s">
        <v>23</v>
      </c>
      <c r="C3208" s="4" t="s">
        <v>34</v>
      </c>
      <c r="D3208" s="4">
        <v>2007</v>
      </c>
      <c r="E3208" s="4">
        <v>3531.5109030977987</v>
      </c>
      <c r="F3208" s="4" t="s">
        <v>29</v>
      </c>
    </row>
    <row r="3209" spans="1:6" x14ac:dyDescent="0.25">
      <c r="A3209" s="4" t="s">
        <v>76</v>
      </c>
      <c r="B3209" s="4" t="s">
        <v>23</v>
      </c>
      <c r="C3209" s="4" t="s">
        <v>34</v>
      </c>
      <c r="D3209" s="4">
        <v>2008</v>
      </c>
      <c r="E3209" s="4">
        <v>3746.5833333333339</v>
      </c>
      <c r="F3209" s="4" t="s">
        <v>29</v>
      </c>
    </row>
    <row r="3210" spans="1:6" x14ac:dyDescent="0.25">
      <c r="A3210" s="4" t="s">
        <v>76</v>
      </c>
      <c r="B3210" s="4" t="s">
        <v>23</v>
      </c>
      <c r="C3210" s="4" t="s">
        <v>34</v>
      </c>
      <c r="D3210" s="4">
        <v>2009</v>
      </c>
      <c r="E3210" s="4">
        <v>4116.2247580645162</v>
      </c>
      <c r="F3210" s="4" t="s">
        <v>29</v>
      </c>
    </row>
    <row r="3211" spans="1:6" x14ac:dyDescent="0.25">
      <c r="A3211" s="4" t="s">
        <v>76</v>
      </c>
      <c r="B3211" s="4" t="s">
        <v>23</v>
      </c>
      <c r="C3211" s="4" t="s">
        <v>34</v>
      </c>
      <c r="D3211" s="4">
        <v>2010</v>
      </c>
      <c r="E3211" s="4">
        <v>4763.6846684587817</v>
      </c>
      <c r="F3211" s="4" t="s">
        <v>29</v>
      </c>
    </row>
    <row r="3212" spans="1:6" x14ac:dyDescent="0.25">
      <c r="A3212" s="4" t="s">
        <v>76</v>
      </c>
      <c r="B3212" s="4" t="s">
        <v>23</v>
      </c>
      <c r="C3212" s="4" t="s">
        <v>34</v>
      </c>
      <c r="D3212" s="4">
        <v>2011</v>
      </c>
      <c r="E3212" s="4">
        <v>6462.2715092165899</v>
      </c>
      <c r="F3212" s="4" t="s">
        <v>29</v>
      </c>
    </row>
    <row r="3213" spans="1:6" x14ac:dyDescent="0.25">
      <c r="A3213" s="4" t="s">
        <v>76</v>
      </c>
      <c r="B3213" s="4" t="s">
        <v>23</v>
      </c>
      <c r="C3213" s="4" t="s">
        <v>34</v>
      </c>
      <c r="D3213" s="4">
        <v>2012</v>
      </c>
      <c r="E3213" s="4">
        <v>8094.5645528982814</v>
      </c>
      <c r="F3213" s="4" t="s">
        <v>29</v>
      </c>
    </row>
    <row r="3214" spans="1:6" x14ac:dyDescent="0.25">
      <c r="A3214" s="4" t="s">
        <v>76</v>
      </c>
      <c r="B3214" s="4" t="s">
        <v>23</v>
      </c>
      <c r="C3214" s="4" t="s">
        <v>34</v>
      </c>
      <c r="D3214" s="4">
        <v>2013</v>
      </c>
      <c r="E3214" s="4">
        <v>8262.7367191500271</v>
      </c>
      <c r="F3214" s="4" t="s">
        <v>29</v>
      </c>
    </row>
    <row r="3215" spans="1:6" x14ac:dyDescent="0.25">
      <c r="A3215" s="4" t="s">
        <v>76</v>
      </c>
      <c r="B3215" s="4" t="s">
        <v>23</v>
      </c>
      <c r="C3215" s="4" t="s">
        <v>34</v>
      </c>
      <c r="D3215" s="4">
        <v>2014</v>
      </c>
      <c r="E3215" s="4">
        <v>7781.3506688428042</v>
      </c>
      <c r="F3215" s="4" t="s">
        <v>29</v>
      </c>
    </row>
    <row r="3216" spans="1:6" x14ac:dyDescent="0.25">
      <c r="A3216" s="4" t="s">
        <v>76</v>
      </c>
      <c r="B3216" s="4" t="s">
        <v>23</v>
      </c>
      <c r="C3216" s="4" t="s">
        <v>34</v>
      </c>
      <c r="D3216" s="4">
        <v>2015</v>
      </c>
      <c r="E3216" s="4">
        <v>7282.7969105222728</v>
      </c>
      <c r="F3216" s="4" t="s">
        <v>29</v>
      </c>
    </row>
    <row r="3217" spans="1:6" x14ac:dyDescent="0.25">
      <c r="A3217" s="4" t="s">
        <v>76</v>
      </c>
      <c r="B3217" s="4" t="s">
        <v>23</v>
      </c>
      <c r="C3217" s="4" t="s">
        <v>34</v>
      </c>
      <c r="D3217" s="4">
        <v>2016</v>
      </c>
      <c r="E3217" s="4">
        <v>6380.9985653812873</v>
      </c>
      <c r="F3217" s="4" t="s">
        <v>29</v>
      </c>
    </row>
    <row r="3218" spans="1:6" x14ac:dyDescent="0.25">
      <c r="A3218" s="4" t="s">
        <v>76</v>
      </c>
      <c r="B3218" s="4" t="s">
        <v>23</v>
      </c>
      <c r="C3218" s="4" t="s">
        <v>34</v>
      </c>
      <c r="D3218" s="4">
        <v>2017</v>
      </c>
      <c r="E3218" s="4">
        <v>5830.8193436537013</v>
      </c>
      <c r="F3218" s="4" t="s">
        <v>29</v>
      </c>
    </row>
    <row r="3219" spans="1:6" x14ac:dyDescent="0.25">
      <c r="A3219" s="4" t="s">
        <v>76</v>
      </c>
      <c r="B3219" s="4" t="s">
        <v>23</v>
      </c>
      <c r="C3219" s="4" t="s">
        <v>34</v>
      </c>
      <c r="D3219" s="4">
        <v>2018</v>
      </c>
      <c r="E3219" s="4">
        <v>5370.0572684063036</v>
      </c>
      <c r="F3219" s="4" t="s">
        <v>29</v>
      </c>
    </row>
    <row r="3220" spans="1:6" x14ac:dyDescent="0.25">
      <c r="A3220" s="4" t="s">
        <v>76</v>
      </c>
      <c r="B3220" s="4" t="s">
        <v>23</v>
      </c>
      <c r="C3220" s="4" t="s">
        <v>34</v>
      </c>
      <c r="D3220" s="4">
        <v>2019</v>
      </c>
      <c r="E3220" s="4">
        <v>4951.1938705031926</v>
      </c>
      <c r="F3220" s="4" t="s">
        <v>29</v>
      </c>
    </row>
    <row r="3221" spans="1:6" x14ac:dyDescent="0.25">
      <c r="A3221" s="4" t="s">
        <v>76</v>
      </c>
      <c r="B3221" s="4" t="s">
        <v>23</v>
      </c>
      <c r="C3221" s="4" t="s">
        <v>34</v>
      </c>
      <c r="D3221" s="4">
        <v>2020</v>
      </c>
      <c r="E3221" s="4">
        <v>4613.176531405973</v>
      </c>
      <c r="F3221" s="4" t="s">
        <v>29</v>
      </c>
    </row>
    <row r="3222" spans="1:6" x14ac:dyDescent="0.25">
      <c r="A3222" s="4" t="s">
        <v>76</v>
      </c>
      <c r="B3222" s="4" t="s">
        <v>23</v>
      </c>
      <c r="C3222" s="4" t="s">
        <v>34</v>
      </c>
      <c r="D3222" s="4">
        <v>2021</v>
      </c>
      <c r="E3222" s="4">
        <v>4369.830982492359</v>
      </c>
      <c r="F3222" s="4" t="s">
        <v>29</v>
      </c>
    </row>
    <row r="3223" spans="1:6" x14ac:dyDescent="0.25">
      <c r="A3223" s="4" t="s">
        <v>76</v>
      </c>
      <c r="B3223" s="4" t="s">
        <v>23</v>
      </c>
      <c r="C3223" s="4" t="s">
        <v>34</v>
      </c>
      <c r="D3223" s="4">
        <v>2022</v>
      </c>
      <c r="E3223" s="4">
        <v>4225.3782626220191</v>
      </c>
      <c r="F3223" s="4" t="s">
        <v>29</v>
      </c>
    </row>
    <row r="3224" spans="1:6" x14ac:dyDescent="0.25">
      <c r="A3224" s="4" t="s">
        <v>76</v>
      </c>
      <c r="B3224" s="4" t="s">
        <v>23</v>
      </c>
      <c r="C3224" s="4" t="s">
        <v>34</v>
      </c>
      <c r="D3224" s="4">
        <v>2023</v>
      </c>
      <c r="E3224" s="4">
        <v>4171.2876727214516</v>
      </c>
      <c r="F3224" s="4" t="s">
        <v>29</v>
      </c>
    </row>
    <row r="3225" spans="1:6" x14ac:dyDescent="0.25">
      <c r="A3225" s="4" t="s">
        <v>76</v>
      </c>
      <c r="B3225" s="4" t="s">
        <v>23</v>
      </c>
      <c r="C3225" s="4" t="s">
        <v>34</v>
      </c>
      <c r="D3225" s="4">
        <v>2024</v>
      </c>
      <c r="E3225" s="4">
        <v>4191.052261001606</v>
      </c>
      <c r="F3225" s="4" t="s">
        <v>29</v>
      </c>
    </row>
    <row r="3226" spans="1:6" x14ac:dyDescent="0.25">
      <c r="A3226" s="4" t="s">
        <v>76</v>
      </c>
      <c r="B3226" s="4" t="s">
        <v>23</v>
      </c>
      <c r="C3226" s="4" t="s">
        <v>34</v>
      </c>
      <c r="D3226" s="4">
        <v>2025</v>
      </c>
      <c r="E3226" s="4">
        <v>4249.6813929066311</v>
      </c>
      <c r="F3226" s="4" t="s">
        <v>29</v>
      </c>
    </row>
    <row r="3227" spans="1:6" x14ac:dyDescent="0.25">
      <c r="A3227" s="4" t="s">
        <v>76</v>
      </c>
      <c r="B3227" s="4" t="s">
        <v>23</v>
      </c>
      <c r="C3227" s="4" t="s">
        <v>34</v>
      </c>
      <c r="D3227" s="4">
        <v>2026</v>
      </c>
      <c r="E3227" s="4">
        <v>4335.0419172862439</v>
      </c>
      <c r="F3227" s="4" t="s">
        <v>29</v>
      </c>
    </row>
    <row r="3228" spans="1:6" x14ac:dyDescent="0.25">
      <c r="A3228" s="4" t="s">
        <v>76</v>
      </c>
      <c r="B3228" s="4" t="s">
        <v>23</v>
      </c>
      <c r="C3228" s="4" t="s">
        <v>34</v>
      </c>
      <c r="D3228" s="4">
        <v>2027</v>
      </c>
      <c r="E3228" s="4">
        <v>4431.637443762912</v>
      </c>
      <c r="F3228" s="4" t="s">
        <v>29</v>
      </c>
    </row>
    <row r="3229" spans="1:6" x14ac:dyDescent="0.25">
      <c r="A3229" s="4" t="s">
        <v>76</v>
      </c>
      <c r="B3229" s="4" t="s">
        <v>23</v>
      </c>
      <c r="C3229" s="4" t="s">
        <v>34</v>
      </c>
      <c r="D3229" s="4">
        <v>2028</v>
      </c>
      <c r="E3229" s="4">
        <v>4528.3754934496974</v>
      </c>
      <c r="F3229" s="4" t="s">
        <v>29</v>
      </c>
    </row>
    <row r="3230" spans="1:6" x14ac:dyDescent="0.25">
      <c r="A3230" s="4" t="s">
        <v>76</v>
      </c>
      <c r="B3230" s="4" t="s">
        <v>23</v>
      </c>
      <c r="C3230" s="4" t="s">
        <v>34</v>
      </c>
      <c r="D3230" s="4">
        <v>2029</v>
      </c>
      <c r="E3230" s="4">
        <v>4621.6510124954357</v>
      </c>
      <c r="F3230" s="4" t="s">
        <v>29</v>
      </c>
    </row>
    <row r="3231" spans="1:6" x14ac:dyDescent="0.25">
      <c r="A3231" s="4" t="s">
        <v>76</v>
      </c>
      <c r="B3231" s="4" t="s">
        <v>23</v>
      </c>
      <c r="C3231" s="4" t="s">
        <v>34</v>
      </c>
      <c r="D3231" s="4">
        <v>2030</v>
      </c>
      <c r="E3231" s="4">
        <v>4711.1929643307758</v>
      </c>
      <c r="F3231" s="4" t="s">
        <v>29</v>
      </c>
    </row>
    <row r="3232" spans="1:6" x14ac:dyDescent="0.25">
      <c r="A3232" s="4" t="s">
        <v>76</v>
      </c>
      <c r="B3232" s="4" t="s">
        <v>23</v>
      </c>
      <c r="C3232" s="4" t="s">
        <v>34</v>
      </c>
      <c r="D3232" s="4">
        <v>2031</v>
      </c>
      <c r="E3232" s="4">
        <v>4795.2934250105636</v>
      </c>
      <c r="F3232" s="4" t="s">
        <v>29</v>
      </c>
    </row>
    <row r="3233" spans="1:6" x14ac:dyDescent="0.25">
      <c r="A3233" s="4" t="s">
        <v>76</v>
      </c>
      <c r="B3233" s="4" t="s">
        <v>23</v>
      </c>
      <c r="C3233" s="4" t="s">
        <v>34</v>
      </c>
      <c r="D3233" s="4">
        <v>2032</v>
      </c>
      <c r="E3233" s="4">
        <v>4872.6912148519486</v>
      </c>
      <c r="F3233" s="4" t="s">
        <v>29</v>
      </c>
    </row>
    <row r="3234" spans="1:6" x14ac:dyDescent="0.25">
      <c r="A3234" s="4" t="s">
        <v>76</v>
      </c>
      <c r="B3234" s="4" t="s">
        <v>23</v>
      </c>
      <c r="C3234" s="4" t="s">
        <v>34</v>
      </c>
      <c r="D3234" s="4">
        <v>2033</v>
      </c>
      <c r="E3234" s="4">
        <v>4944.1893841597748</v>
      </c>
      <c r="F3234" s="4" t="s">
        <v>29</v>
      </c>
    </row>
    <row r="3235" spans="1:6" x14ac:dyDescent="0.25">
      <c r="A3235" s="4" t="s">
        <v>76</v>
      </c>
      <c r="B3235" s="4" t="s">
        <v>23</v>
      </c>
      <c r="C3235" s="4" t="s">
        <v>34</v>
      </c>
      <c r="D3235" s="4">
        <v>2034</v>
      </c>
      <c r="E3235" s="4">
        <v>5008.6095575505979</v>
      </c>
      <c r="F3235" s="4" t="s">
        <v>29</v>
      </c>
    </row>
    <row r="3236" spans="1:6" x14ac:dyDescent="0.25">
      <c r="A3236" s="4" t="s">
        <v>76</v>
      </c>
      <c r="B3236" s="4" t="s">
        <v>23</v>
      </c>
      <c r="C3236" s="4" t="s">
        <v>34</v>
      </c>
      <c r="D3236" s="4">
        <v>2035</v>
      </c>
      <c r="E3236" s="4">
        <v>5064.7932933851944</v>
      </c>
      <c r="F3236" s="4" t="s">
        <v>29</v>
      </c>
    </row>
    <row r="3237" spans="1:6" x14ac:dyDescent="0.25">
      <c r="A3237" s="4" t="s">
        <v>76</v>
      </c>
      <c r="B3237" s="4" t="s">
        <v>23</v>
      </c>
      <c r="C3237" s="4" t="s">
        <v>34</v>
      </c>
      <c r="D3237" s="4">
        <v>2036</v>
      </c>
      <c r="E3237" s="4">
        <v>5108.2262915676793</v>
      </c>
      <c r="F3237" s="4" t="s">
        <v>29</v>
      </c>
    </row>
    <row r="3238" spans="1:6" x14ac:dyDescent="0.25">
      <c r="A3238" s="4" t="s">
        <v>76</v>
      </c>
      <c r="B3238" s="4" t="s">
        <v>23</v>
      </c>
      <c r="C3238" s="4" t="s">
        <v>34</v>
      </c>
      <c r="D3238" s="4">
        <v>2037</v>
      </c>
      <c r="E3238" s="4">
        <v>5123.8407256143419</v>
      </c>
      <c r="F3238" s="4" t="s">
        <v>29</v>
      </c>
    </row>
    <row r="3239" spans="1:6" x14ac:dyDescent="0.25">
      <c r="A3239" s="4" t="s">
        <v>76</v>
      </c>
      <c r="B3239" s="4" t="s">
        <v>23</v>
      </c>
      <c r="C3239" s="4" t="s">
        <v>34</v>
      </c>
      <c r="D3239" s="4">
        <v>2038</v>
      </c>
      <c r="E3239" s="4">
        <v>5122.425524309725</v>
      </c>
      <c r="F3239" s="4" t="s">
        <v>29</v>
      </c>
    </row>
    <row r="3240" spans="1:6" x14ac:dyDescent="0.25">
      <c r="A3240" s="4" t="s">
        <v>76</v>
      </c>
      <c r="B3240" s="4" t="s">
        <v>23</v>
      </c>
      <c r="C3240" s="4" t="s">
        <v>34</v>
      </c>
      <c r="D3240" s="4">
        <v>2039</v>
      </c>
      <c r="E3240" s="4">
        <v>5107.2631640759391</v>
      </c>
      <c r="F3240" s="4" t="s">
        <v>29</v>
      </c>
    </row>
    <row r="3241" spans="1:6" x14ac:dyDescent="0.25">
      <c r="A3241" s="4" t="s">
        <v>76</v>
      </c>
      <c r="B3241" s="4" t="s">
        <v>23</v>
      </c>
      <c r="C3241" s="4" t="s">
        <v>34</v>
      </c>
      <c r="D3241" s="4">
        <v>2040</v>
      </c>
      <c r="E3241" s="4">
        <v>5078.9589947879367</v>
      </c>
      <c r="F3241" s="4" t="s">
        <v>29</v>
      </c>
    </row>
    <row r="3242" spans="1:6" x14ac:dyDescent="0.25">
      <c r="A3242" s="4" t="s">
        <v>77</v>
      </c>
      <c r="B3242" s="4" t="s">
        <v>1</v>
      </c>
      <c r="C3242" s="4" t="s">
        <v>34</v>
      </c>
      <c r="D3242" s="4">
        <v>2005</v>
      </c>
      <c r="E3242" s="4">
        <v>380</v>
      </c>
      <c r="F3242" s="4" t="s">
        <v>29</v>
      </c>
    </row>
    <row r="3243" spans="1:6" x14ac:dyDescent="0.25">
      <c r="A3243" s="4" t="s">
        <v>77</v>
      </c>
      <c r="B3243" s="4" t="s">
        <v>1</v>
      </c>
      <c r="C3243" s="4" t="s">
        <v>34</v>
      </c>
      <c r="D3243" s="4">
        <v>2006</v>
      </c>
      <c r="E3243" s="4">
        <v>340</v>
      </c>
      <c r="F3243" s="4" t="s">
        <v>29</v>
      </c>
    </row>
    <row r="3244" spans="1:6" x14ac:dyDescent="0.25">
      <c r="A3244" s="4" t="s">
        <v>77</v>
      </c>
      <c r="B3244" s="4" t="s">
        <v>1</v>
      </c>
      <c r="C3244" s="4" t="s">
        <v>34</v>
      </c>
      <c r="D3244" s="4">
        <v>2007</v>
      </c>
      <c r="E3244" s="4">
        <v>300</v>
      </c>
      <c r="F3244" s="4" t="s">
        <v>29</v>
      </c>
    </row>
    <row r="3245" spans="1:6" x14ac:dyDescent="0.25">
      <c r="A3245" s="4" t="s">
        <v>77</v>
      </c>
      <c r="B3245" s="4" t="s">
        <v>1</v>
      </c>
      <c r="C3245" s="4" t="s">
        <v>34</v>
      </c>
      <c r="D3245" s="4">
        <v>2008</v>
      </c>
      <c r="E3245" s="4">
        <v>270</v>
      </c>
      <c r="F3245" s="4" t="s">
        <v>29</v>
      </c>
    </row>
    <row r="3246" spans="1:6" x14ac:dyDescent="0.25">
      <c r="A3246" s="4" t="s">
        <v>77</v>
      </c>
      <c r="B3246" s="4" t="s">
        <v>1</v>
      </c>
      <c r="C3246" s="4" t="s">
        <v>34</v>
      </c>
      <c r="D3246" s="4">
        <v>2009</v>
      </c>
      <c r="E3246" s="4">
        <v>250</v>
      </c>
      <c r="F3246" s="4" t="s">
        <v>29</v>
      </c>
    </row>
    <row r="3247" spans="1:6" x14ac:dyDescent="0.25">
      <c r="A3247" s="4" t="s">
        <v>77</v>
      </c>
      <c r="B3247" s="4" t="s">
        <v>1</v>
      </c>
      <c r="C3247" s="4" t="s">
        <v>34</v>
      </c>
      <c r="D3247" s="4">
        <v>2010</v>
      </c>
      <c r="E3247" s="4">
        <v>240</v>
      </c>
      <c r="F3247" s="4" t="s">
        <v>29</v>
      </c>
    </row>
    <row r="3248" spans="1:6" x14ac:dyDescent="0.25">
      <c r="A3248" s="4" t="s">
        <v>77</v>
      </c>
      <c r="B3248" s="4" t="s">
        <v>1</v>
      </c>
      <c r="C3248" s="4" t="s">
        <v>34</v>
      </c>
      <c r="D3248" s="4">
        <v>2011</v>
      </c>
      <c r="E3248" s="4">
        <v>220</v>
      </c>
      <c r="F3248" s="4" t="s">
        <v>29</v>
      </c>
    </row>
    <row r="3249" spans="1:6" x14ac:dyDescent="0.25">
      <c r="A3249" s="4" t="s">
        <v>77</v>
      </c>
      <c r="B3249" s="4" t="s">
        <v>1</v>
      </c>
      <c r="C3249" s="4" t="s">
        <v>34</v>
      </c>
      <c r="D3249" s="4">
        <v>2012</v>
      </c>
      <c r="E3249" s="4">
        <v>220</v>
      </c>
      <c r="F3249" s="4" t="s">
        <v>29</v>
      </c>
    </row>
    <row r="3250" spans="1:6" x14ac:dyDescent="0.25">
      <c r="A3250" s="4" t="s">
        <v>77</v>
      </c>
      <c r="B3250" s="4" t="s">
        <v>1</v>
      </c>
      <c r="C3250" s="4" t="s">
        <v>34</v>
      </c>
      <c r="D3250" s="4">
        <v>2013</v>
      </c>
      <c r="E3250" s="4">
        <v>200</v>
      </c>
      <c r="F3250" s="4" t="s">
        <v>29</v>
      </c>
    </row>
    <row r="3251" spans="1:6" x14ac:dyDescent="0.25">
      <c r="A3251" s="4" t="s">
        <v>77</v>
      </c>
      <c r="B3251" s="4" t="s">
        <v>1</v>
      </c>
      <c r="C3251" s="4" t="s">
        <v>34</v>
      </c>
      <c r="D3251" s="4">
        <v>2014</v>
      </c>
      <c r="E3251" s="4">
        <v>190</v>
      </c>
      <c r="F3251" s="4" t="s">
        <v>29</v>
      </c>
    </row>
    <row r="3252" spans="1:6" x14ac:dyDescent="0.25">
      <c r="A3252" s="4" t="s">
        <v>77</v>
      </c>
      <c r="B3252" s="4" t="s">
        <v>1</v>
      </c>
      <c r="C3252" s="4" t="s">
        <v>34</v>
      </c>
      <c r="D3252" s="4">
        <v>2015</v>
      </c>
      <c r="E3252" s="4">
        <v>157.3838965693806</v>
      </c>
      <c r="F3252" s="4" t="s">
        <v>29</v>
      </c>
    </row>
    <row r="3253" spans="1:6" x14ac:dyDescent="0.25">
      <c r="A3253" s="4" t="s">
        <v>77</v>
      </c>
      <c r="B3253" s="4" t="s">
        <v>1</v>
      </c>
      <c r="C3253" s="4" t="s">
        <v>34</v>
      </c>
      <c r="D3253" s="4">
        <v>2016</v>
      </c>
      <c r="E3253" s="4">
        <v>155.15005760368666</v>
      </c>
      <c r="F3253" s="4" t="s">
        <v>29</v>
      </c>
    </row>
    <row r="3254" spans="1:6" x14ac:dyDescent="0.25">
      <c r="A3254" s="4" t="s">
        <v>77</v>
      </c>
      <c r="B3254" s="4" t="s">
        <v>1</v>
      </c>
      <c r="C3254" s="4" t="s">
        <v>34</v>
      </c>
      <c r="D3254" s="4">
        <v>2017</v>
      </c>
      <c r="E3254" s="4">
        <v>94</v>
      </c>
      <c r="F3254" s="4" t="s">
        <v>29</v>
      </c>
    </row>
    <row r="3255" spans="1:6" x14ac:dyDescent="0.25">
      <c r="A3255" s="4" t="s">
        <v>77</v>
      </c>
      <c r="B3255" s="4" t="s">
        <v>1</v>
      </c>
      <c r="C3255" s="4" t="s">
        <v>34</v>
      </c>
      <c r="D3255" s="4">
        <v>2018</v>
      </c>
      <c r="E3255" s="4">
        <v>130</v>
      </c>
      <c r="F3255" s="4" t="s">
        <v>29</v>
      </c>
    </row>
    <row r="3256" spans="1:6" x14ac:dyDescent="0.25">
      <c r="A3256" s="4" t="s">
        <v>77</v>
      </c>
      <c r="B3256" s="4" t="s">
        <v>1</v>
      </c>
      <c r="C3256" s="4" t="s">
        <v>34</v>
      </c>
      <c r="D3256" s="4">
        <v>2019</v>
      </c>
      <c r="E3256" s="4">
        <v>145</v>
      </c>
      <c r="F3256" s="4" t="s">
        <v>29</v>
      </c>
    </row>
    <row r="3257" spans="1:6" x14ac:dyDescent="0.25">
      <c r="A3257" s="4" t="s">
        <v>77</v>
      </c>
      <c r="B3257" s="4" t="s">
        <v>1</v>
      </c>
      <c r="C3257" s="4" t="s">
        <v>34</v>
      </c>
      <c r="D3257" s="4">
        <v>2020</v>
      </c>
      <c r="E3257" s="4">
        <v>169</v>
      </c>
      <c r="F3257" s="4" t="s">
        <v>29</v>
      </c>
    </row>
    <row r="3258" spans="1:6" x14ac:dyDescent="0.25">
      <c r="A3258" s="4" t="s">
        <v>77</v>
      </c>
      <c r="B3258" s="4" t="s">
        <v>1</v>
      </c>
      <c r="C3258" s="4" t="s">
        <v>34</v>
      </c>
      <c r="D3258" s="4">
        <v>2021</v>
      </c>
      <c r="E3258" s="4">
        <v>171.15354678612073</v>
      </c>
      <c r="F3258" s="4" t="s">
        <v>29</v>
      </c>
    </row>
    <row r="3259" spans="1:6" x14ac:dyDescent="0.25">
      <c r="A3259" s="4" t="s">
        <v>77</v>
      </c>
      <c r="B3259" s="4" t="s">
        <v>1</v>
      </c>
      <c r="C3259" s="4" t="s">
        <v>34</v>
      </c>
      <c r="D3259" s="4">
        <v>2022</v>
      </c>
      <c r="E3259" s="4">
        <v>172.36342530650538</v>
      </c>
      <c r="F3259" s="4" t="s">
        <v>29</v>
      </c>
    </row>
    <row r="3260" spans="1:6" x14ac:dyDescent="0.25">
      <c r="A3260" s="4" t="s">
        <v>77</v>
      </c>
      <c r="B3260" s="4" t="s">
        <v>1</v>
      </c>
      <c r="C3260" s="4" t="s">
        <v>34</v>
      </c>
      <c r="D3260" s="4">
        <v>2023</v>
      </c>
      <c r="E3260" s="4">
        <v>173.53199090180374</v>
      </c>
      <c r="F3260" s="4" t="s">
        <v>29</v>
      </c>
    </row>
    <row r="3261" spans="1:6" x14ac:dyDescent="0.25">
      <c r="A3261" s="4" t="s">
        <v>77</v>
      </c>
      <c r="B3261" s="4" t="s">
        <v>1</v>
      </c>
      <c r="C3261" s="4" t="s">
        <v>34</v>
      </c>
      <c r="D3261" s="4">
        <v>2024</v>
      </c>
      <c r="E3261" s="4">
        <v>178.9548656174851</v>
      </c>
      <c r="F3261" s="4" t="s">
        <v>29</v>
      </c>
    </row>
    <row r="3262" spans="1:6" x14ac:dyDescent="0.25">
      <c r="A3262" s="4" t="s">
        <v>77</v>
      </c>
      <c r="B3262" s="4" t="s">
        <v>1</v>
      </c>
      <c r="C3262" s="4" t="s">
        <v>34</v>
      </c>
      <c r="D3262" s="4">
        <v>2025</v>
      </c>
      <c r="E3262" s="4">
        <v>184.25192963976266</v>
      </c>
      <c r="F3262" s="4" t="s">
        <v>29</v>
      </c>
    </row>
    <row r="3263" spans="1:6" x14ac:dyDescent="0.25">
      <c r="A3263" s="4" t="s">
        <v>77</v>
      </c>
      <c r="B3263" s="4" t="s">
        <v>1</v>
      </c>
      <c r="C3263" s="4" t="s">
        <v>34</v>
      </c>
      <c r="D3263" s="4">
        <v>2026</v>
      </c>
      <c r="E3263" s="4">
        <v>187.53090532608257</v>
      </c>
      <c r="F3263" s="4" t="s">
        <v>29</v>
      </c>
    </row>
    <row r="3264" spans="1:6" x14ac:dyDescent="0.25">
      <c r="A3264" s="4" t="s">
        <v>77</v>
      </c>
      <c r="B3264" s="4" t="s">
        <v>1</v>
      </c>
      <c r="C3264" s="4" t="s">
        <v>34</v>
      </c>
      <c r="D3264" s="4">
        <v>2027</v>
      </c>
      <c r="E3264" s="4">
        <v>190.58696452398908</v>
      </c>
      <c r="F3264" s="4" t="s">
        <v>29</v>
      </c>
    </row>
    <row r="3265" spans="1:6" x14ac:dyDescent="0.25">
      <c r="A3265" s="4" t="s">
        <v>77</v>
      </c>
      <c r="B3265" s="4" t="s">
        <v>1</v>
      </c>
      <c r="C3265" s="4" t="s">
        <v>34</v>
      </c>
      <c r="D3265" s="4">
        <v>2028</v>
      </c>
      <c r="E3265" s="4">
        <v>191.43154815686506</v>
      </c>
      <c r="F3265" s="4" t="s">
        <v>29</v>
      </c>
    </row>
    <row r="3266" spans="1:6" x14ac:dyDescent="0.25">
      <c r="A3266" s="4" t="s">
        <v>77</v>
      </c>
      <c r="B3266" s="4" t="s">
        <v>1</v>
      </c>
      <c r="C3266" s="4" t="s">
        <v>34</v>
      </c>
      <c r="D3266" s="4">
        <v>2029</v>
      </c>
      <c r="E3266" s="4">
        <v>187.54309483492875</v>
      </c>
      <c r="F3266" s="4" t="s">
        <v>29</v>
      </c>
    </row>
    <row r="3267" spans="1:6" x14ac:dyDescent="0.25">
      <c r="A3267" s="4" t="s">
        <v>77</v>
      </c>
      <c r="B3267" s="4" t="s">
        <v>1</v>
      </c>
      <c r="C3267" s="4" t="s">
        <v>34</v>
      </c>
      <c r="D3267" s="4">
        <v>2030</v>
      </c>
      <c r="E3267" s="4">
        <v>183.71326742461545</v>
      </c>
      <c r="F3267" s="4" t="s">
        <v>29</v>
      </c>
    </row>
    <row r="3268" spans="1:6" x14ac:dyDescent="0.25">
      <c r="A3268" s="4" t="s">
        <v>77</v>
      </c>
      <c r="B3268" s="4" t="s">
        <v>1</v>
      </c>
      <c r="C3268" s="4" t="s">
        <v>34</v>
      </c>
      <c r="D3268" s="4">
        <v>2031</v>
      </c>
      <c r="E3268" s="4">
        <v>179.94128225302498</v>
      </c>
      <c r="F3268" s="4" t="s">
        <v>29</v>
      </c>
    </row>
    <row r="3269" spans="1:6" x14ac:dyDescent="0.25">
      <c r="A3269" s="4" t="s">
        <v>77</v>
      </c>
      <c r="B3269" s="4" t="s">
        <v>1</v>
      </c>
      <c r="C3269" s="4" t="s">
        <v>34</v>
      </c>
      <c r="D3269" s="4">
        <v>2032</v>
      </c>
      <c r="E3269" s="4">
        <v>176.22636545812378</v>
      </c>
      <c r="F3269" s="4" t="s">
        <v>29</v>
      </c>
    </row>
    <row r="3270" spans="1:6" x14ac:dyDescent="0.25">
      <c r="A3270" s="4" t="s">
        <v>77</v>
      </c>
      <c r="B3270" s="4" t="s">
        <v>1</v>
      </c>
      <c r="C3270" s="4" t="s">
        <v>34</v>
      </c>
      <c r="D3270" s="4">
        <v>2033</v>
      </c>
      <c r="E3270" s="4">
        <v>174.46410180354252</v>
      </c>
      <c r="F3270" s="4" t="s">
        <v>29</v>
      </c>
    </row>
    <row r="3271" spans="1:6" x14ac:dyDescent="0.25">
      <c r="A3271" s="4" t="s">
        <v>77</v>
      </c>
      <c r="B3271" s="4" t="s">
        <v>1</v>
      </c>
      <c r="C3271" s="4" t="s">
        <v>34</v>
      </c>
      <c r="D3271" s="4">
        <v>2034</v>
      </c>
      <c r="E3271" s="4">
        <v>170.84207534218638</v>
      </c>
      <c r="F3271" s="4" t="s">
        <v>29</v>
      </c>
    </row>
    <row r="3272" spans="1:6" x14ac:dyDescent="0.25">
      <c r="A3272" s="4" t="s">
        <v>77</v>
      </c>
      <c r="B3272" s="4" t="s">
        <v>1</v>
      </c>
      <c r="C3272" s="4" t="s">
        <v>34</v>
      </c>
      <c r="D3272" s="4">
        <v>2035</v>
      </c>
      <c r="E3272" s="4">
        <v>167.27504299987697</v>
      </c>
      <c r="F3272" s="4" t="s">
        <v>29</v>
      </c>
    </row>
    <row r="3273" spans="1:6" x14ac:dyDescent="0.25">
      <c r="A3273" s="4" t="s">
        <v>77</v>
      </c>
      <c r="B3273" s="4" t="s">
        <v>1</v>
      </c>
      <c r="C3273" s="4" t="s">
        <v>34</v>
      </c>
      <c r="D3273" s="4">
        <v>2036</v>
      </c>
      <c r="E3273" s="4">
        <v>165.60229256987819</v>
      </c>
      <c r="F3273" s="4" t="s">
        <v>29</v>
      </c>
    </row>
    <row r="3274" spans="1:6" x14ac:dyDescent="0.25">
      <c r="A3274" s="4" t="s">
        <v>77</v>
      </c>
      <c r="B3274" s="4" t="s">
        <v>1</v>
      </c>
      <c r="C3274" s="4" t="s">
        <v>34</v>
      </c>
      <c r="D3274" s="4">
        <v>2037</v>
      </c>
      <c r="E3274" s="4">
        <v>162.12464442591076</v>
      </c>
      <c r="F3274" s="4" t="s">
        <v>29</v>
      </c>
    </row>
    <row r="3275" spans="1:6" x14ac:dyDescent="0.25">
      <c r="A3275" s="4" t="s">
        <v>77</v>
      </c>
      <c r="B3275" s="4" t="s">
        <v>1</v>
      </c>
      <c r="C3275" s="4" t="s">
        <v>34</v>
      </c>
      <c r="D3275" s="4">
        <v>2038</v>
      </c>
      <c r="E3275" s="4">
        <v>158.69998901556568</v>
      </c>
      <c r="F3275" s="4" t="s">
        <v>29</v>
      </c>
    </row>
    <row r="3276" spans="1:6" x14ac:dyDescent="0.25">
      <c r="A3276" s="4" t="s">
        <v>77</v>
      </c>
      <c r="B3276" s="4" t="s">
        <v>1</v>
      </c>
      <c r="C3276" s="4" t="s">
        <v>34</v>
      </c>
      <c r="D3276" s="4">
        <v>2039</v>
      </c>
      <c r="E3276" s="4">
        <v>157.11298912541</v>
      </c>
      <c r="F3276" s="4" t="s">
        <v>29</v>
      </c>
    </row>
    <row r="3277" spans="1:6" x14ac:dyDescent="0.25">
      <c r="A3277" s="4" t="s">
        <v>77</v>
      </c>
      <c r="B3277" s="4" t="s">
        <v>1</v>
      </c>
      <c r="C3277" s="4" t="s">
        <v>34</v>
      </c>
      <c r="D3277" s="4">
        <v>2040</v>
      </c>
      <c r="E3277" s="4">
        <v>153.77433810649504</v>
      </c>
      <c r="F3277" s="4" t="s">
        <v>29</v>
      </c>
    </row>
    <row r="3278" spans="1:6" x14ac:dyDescent="0.25">
      <c r="A3278" s="4" t="s">
        <v>77</v>
      </c>
      <c r="B3278" s="4" t="s">
        <v>23</v>
      </c>
      <c r="C3278" s="4" t="s">
        <v>34</v>
      </c>
      <c r="D3278" s="4">
        <v>2005</v>
      </c>
      <c r="E3278" s="4">
        <v>380</v>
      </c>
      <c r="F3278" s="4" t="s">
        <v>29</v>
      </c>
    </row>
    <row r="3279" spans="1:6" x14ac:dyDescent="0.25">
      <c r="A3279" s="4" t="s">
        <v>77</v>
      </c>
      <c r="B3279" s="4" t="s">
        <v>23</v>
      </c>
      <c r="C3279" s="4" t="s">
        <v>34</v>
      </c>
      <c r="D3279" s="4">
        <v>2006</v>
      </c>
      <c r="E3279" s="4">
        <v>340</v>
      </c>
      <c r="F3279" s="4" t="s">
        <v>29</v>
      </c>
    </row>
    <row r="3280" spans="1:6" x14ac:dyDescent="0.25">
      <c r="A3280" s="4" t="s">
        <v>77</v>
      </c>
      <c r="B3280" s="4" t="s">
        <v>23</v>
      </c>
      <c r="C3280" s="4" t="s">
        <v>34</v>
      </c>
      <c r="D3280" s="4">
        <v>2007</v>
      </c>
      <c r="E3280" s="4">
        <v>300</v>
      </c>
      <c r="F3280" s="4" t="s">
        <v>29</v>
      </c>
    </row>
    <row r="3281" spans="1:6" x14ac:dyDescent="0.25">
      <c r="A3281" s="4" t="s">
        <v>77</v>
      </c>
      <c r="B3281" s="4" t="s">
        <v>23</v>
      </c>
      <c r="C3281" s="4" t="s">
        <v>34</v>
      </c>
      <c r="D3281" s="4">
        <v>2008</v>
      </c>
      <c r="E3281" s="4">
        <v>270</v>
      </c>
      <c r="F3281" s="4" t="s">
        <v>29</v>
      </c>
    </row>
    <row r="3282" spans="1:6" x14ac:dyDescent="0.25">
      <c r="A3282" s="4" t="s">
        <v>77</v>
      </c>
      <c r="B3282" s="4" t="s">
        <v>23</v>
      </c>
      <c r="C3282" s="4" t="s">
        <v>34</v>
      </c>
      <c r="D3282" s="4">
        <v>2009</v>
      </c>
      <c r="E3282" s="4">
        <v>250</v>
      </c>
      <c r="F3282" s="4" t="s">
        <v>29</v>
      </c>
    </row>
    <row r="3283" spans="1:6" x14ac:dyDescent="0.25">
      <c r="A3283" s="4" t="s">
        <v>77</v>
      </c>
      <c r="B3283" s="4" t="s">
        <v>23</v>
      </c>
      <c r="C3283" s="4" t="s">
        <v>34</v>
      </c>
      <c r="D3283" s="4">
        <v>2010</v>
      </c>
      <c r="E3283" s="4">
        <v>240</v>
      </c>
      <c r="F3283" s="4" t="s">
        <v>29</v>
      </c>
    </row>
    <row r="3284" spans="1:6" x14ac:dyDescent="0.25">
      <c r="A3284" s="4" t="s">
        <v>77</v>
      </c>
      <c r="B3284" s="4" t="s">
        <v>23</v>
      </c>
      <c r="C3284" s="4" t="s">
        <v>34</v>
      </c>
      <c r="D3284" s="4">
        <v>2011</v>
      </c>
      <c r="E3284" s="4">
        <v>220</v>
      </c>
      <c r="F3284" s="4" t="s">
        <v>29</v>
      </c>
    </row>
    <row r="3285" spans="1:6" x14ac:dyDescent="0.25">
      <c r="A3285" s="4" t="s">
        <v>77</v>
      </c>
      <c r="B3285" s="4" t="s">
        <v>23</v>
      </c>
      <c r="C3285" s="4" t="s">
        <v>34</v>
      </c>
      <c r="D3285" s="4">
        <v>2012</v>
      </c>
      <c r="E3285" s="4">
        <v>220</v>
      </c>
      <c r="F3285" s="4" t="s">
        <v>29</v>
      </c>
    </row>
    <row r="3286" spans="1:6" x14ac:dyDescent="0.25">
      <c r="A3286" s="4" t="s">
        <v>77</v>
      </c>
      <c r="B3286" s="4" t="s">
        <v>23</v>
      </c>
      <c r="C3286" s="4" t="s">
        <v>34</v>
      </c>
      <c r="D3286" s="4">
        <v>2013</v>
      </c>
      <c r="E3286" s="4">
        <v>200</v>
      </c>
      <c r="F3286" s="4" t="s">
        <v>29</v>
      </c>
    </row>
    <row r="3287" spans="1:6" x14ac:dyDescent="0.25">
      <c r="A3287" s="4" t="s">
        <v>77</v>
      </c>
      <c r="B3287" s="4" t="s">
        <v>23</v>
      </c>
      <c r="C3287" s="4" t="s">
        <v>34</v>
      </c>
      <c r="D3287" s="4">
        <v>2014</v>
      </c>
      <c r="E3287" s="4">
        <v>190</v>
      </c>
      <c r="F3287" s="4" t="s">
        <v>29</v>
      </c>
    </row>
    <row r="3288" spans="1:6" x14ac:dyDescent="0.25">
      <c r="A3288" s="4" t="s">
        <v>77</v>
      </c>
      <c r="B3288" s="4" t="s">
        <v>23</v>
      </c>
      <c r="C3288" s="4" t="s">
        <v>34</v>
      </c>
      <c r="D3288" s="4">
        <v>2015</v>
      </c>
      <c r="E3288" s="4">
        <v>157.3838965693806</v>
      </c>
      <c r="F3288" s="4" t="s">
        <v>29</v>
      </c>
    </row>
    <row r="3289" spans="1:6" x14ac:dyDescent="0.25">
      <c r="A3289" s="4" t="s">
        <v>77</v>
      </c>
      <c r="B3289" s="4" t="s">
        <v>23</v>
      </c>
      <c r="C3289" s="4" t="s">
        <v>34</v>
      </c>
      <c r="D3289" s="4">
        <v>2016</v>
      </c>
      <c r="E3289" s="4">
        <v>155.15005760368666</v>
      </c>
      <c r="F3289" s="4" t="s">
        <v>29</v>
      </c>
    </row>
    <row r="3290" spans="1:6" x14ac:dyDescent="0.25">
      <c r="A3290" s="4" t="s">
        <v>77</v>
      </c>
      <c r="B3290" s="4" t="s">
        <v>23</v>
      </c>
      <c r="C3290" s="4" t="s">
        <v>34</v>
      </c>
      <c r="D3290" s="4">
        <v>2017</v>
      </c>
      <c r="E3290" s="4">
        <v>94</v>
      </c>
      <c r="F3290" s="4" t="s">
        <v>29</v>
      </c>
    </row>
    <row r="3291" spans="1:6" x14ac:dyDescent="0.25">
      <c r="A3291" s="4" t="s">
        <v>77</v>
      </c>
      <c r="B3291" s="4" t="s">
        <v>23</v>
      </c>
      <c r="C3291" s="4" t="s">
        <v>34</v>
      </c>
      <c r="D3291" s="4">
        <v>2018</v>
      </c>
      <c r="E3291" s="4">
        <v>130</v>
      </c>
      <c r="F3291" s="4" t="s">
        <v>29</v>
      </c>
    </row>
    <row r="3292" spans="1:6" x14ac:dyDescent="0.25">
      <c r="A3292" s="4" t="s">
        <v>77</v>
      </c>
      <c r="B3292" s="4" t="s">
        <v>23</v>
      </c>
      <c r="C3292" s="4" t="s">
        <v>34</v>
      </c>
      <c r="D3292" s="4">
        <v>2019</v>
      </c>
      <c r="E3292" s="4">
        <v>145</v>
      </c>
      <c r="F3292" s="4" t="s">
        <v>29</v>
      </c>
    </row>
    <row r="3293" spans="1:6" x14ac:dyDescent="0.25">
      <c r="A3293" s="4" t="s">
        <v>77</v>
      </c>
      <c r="B3293" s="4" t="s">
        <v>23</v>
      </c>
      <c r="C3293" s="4" t="s">
        <v>34</v>
      </c>
      <c r="D3293" s="4">
        <v>2020</v>
      </c>
      <c r="E3293" s="4">
        <v>169</v>
      </c>
      <c r="F3293" s="4" t="s">
        <v>29</v>
      </c>
    </row>
    <row r="3294" spans="1:6" x14ac:dyDescent="0.25">
      <c r="A3294" s="4" t="s">
        <v>77</v>
      </c>
      <c r="B3294" s="4" t="s">
        <v>23</v>
      </c>
      <c r="C3294" s="4" t="s">
        <v>34</v>
      </c>
      <c r="D3294" s="4">
        <v>2021</v>
      </c>
      <c r="E3294" s="4">
        <v>171.15354678612073</v>
      </c>
      <c r="F3294" s="4" t="s">
        <v>29</v>
      </c>
    </row>
    <row r="3295" spans="1:6" x14ac:dyDescent="0.25">
      <c r="A3295" s="4" t="s">
        <v>77</v>
      </c>
      <c r="B3295" s="4" t="s">
        <v>23</v>
      </c>
      <c r="C3295" s="4" t="s">
        <v>34</v>
      </c>
      <c r="D3295" s="4">
        <v>2022</v>
      </c>
      <c r="E3295" s="4">
        <v>172.36342530650538</v>
      </c>
      <c r="F3295" s="4" t="s">
        <v>29</v>
      </c>
    </row>
    <row r="3296" spans="1:6" x14ac:dyDescent="0.25">
      <c r="A3296" s="4" t="s">
        <v>77</v>
      </c>
      <c r="B3296" s="4" t="s">
        <v>23</v>
      </c>
      <c r="C3296" s="4" t="s">
        <v>34</v>
      </c>
      <c r="D3296" s="4">
        <v>2023</v>
      </c>
      <c r="E3296" s="4">
        <v>173.53199090180374</v>
      </c>
      <c r="F3296" s="4" t="s">
        <v>29</v>
      </c>
    </row>
    <row r="3297" spans="1:6" x14ac:dyDescent="0.25">
      <c r="A3297" s="4" t="s">
        <v>77</v>
      </c>
      <c r="B3297" s="4" t="s">
        <v>23</v>
      </c>
      <c r="C3297" s="4" t="s">
        <v>34</v>
      </c>
      <c r="D3297" s="4">
        <v>2024</v>
      </c>
      <c r="E3297" s="4">
        <v>178.9548656174851</v>
      </c>
      <c r="F3297" s="4" t="s">
        <v>29</v>
      </c>
    </row>
    <row r="3298" spans="1:6" x14ac:dyDescent="0.25">
      <c r="A3298" s="4" t="s">
        <v>77</v>
      </c>
      <c r="B3298" s="4" t="s">
        <v>23</v>
      </c>
      <c r="C3298" s="4" t="s">
        <v>34</v>
      </c>
      <c r="D3298" s="4">
        <v>2025</v>
      </c>
      <c r="E3298" s="4">
        <v>184.25192963976266</v>
      </c>
      <c r="F3298" s="4" t="s">
        <v>29</v>
      </c>
    </row>
    <row r="3299" spans="1:6" x14ac:dyDescent="0.25">
      <c r="A3299" s="4" t="s">
        <v>77</v>
      </c>
      <c r="B3299" s="4" t="s">
        <v>23</v>
      </c>
      <c r="C3299" s="4" t="s">
        <v>34</v>
      </c>
      <c r="D3299" s="4">
        <v>2026</v>
      </c>
      <c r="E3299" s="4">
        <v>187.53090532608257</v>
      </c>
      <c r="F3299" s="4" t="s">
        <v>29</v>
      </c>
    </row>
    <row r="3300" spans="1:6" x14ac:dyDescent="0.25">
      <c r="A3300" s="4" t="s">
        <v>77</v>
      </c>
      <c r="B3300" s="4" t="s">
        <v>23</v>
      </c>
      <c r="C3300" s="4" t="s">
        <v>34</v>
      </c>
      <c r="D3300" s="4">
        <v>2027</v>
      </c>
      <c r="E3300" s="4">
        <v>190.58696452398908</v>
      </c>
      <c r="F3300" s="4" t="s">
        <v>29</v>
      </c>
    </row>
    <row r="3301" spans="1:6" x14ac:dyDescent="0.25">
      <c r="A3301" s="4" t="s">
        <v>77</v>
      </c>
      <c r="B3301" s="4" t="s">
        <v>23</v>
      </c>
      <c r="C3301" s="4" t="s">
        <v>34</v>
      </c>
      <c r="D3301" s="4">
        <v>2028</v>
      </c>
      <c r="E3301" s="4">
        <v>191.43154815686506</v>
      </c>
      <c r="F3301" s="4" t="s">
        <v>29</v>
      </c>
    </row>
    <row r="3302" spans="1:6" x14ac:dyDescent="0.25">
      <c r="A3302" s="4" t="s">
        <v>77</v>
      </c>
      <c r="B3302" s="4" t="s">
        <v>23</v>
      </c>
      <c r="C3302" s="4" t="s">
        <v>34</v>
      </c>
      <c r="D3302" s="4">
        <v>2029</v>
      </c>
      <c r="E3302" s="4">
        <v>187.54309483492875</v>
      </c>
      <c r="F3302" s="4" t="s">
        <v>29</v>
      </c>
    </row>
    <row r="3303" spans="1:6" x14ac:dyDescent="0.25">
      <c r="A3303" s="4" t="s">
        <v>77</v>
      </c>
      <c r="B3303" s="4" t="s">
        <v>23</v>
      </c>
      <c r="C3303" s="4" t="s">
        <v>34</v>
      </c>
      <c r="D3303" s="4">
        <v>2030</v>
      </c>
      <c r="E3303" s="4">
        <v>183.71326742461545</v>
      </c>
      <c r="F3303" s="4" t="s">
        <v>29</v>
      </c>
    </row>
    <row r="3304" spans="1:6" x14ac:dyDescent="0.25">
      <c r="A3304" s="4" t="s">
        <v>77</v>
      </c>
      <c r="B3304" s="4" t="s">
        <v>23</v>
      </c>
      <c r="C3304" s="4" t="s">
        <v>34</v>
      </c>
      <c r="D3304" s="4">
        <v>2031</v>
      </c>
      <c r="E3304" s="4">
        <v>179.94128225302498</v>
      </c>
      <c r="F3304" s="4" t="s">
        <v>29</v>
      </c>
    </row>
    <row r="3305" spans="1:6" x14ac:dyDescent="0.25">
      <c r="A3305" s="4" t="s">
        <v>77</v>
      </c>
      <c r="B3305" s="4" t="s">
        <v>23</v>
      </c>
      <c r="C3305" s="4" t="s">
        <v>34</v>
      </c>
      <c r="D3305" s="4">
        <v>2032</v>
      </c>
      <c r="E3305" s="4">
        <v>176.22636545812378</v>
      </c>
      <c r="F3305" s="4" t="s">
        <v>29</v>
      </c>
    </row>
    <row r="3306" spans="1:6" x14ac:dyDescent="0.25">
      <c r="A3306" s="4" t="s">
        <v>77</v>
      </c>
      <c r="B3306" s="4" t="s">
        <v>23</v>
      </c>
      <c r="C3306" s="4" t="s">
        <v>34</v>
      </c>
      <c r="D3306" s="4">
        <v>2033</v>
      </c>
      <c r="E3306" s="4">
        <v>174.46410180354252</v>
      </c>
      <c r="F3306" s="4" t="s">
        <v>29</v>
      </c>
    </row>
    <row r="3307" spans="1:6" x14ac:dyDescent="0.25">
      <c r="A3307" s="4" t="s">
        <v>77</v>
      </c>
      <c r="B3307" s="4" t="s">
        <v>23</v>
      </c>
      <c r="C3307" s="4" t="s">
        <v>34</v>
      </c>
      <c r="D3307" s="4">
        <v>2034</v>
      </c>
      <c r="E3307" s="4">
        <v>170.84207534218638</v>
      </c>
      <c r="F3307" s="4" t="s">
        <v>29</v>
      </c>
    </row>
    <row r="3308" spans="1:6" x14ac:dyDescent="0.25">
      <c r="A3308" s="4" t="s">
        <v>77</v>
      </c>
      <c r="B3308" s="4" t="s">
        <v>23</v>
      </c>
      <c r="C3308" s="4" t="s">
        <v>34</v>
      </c>
      <c r="D3308" s="4">
        <v>2035</v>
      </c>
      <c r="E3308" s="4">
        <v>167.27504299987697</v>
      </c>
      <c r="F3308" s="4" t="s">
        <v>29</v>
      </c>
    </row>
    <row r="3309" spans="1:6" x14ac:dyDescent="0.25">
      <c r="A3309" s="4" t="s">
        <v>77</v>
      </c>
      <c r="B3309" s="4" t="s">
        <v>23</v>
      </c>
      <c r="C3309" s="4" t="s">
        <v>34</v>
      </c>
      <c r="D3309" s="4">
        <v>2036</v>
      </c>
      <c r="E3309" s="4">
        <v>165.60229256987819</v>
      </c>
      <c r="F3309" s="4" t="s">
        <v>29</v>
      </c>
    </row>
    <row r="3310" spans="1:6" x14ac:dyDescent="0.25">
      <c r="A3310" s="4" t="s">
        <v>77</v>
      </c>
      <c r="B3310" s="4" t="s">
        <v>23</v>
      </c>
      <c r="C3310" s="4" t="s">
        <v>34</v>
      </c>
      <c r="D3310" s="4">
        <v>2037</v>
      </c>
      <c r="E3310" s="4">
        <v>162.12464442591076</v>
      </c>
      <c r="F3310" s="4" t="s">
        <v>29</v>
      </c>
    </row>
    <row r="3311" spans="1:6" x14ac:dyDescent="0.25">
      <c r="A3311" s="4" t="s">
        <v>77</v>
      </c>
      <c r="B3311" s="4" t="s">
        <v>23</v>
      </c>
      <c r="C3311" s="4" t="s">
        <v>34</v>
      </c>
      <c r="D3311" s="4">
        <v>2038</v>
      </c>
      <c r="E3311" s="4">
        <v>158.69998901556568</v>
      </c>
      <c r="F3311" s="4" t="s">
        <v>29</v>
      </c>
    </row>
    <row r="3312" spans="1:6" x14ac:dyDescent="0.25">
      <c r="A3312" s="4" t="s">
        <v>77</v>
      </c>
      <c r="B3312" s="4" t="s">
        <v>23</v>
      </c>
      <c r="C3312" s="4" t="s">
        <v>34</v>
      </c>
      <c r="D3312" s="4">
        <v>2039</v>
      </c>
      <c r="E3312" s="4">
        <v>157.11298912541</v>
      </c>
      <c r="F3312" s="4" t="s">
        <v>29</v>
      </c>
    </row>
    <row r="3313" spans="1:6" x14ac:dyDescent="0.25">
      <c r="A3313" s="4" t="s">
        <v>77</v>
      </c>
      <c r="B3313" s="4" t="s">
        <v>23</v>
      </c>
      <c r="C3313" s="4" t="s">
        <v>34</v>
      </c>
      <c r="D3313" s="4">
        <v>2040</v>
      </c>
      <c r="E3313" s="4">
        <v>153.77433810649504</v>
      </c>
      <c r="F3313" s="4" t="s">
        <v>29</v>
      </c>
    </row>
    <row r="3314" spans="1:6" x14ac:dyDescent="0.25">
      <c r="A3314" s="4" t="s">
        <v>78</v>
      </c>
      <c r="B3314" s="4" t="s">
        <v>1</v>
      </c>
      <c r="C3314" s="4" t="s">
        <v>34</v>
      </c>
      <c r="D3314" s="4">
        <v>2005</v>
      </c>
      <c r="E3314" s="4">
        <v>0</v>
      </c>
      <c r="F3314" s="4" t="s">
        <v>29</v>
      </c>
    </row>
    <row r="3315" spans="1:6" x14ac:dyDescent="0.25">
      <c r="A3315" s="4" t="s">
        <v>78</v>
      </c>
      <c r="B3315" s="4" t="s">
        <v>1</v>
      </c>
      <c r="C3315" s="4" t="s">
        <v>34</v>
      </c>
      <c r="D3315" s="4">
        <v>2006</v>
      </c>
      <c r="E3315" s="4">
        <v>0</v>
      </c>
      <c r="F3315" s="4" t="s">
        <v>29</v>
      </c>
    </row>
    <row r="3316" spans="1:6" x14ac:dyDescent="0.25">
      <c r="A3316" s="4" t="s">
        <v>78</v>
      </c>
      <c r="B3316" s="4" t="s">
        <v>1</v>
      </c>
      <c r="C3316" s="4" t="s">
        <v>34</v>
      </c>
      <c r="D3316" s="4">
        <v>2007</v>
      </c>
      <c r="E3316" s="4">
        <v>0</v>
      </c>
      <c r="F3316" s="4" t="s">
        <v>29</v>
      </c>
    </row>
    <row r="3317" spans="1:6" x14ac:dyDescent="0.25">
      <c r="A3317" s="4" t="s">
        <v>78</v>
      </c>
      <c r="B3317" s="4" t="s">
        <v>1</v>
      </c>
      <c r="C3317" s="4" t="s">
        <v>34</v>
      </c>
      <c r="D3317" s="4">
        <v>2008</v>
      </c>
      <c r="E3317" s="4">
        <v>0</v>
      </c>
      <c r="F3317" s="4" t="s">
        <v>29</v>
      </c>
    </row>
    <row r="3318" spans="1:6" x14ac:dyDescent="0.25">
      <c r="A3318" s="4" t="s">
        <v>78</v>
      </c>
      <c r="B3318" s="4" t="s">
        <v>1</v>
      </c>
      <c r="C3318" s="4" t="s">
        <v>34</v>
      </c>
      <c r="D3318" s="4">
        <v>2009</v>
      </c>
      <c r="E3318" s="4">
        <v>0</v>
      </c>
      <c r="F3318" s="4" t="s">
        <v>29</v>
      </c>
    </row>
    <row r="3319" spans="1:6" x14ac:dyDescent="0.25">
      <c r="A3319" s="4" t="s">
        <v>78</v>
      </c>
      <c r="B3319" s="4" t="s">
        <v>1</v>
      </c>
      <c r="C3319" s="4" t="s">
        <v>34</v>
      </c>
      <c r="D3319" s="4">
        <v>2010</v>
      </c>
      <c r="E3319" s="4">
        <v>0</v>
      </c>
      <c r="F3319" s="4" t="s">
        <v>29</v>
      </c>
    </row>
    <row r="3320" spans="1:6" x14ac:dyDescent="0.25">
      <c r="A3320" s="4" t="s">
        <v>78</v>
      </c>
      <c r="B3320" s="4" t="s">
        <v>1</v>
      </c>
      <c r="C3320" s="4" t="s">
        <v>34</v>
      </c>
      <c r="D3320" s="4">
        <v>2011</v>
      </c>
      <c r="E3320" s="4">
        <v>0</v>
      </c>
      <c r="F3320" s="4" t="s">
        <v>29</v>
      </c>
    </row>
    <row r="3321" spans="1:6" x14ac:dyDescent="0.25">
      <c r="A3321" s="4" t="s">
        <v>78</v>
      </c>
      <c r="B3321" s="4" t="s">
        <v>1</v>
      </c>
      <c r="C3321" s="4" t="s">
        <v>34</v>
      </c>
      <c r="D3321" s="4">
        <v>2012</v>
      </c>
      <c r="E3321" s="4">
        <v>0</v>
      </c>
      <c r="F3321" s="4" t="s">
        <v>29</v>
      </c>
    </row>
    <row r="3322" spans="1:6" x14ac:dyDescent="0.25">
      <c r="A3322" s="4" t="s">
        <v>78</v>
      </c>
      <c r="B3322" s="4" t="s">
        <v>1</v>
      </c>
      <c r="C3322" s="4" t="s">
        <v>34</v>
      </c>
      <c r="D3322" s="4">
        <v>2013</v>
      </c>
      <c r="E3322" s="4">
        <v>0</v>
      </c>
      <c r="F3322" s="4" t="s">
        <v>29</v>
      </c>
    </row>
    <row r="3323" spans="1:6" x14ac:dyDescent="0.25">
      <c r="A3323" s="4" t="s">
        <v>78</v>
      </c>
      <c r="B3323" s="4" t="s">
        <v>1</v>
      </c>
      <c r="C3323" s="4" t="s">
        <v>34</v>
      </c>
      <c r="D3323" s="4">
        <v>2014</v>
      </c>
      <c r="E3323" s="4">
        <v>0</v>
      </c>
      <c r="F3323" s="4" t="s">
        <v>29</v>
      </c>
    </row>
    <row r="3324" spans="1:6" x14ac:dyDescent="0.25">
      <c r="A3324" s="4" t="s">
        <v>78</v>
      </c>
      <c r="B3324" s="4" t="s">
        <v>1</v>
      </c>
      <c r="C3324" s="4" t="s">
        <v>34</v>
      </c>
      <c r="D3324" s="4">
        <v>2015</v>
      </c>
      <c r="E3324" s="4">
        <v>0</v>
      </c>
      <c r="F3324" s="4" t="s">
        <v>29</v>
      </c>
    </row>
    <row r="3325" spans="1:6" x14ac:dyDescent="0.25">
      <c r="A3325" s="4" t="s">
        <v>78</v>
      </c>
      <c r="B3325" s="4" t="s">
        <v>1</v>
      </c>
      <c r="C3325" s="4" t="s">
        <v>34</v>
      </c>
      <c r="D3325" s="4">
        <v>2016</v>
      </c>
      <c r="E3325" s="4">
        <v>0</v>
      </c>
      <c r="F3325" s="4" t="s">
        <v>29</v>
      </c>
    </row>
    <row r="3326" spans="1:6" x14ac:dyDescent="0.25">
      <c r="A3326" s="4" t="s">
        <v>78</v>
      </c>
      <c r="B3326" s="4" t="s">
        <v>1</v>
      </c>
      <c r="C3326" s="4" t="s">
        <v>34</v>
      </c>
      <c r="D3326" s="4">
        <v>2017</v>
      </c>
      <c r="E3326" s="4">
        <v>0</v>
      </c>
      <c r="F3326" s="4" t="s">
        <v>29</v>
      </c>
    </row>
    <row r="3327" spans="1:6" x14ac:dyDescent="0.25">
      <c r="A3327" s="4" t="s">
        <v>78</v>
      </c>
      <c r="B3327" s="4" t="s">
        <v>1</v>
      </c>
      <c r="C3327" s="4" t="s">
        <v>34</v>
      </c>
      <c r="D3327" s="4">
        <v>2018</v>
      </c>
      <c r="E3327" s="4">
        <v>0</v>
      </c>
      <c r="F3327" s="4" t="s">
        <v>29</v>
      </c>
    </row>
    <row r="3328" spans="1:6" x14ac:dyDescent="0.25">
      <c r="A3328" s="4" t="s">
        <v>78</v>
      </c>
      <c r="B3328" s="4" t="s">
        <v>1</v>
      </c>
      <c r="C3328" s="4" t="s">
        <v>34</v>
      </c>
      <c r="D3328" s="4">
        <v>2019</v>
      </c>
      <c r="E3328" s="4">
        <v>0</v>
      </c>
      <c r="F3328" s="4" t="s">
        <v>29</v>
      </c>
    </row>
    <row r="3329" spans="1:6" x14ac:dyDescent="0.25">
      <c r="A3329" s="4" t="s">
        <v>78</v>
      </c>
      <c r="B3329" s="4" t="s">
        <v>1</v>
      </c>
      <c r="C3329" s="4" t="s">
        <v>34</v>
      </c>
      <c r="D3329" s="4">
        <v>2020</v>
      </c>
      <c r="E3329" s="4">
        <v>0</v>
      </c>
      <c r="F3329" s="4" t="s">
        <v>29</v>
      </c>
    </row>
    <row r="3330" spans="1:6" x14ac:dyDescent="0.25">
      <c r="A3330" s="4" t="s">
        <v>78</v>
      </c>
      <c r="B3330" s="4" t="s">
        <v>1</v>
      </c>
      <c r="C3330" s="4" t="s">
        <v>34</v>
      </c>
      <c r="D3330" s="4">
        <v>2021</v>
      </c>
      <c r="E3330" s="4">
        <v>0</v>
      </c>
      <c r="F3330" s="4" t="s">
        <v>29</v>
      </c>
    </row>
    <row r="3331" spans="1:6" x14ac:dyDescent="0.25">
      <c r="A3331" s="4" t="s">
        <v>78</v>
      </c>
      <c r="B3331" s="4" t="s">
        <v>1</v>
      </c>
      <c r="C3331" s="4" t="s">
        <v>34</v>
      </c>
      <c r="D3331" s="4">
        <v>2022</v>
      </c>
      <c r="E3331" s="4">
        <v>0</v>
      </c>
      <c r="F3331" s="4" t="s">
        <v>29</v>
      </c>
    </row>
    <row r="3332" spans="1:6" x14ac:dyDescent="0.25">
      <c r="A3332" s="4" t="s">
        <v>78</v>
      </c>
      <c r="B3332" s="4" t="s">
        <v>1</v>
      </c>
      <c r="C3332" s="4" t="s">
        <v>34</v>
      </c>
      <c r="D3332" s="4">
        <v>2023</v>
      </c>
      <c r="E3332" s="4">
        <v>0</v>
      </c>
      <c r="F3332" s="4" t="s">
        <v>29</v>
      </c>
    </row>
    <row r="3333" spans="1:6" x14ac:dyDescent="0.25">
      <c r="A3333" s="4" t="s">
        <v>78</v>
      </c>
      <c r="B3333" s="4" t="s">
        <v>1</v>
      </c>
      <c r="C3333" s="4" t="s">
        <v>34</v>
      </c>
      <c r="D3333" s="4">
        <v>2024</v>
      </c>
      <c r="E3333" s="4">
        <v>0</v>
      </c>
      <c r="F3333" s="4" t="s">
        <v>29</v>
      </c>
    </row>
    <row r="3334" spans="1:6" x14ac:dyDescent="0.25">
      <c r="A3334" s="4" t="s">
        <v>78</v>
      </c>
      <c r="B3334" s="4" t="s">
        <v>1</v>
      </c>
      <c r="C3334" s="4" t="s">
        <v>34</v>
      </c>
      <c r="D3334" s="4">
        <v>2025</v>
      </c>
      <c r="E3334" s="4">
        <v>0</v>
      </c>
      <c r="F3334" s="4" t="s">
        <v>29</v>
      </c>
    </row>
    <row r="3335" spans="1:6" x14ac:dyDescent="0.25">
      <c r="A3335" s="4" t="s">
        <v>78</v>
      </c>
      <c r="B3335" s="4" t="s">
        <v>1</v>
      </c>
      <c r="C3335" s="4" t="s">
        <v>34</v>
      </c>
      <c r="D3335" s="4">
        <v>2026</v>
      </c>
      <c r="E3335" s="4">
        <v>0</v>
      </c>
      <c r="F3335" s="4" t="s">
        <v>29</v>
      </c>
    </row>
    <row r="3336" spans="1:6" x14ac:dyDescent="0.25">
      <c r="A3336" s="4" t="s">
        <v>78</v>
      </c>
      <c r="B3336" s="4" t="s">
        <v>1</v>
      </c>
      <c r="C3336" s="4" t="s">
        <v>34</v>
      </c>
      <c r="D3336" s="4">
        <v>2027</v>
      </c>
      <c r="E3336" s="4">
        <v>0</v>
      </c>
      <c r="F3336" s="4" t="s">
        <v>29</v>
      </c>
    </row>
    <row r="3337" spans="1:6" x14ac:dyDescent="0.25">
      <c r="A3337" s="4" t="s">
        <v>78</v>
      </c>
      <c r="B3337" s="4" t="s">
        <v>1</v>
      </c>
      <c r="C3337" s="4" t="s">
        <v>34</v>
      </c>
      <c r="D3337" s="4">
        <v>2028</v>
      </c>
      <c r="E3337" s="4">
        <v>0</v>
      </c>
      <c r="F3337" s="4" t="s">
        <v>29</v>
      </c>
    </row>
    <row r="3338" spans="1:6" x14ac:dyDescent="0.25">
      <c r="A3338" s="4" t="s">
        <v>78</v>
      </c>
      <c r="B3338" s="4" t="s">
        <v>1</v>
      </c>
      <c r="C3338" s="4" t="s">
        <v>34</v>
      </c>
      <c r="D3338" s="4">
        <v>2029</v>
      </c>
      <c r="E3338" s="4">
        <v>0</v>
      </c>
      <c r="F3338" s="4" t="s">
        <v>29</v>
      </c>
    </row>
    <row r="3339" spans="1:6" x14ac:dyDescent="0.25">
      <c r="A3339" s="4" t="s">
        <v>78</v>
      </c>
      <c r="B3339" s="4" t="s">
        <v>1</v>
      </c>
      <c r="C3339" s="4" t="s">
        <v>34</v>
      </c>
      <c r="D3339" s="4">
        <v>2030</v>
      </c>
      <c r="E3339" s="4">
        <v>0</v>
      </c>
      <c r="F3339" s="4" t="s">
        <v>29</v>
      </c>
    </row>
    <row r="3340" spans="1:6" x14ac:dyDescent="0.25">
      <c r="A3340" s="4" t="s">
        <v>78</v>
      </c>
      <c r="B3340" s="4" t="s">
        <v>1</v>
      </c>
      <c r="C3340" s="4" t="s">
        <v>34</v>
      </c>
      <c r="D3340" s="4">
        <v>2031</v>
      </c>
      <c r="E3340" s="4">
        <v>0</v>
      </c>
      <c r="F3340" s="4" t="s">
        <v>29</v>
      </c>
    </row>
    <row r="3341" spans="1:6" x14ac:dyDescent="0.25">
      <c r="A3341" s="4" t="s">
        <v>78</v>
      </c>
      <c r="B3341" s="4" t="s">
        <v>1</v>
      </c>
      <c r="C3341" s="4" t="s">
        <v>34</v>
      </c>
      <c r="D3341" s="4">
        <v>2032</v>
      </c>
      <c r="E3341" s="4">
        <v>0</v>
      </c>
      <c r="F3341" s="4" t="s">
        <v>29</v>
      </c>
    </row>
    <row r="3342" spans="1:6" x14ac:dyDescent="0.25">
      <c r="A3342" s="4" t="s">
        <v>78</v>
      </c>
      <c r="B3342" s="4" t="s">
        <v>1</v>
      </c>
      <c r="C3342" s="4" t="s">
        <v>34</v>
      </c>
      <c r="D3342" s="4">
        <v>2033</v>
      </c>
      <c r="E3342" s="4">
        <v>0</v>
      </c>
      <c r="F3342" s="4" t="s">
        <v>29</v>
      </c>
    </row>
    <row r="3343" spans="1:6" x14ac:dyDescent="0.25">
      <c r="A3343" s="4" t="s">
        <v>78</v>
      </c>
      <c r="B3343" s="4" t="s">
        <v>1</v>
      </c>
      <c r="C3343" s="4" t="s">
        <v>34</v>
      </c>
      <c r="D3343" s="4">
        <v>2034</v>
      </c>
      <c r="E3343" s="4">
        <v>0</v>
      </c>
      <c r="F3343" s="4" t="s">
        <v>29</v>
      </c>
    </row>
    <row r="3344" spans="1:6" x14ac:dyDescent="0.25">
      <c r="A3344" s="4" t="s">
        <v>78</v>
      </c>
      <c r="B3344" s="4" t="s">
        <v>1</v>
      </c>
      <c r="C3344" s="4" t="s">
        <v>34</v>
      </c>
      <c r="D3344" s="4">
        <v>2035</v>
      </c>
      <c r="E3344" s="4">
        <v>0</v>
      </c>
      <c r="F3344" s="4" t="s">
        <v>29</v>
      </c>
    </row>
    <row r="3345" spans="1:6" x14ac:dyDescent="0.25">
      <c r="A3345" s="4" t="s">
        <v>78</v>
      </c>
      <c r="B3345" s="4" t="s">
        <v>1</v>
      </c>
      <c r="C3345" s="4" t="s">
        <v>34</v>
      </c>
      <c r="D3345" s="4">
        <v>2036</v>
      </c>
      <c r="E3345" s="4">
        <v>0</v>
      </c>
      <c r="F3345" s="4" t="s">
        <v>29</v>
      </c>
    </row>
    <row r="3346" spans="1:6" x14ac:dyDescent="0.25">
      <c r="A3346" s="4" t="s">
        <v>78</v>
      </c>
      <c r="B3346" s="4" t="s">
        <v>1</v>
      </c>
      <c r="C3346" s="4" t="s">
        <v>34</v>
      </c>
      <c r="D3346" s="4">
        <v>2037</v>
      </c>
      <c r="E3346" s="4">
        <v>0</v>
      </c>
      <c r="F3346" s="4" t="s">
        <v>29</v>
      </c>
    </row>
    <row r="3347" spans="1:6" x14ac:dyDescent="0.25">
      <c r="A3347" s="4" t="s">
        <v>78</v>
      </c>
      <c r="B3347" s="4" t="s">
        <v>1</v>
      </c>
      <c r="C3347" s="4" t="s">
        <v>34</v>
      </c>
      <c r="D3347" s="4">
        <v>2038</v>
      </c>
      <c r="E3347" s="4">
        <v>0</v>
      </c>
      <c r="F3347" s="4" t="s">
        <v>29</v>
      </c>
    </row>
    <row r="3348" spans="1:6" x14ac:dyDescent="0.25">
      <c r="A3348" s="4" t="s">
        <v>78</v>
      </c>
      <c r="B3348" s="4" t="s">
        <v>1</v>
      </c>
      <c r="C3348" s="4" t="s">
        <v>34</v>
      </c>
      <c r="D3348" s="4">
        <v>2039</v>
      </c>
      <c r="E3348" s="4">
        <v>0</v>
      </c>
      <c r="F3348" s="4" t="s">
        <v>29</v>
      </c>
    </row>
    <row r="3349" spans="1:6" x14ac:dyDescent="0.25">
      <c r="A3349" s="4" t="s">
        <v>78</v>
      </c>
      <c r="B3349" s="4" t="s">
        <v>1</v>
      </c>
      <c r="C3349" s="4" t="s">
        <v>34</v>
      </c>
      <c r="D3349" s="4">
        <v>2040</v>
      </c>
      <c r="E3349" s="4">
        <v>0</v>
      </c>
      <c r="F3349" s="4" t="s">
        <v>29</v>
      </c>
    </row>
    <row r="3350" spans="1:6" x14ac:dyDescent="0.25">
      <c r="A3350" s="4" t="s">
        <v>78</v>
      </c>
      <c r="B3350" s="4" t="s">
        <v>23</v>
      </c>
      <c r="C3350" s="4" t="s">
        <v>34</v>
      </c>
      <c r="D3350" s="4">
        <v>2005</v>
      </c>
      <c r="E3350" s="4">
        <v>0</v>
      </c>
      <c r="F3350" s="4" t="s">
        <v>29</v>
      </c>
    </row>
    <row r="3351" spans="1:6" x14ac:dyDescent="0.25">
      <c r="A3351" s="4" t="s">
        <v>78</v>
      </c>
      <c r="B3351" s="4" t="s">
        <v>23</v>
      </c>
      <c r="C3351" s="4" t="s">
        <v>34</v>
      </c>
      <c r="D3351" s="4">
        <v>2006</v>
      </c>
      <c r="E3351" s="4">
        <v>0</v>
      </c>
      <c r="F3351" s="4" t="s">
        <v>29</v>
      </c>
    </row>
    <row r="3352" spans="1:6" x14ac:dyDescent="0.25">
      <c r="A3352" s="4" t="s">
        <v>78</v>
      </c>
      <c r="B3352" s="4" t="s">
        <v>23</v>
      </c>
      <c r="C3352" s="4" t="s">
        <v>34</v>
      </c>
      <c r="D3352" s="4">
        <v>2007</v>
      </c>
      <c r="E3352" s="4">
        <v>0</v>
      </c>
      <c r="F3352" s="4" t="s">
        <v>29</v>
      </c>
    </row>
    <row r="3353" spans="1:6" x14ac:dyDescent="0.25">
      <c r="A3353" s="4" t="s">
        <v>78</v>
      </c>
      <c r="B3353" s="4" t="s">
        <v>23</v>
      </c>
      <c r="C3353" s="4" t="s">
        <v>34</v>
      </c>
      <c r="D3353" s="4">
        <v>2008</v>
      </c>
      <c r="E3353" s="4">
        <v>0</v>
      </c>
      <c r="F3353" s="4" t="s">
        <v>29</v>
      </c>
    </row>
    <row r="3354" spans="1:6" x14ac:dyDescent="0.25">
      <c r="A3354" s="4" t="s">
        <v>78</v>
      </c>
      <c r="B3354" s="4" t="s">
        <v>23</v>
      </c>
      <c r="C3354" s="4" t="s">
        <v>34</v>
      </c>
      <c r="D3354" s="4">
        <v>2009</v>
      </c>
      <c r="E3354" s="4">
        <v>0</v>
      </c>
      <c r="F3354" s="4" t="s">
        <v>29</v>
      </c>
    </row>
    <row r="3355" spans="1:6" x14ac:dyDescent="0.25">
      <c r="A3355" s="4" t="s">
        <v>78</v>
      </c>
      <c r="B3355" s="4" t="s">
        <v>23</v>
      </c>
      <c r="C3355" s="4" t="s">
        <v>34</v>
      </c>
      <c r="D3355" s="4">
        <v>2010</v>
      </c>
      <c r="E3355" s="4">
        <v>0</v>
      </c>
      <c r="F3355" s="4" t="s">
        <v>29</v>
      </c>
    </row>
    <row r="3356" spans="1:6" x14ac:dyDescent="0.25">
      <c r="A3356" s="4" t="s">
        <v>78</v>
      </c>
      <c r="B3356" s="4" t="s">
        <v>23</v>
      </c>
      <c r="C3356" s="4" t="s">
        <v>34</v>
      </c>
      <c r="D3356" s="4">
        <v>2011</v>
      </c>
      <c r="E3356" s="4">
        <v>0</v>
      </c>
      <c r="F3356" s="4" t="s">
        <v>29</v>
      </c>
    </row>
    <row r="3357" spans="1:6" x14ac:dyDescent="0.25">
      <c r="A3357" s="4" t="s">
        <v>78</v>
      </c>
      <c r="B3357" s="4" t="s">
        <v>23</v>
      </c>
      <c r="C3357" s="4" t="s">
        <v>34</v>
      </c>
      <c r="D3357" s="4">
        <v>2012</v>
      </c>
      <c r="E3357" s="4">
        <v>0</v>
      </c>
      <c r="F3357" s="4" t="s">
        <v>29</v>
      </c>
    </row>
    <row r="3358" spans="1:6" x14ac:dyDescent="0.25">
      <c r="A3358" s="4" t="s">
        <v>78</v>
      </c>
      <c r="B3358" s="4" t="s">
        <v>23</v>
      </c>
      <c r="C3358" s="4" t="s">
        <v>34</v>
      </c>
      <c r="D3358" s="4">
        <v>2013</v>
      </c>
      <c r="E3358" s="4">
        <v>0</v>
      </c>
      <c r="F3358" s="4" t="s">
        <v>29</v>
      </c>
    </row>
    <row r="3359" spans="1:6" x14ac:dyDescent="0.25">
      <c r="A3359" s="4" t="s">
        <v>78</v>
      </c>
      <c r="B3359" s="4" t="s">
        <v>23</v>
      </c>
      <c r="C3359" s="4" t="s">
        <v>34</v>
      </c>
      <c r="D3359" s="4">
        <v>2014</v>
      </c>
      <c r="E3359" s="4">
        <v>0</v>
      </c>
      <c r="F3359" s="4" t="s">
        <v>29</v>
      </c>
    </row>
    <row r="3360" spans="1:6" x14ac:dyDescent="0.25">
      <c r="A3360" s="4" t="s">
        <v>78</v>
      </c>
      <c r="B3360" s="4" t="s">
        <v>23</v>
      </c>
      <c r="C3360" s="4" t="s">
        <v>34</v>
      </c>
      <c r="D3360" s="4">
        <v>2015</v>
      </c>
      <c r="E3360" s="4">
        <v>0</v>
      </c>
      <c r="F3360" s="4" t="s">
        <v>29</v>
      </c>
    </row>
    <row r="3361" spans="1:6" x14ac:dyDescent="0.25">
      <c r="A3361" s="4" t="s">
        <v>78</v>
      </c>
      <c r="B3361" s="4" t="s">
        <v>23</v>
      </c>
      <c r="C3361" s="4" t="s">
        <v>34</v>
      </c>
      <c r="D3361" s="4">
        <v>2016</v>
      </c>
      <c r="E3361" s="4">
        <v>0</v>
      </c>
      <c r="F3361" s="4" t="s">
        <v>29</v>
      </c>
    </row>
    <row r="3362" spans="1:6" x14ac:dyDescent="0.25">
      <c r="A3362" s="4" t="s">
        <v>78</v>
      </c>
      <c r="B3362" s="4" t="s">
        <v>23</v>
      </c>
      <c r="C3362" s="4" t="s">
        <v>34</v>
      </c>
      <c r="D3362" s="4">
        <v>2017</v>
      </c>
      <c r="E3362" s="4">
        <v>0</v>
      </c>
      <c r="F3362" s="4" t="s">
        <v>29</v>
      </c>
    </row>
    <row r="3363" spans="1:6" x14ac:dyDescent="0.25">
      <c r="A3363" s="4" t="s">
        <v>78</v>
      </c>
      <c r="B3363" s="4" t="s">
        <v>23</v>
      </c>
      <c r="C3363" s="4" t="s">
        <v>34</v>
      </c>
      <c r="D3363" s="4">
        <v>2018</v>
      </c>
      <c r="E3363" s="4">
        <v>0</v>
      </c>
      <c r="F3363" s="4" t="s">
        <v>29</v>
      </c>
    </row>
    <row r="3364" spans="1:6" x14ac:dyDescent="0.25">
      <c r="A3364" s="4" t="s">
        <v>78</v>
      </c>
      <c r="B3364" s="4" t="s">
        <v>23</v>
      </c>
      <c r="C3364" s="4" t="s">
        <v>34</v>
      </c>
      <c r="D3364" s="4">
        <v>2019</v>
      </c>
      <c r="E3364" s="4">
        <v>0</v>
      </c>
      <c r="F3364" s="4" t="s">
        <v>29</v>
      </c>
    </row>
    <row r="3365" spans="1:6" x14ac:dyDescent="0.25">
      <c r="A3365" s="4" t="s">
        <v>78</v>
      </c>
      <c r="B3365" s="4" t="s">
        <v>23</v>
      </c>
      <c r="C3365" s="4" t="s">
        <v>34</v>
      </c>
      <c r="D3365" s="4">
        <v>2020</v>
      </c>
      <c r="E3365" s="4">
        <v>0</v>
      </c>
      <c r="F3365" s="4" t="s">
        <v>29</v>
      </c>
    </row>
    <row r="3366" spans="1:6" x14ac:dyDescent="0.25">
      <c r="A3366" s="4" t="s">
        <v>78</v>
      </c>
      <c r="B3366" s="4" t="s">
        <v>23</v>
      </c>
      <c r="C3366" s="4" t="s">
        <v>34</v>
      </c>
      <c r="D3366" s="4">
        <v>2021</v>
      </c>
      <c r="E3366" s="4">
        <v>0</v>
      </c>
      <c r="F3366" s="4" t="s">
        <v>29</v>
      </c>
    </row>
    <row r="3367" spans="1:6" x14ac:dyDescent="0.25">
      <c r="A3367" s="4" t="s">
        <v>78</v>
      </c>
      <c r="B3367" s="4" t="s">
        <v>23</v>
      </c>
      <c r="C3367" s="4" t="s">
        <v>34</v>
      </c>
      <c r="D3367" s="4">
        <v>2022</v>
      </c>
      <c r="E3367" s="4">
        <v>0</v>
      </c>
      <c r="F3367" s="4" t="s">
        <v>29</v>
      </c>
    </row>
    <row r="3368" spans="1:6" x14ac:dyDescent="0.25">
      <c r="A3368" s="4" t="s">
        <v>78</v>
      </c>
      <c r="B3368" s="4" t="s">
        <v>23</v>
      </c>
      <c r="C3368" s="4" t="s">
        <v>34</v>
      </c>
      <c r="D3368" s="4">
        <v>2023</v>
      </c>
      <c r="E3368" s="4">
        <v>0</v>
      </c>
      <c r="F3368" s="4" t="s">
        <v>29</v>
      </c>
    </row>
    <row r="3369" spans="1:6" x14ac:dyDescent="0.25">
      <c r="A3369" s="4" t="s">
        <v>78</v>
      </c>
      <c r="B3369" s="4" t="s">
        <v>23</v>
      </c>
      <c r="C3369" s="4" t="s">
        <v>34</v>
      </c>
      <c r="D3369" s="4">
        <v>2024</v>
      </c>
      <c r="E3369" s="4">
        <v>0</v>
      </c>
      <c r="F3369" s="4" t="s">
        <v>29</v>
      </c>
    </row>
    <row r="3370" spans="1:6" x14ac:dyDescent="0.25">
      <c r="A3370" s="4" t="s">
        <v>78</v>
      </c>
      <c r="B3370" s="4" t="s">
        <v>23</v>
      </c>
      <c r="C3370" s="4" t="s">
        <v>34</v>
      </c>
      <c r="D3370" s="4">
        <v>2025</v>
      </c>
      <c r="E3370" s="4">
        <v>0</v>
      </c>
      <c r="F3370" s="4" t="s">
        <v>29</v>
      </c>
    </row>
    <row r="3371" spans="1:6" x14ac:dyDescent="0.25">
      <c r="A3371" s="4" t="s">
        <v>78</v>
      </c>
      <c r="B3371" s="4" t="s">
        <v>23</v>
      </c>
      <c r="C3371" s="4" t="s">
        <v>34</v>
      </c>
      <c r="D3371" s="4">
        <v>2026</v>
      </c>
      <c r="E3371" s="4">
        <v>0</v>
      </c>
      <c r="F3371" s="4" t="s">
        <v>29</v>
      </c>
    </row>
    <row r="3372" spans="1:6" x14ac:dyDescent="0.25">
      <c r="A3372" s="4" t="s">
        <v>78</v>
      </c>
      <c r="B3372" s="4" t="s">
        <v>23</v>
      </c>
      <c r="C3372" s="4" t="s">
        <v>34</v>
      </c>
      <c r="D3372" s="4">
        <v>2027</v>
      </c>
      <c r="E3372" s="4">
        <v>0</v>
      </c>
      <c r="F3372" s="4" t="s">
        <v>29</v>
      </c>
    </row>
    <row r="3373" spans="1:6" x14ac:dyDescent="0.25">
      <c r="A3373" s="4" t="s">
        <v>78</v>
      </c>
      <c r="B3373" s="4" t="s">
        <v>23</v>
      </c>
      <c r="C3373" s="4" t="s">
        <v>34</v>
      </c>
      <c r="D3373" s="4">
        <v>2028</v>
      </c>
      <c r="E3373" s="4">
        <v>0</v>
      </c>
      <c r="F3373" s="4" t="s">
        <v>29</v>
      </c>
    </row>
    <row r="3374" spans="1:6" x14ac:dyDescent="0.25">
      <c r="A3374" s="4" t="s">
        <v>78</v>
      </c>
      <c r="B3374" s="4" t="s">
        <v>23</v>
      </c>
      <c r="C3374" s="4" t="s">
        <v>34</v>
      </c>
      <c r="D3374" s="4">
        <v>2029</v>
      </c>
      <c r="E3374" s="4">
        <v>0</v>
      </c>
      <c r="F3374" s="4" t="s">
        <v>29</v>
      </c>
    </row>
    <row r="3375" spans="1:6" x14ac:dyDescent="0.25">
      <c r="A3375" s="4" t="s">
        <v>78</v>
      </c>
      <c r="B3375" s="4" t="s">
        <v>23</v>
      </c>
      <c r="C3375" s="4" t="s">
        <v>34</v>
      </c>
      <c r="D3375" s="4">
        <v>2030</v>
      </c>
      <c r="E3375" s="4">
        <v>0</v>
      </c>
      <c r="F3375" s="4" t="s">
        <v>29</v>
      </c>
    </row>
    <row r="3376" spans="1:6" x14ac:dyDescent="0.25">
      <c r="A3376" s="4" t="s">
        <v>78</v>
      </c>
      <c r="B3376" s="4" t="s">
        <v>23</v>
      </c>
      <c r="C3376" s="4" t="s">
        <v>34</v>
      </c>
      <c r="D3376" s="4">
        <v>2031</v>
      </c>
      <c r="E3376" s="4">
        <v>0</v>
      </c>
      <c r="F3376" s="4" t="s">
        <v>29</v>
      </c>
    </row>
    <row r="3377" spans="1:6" x14ac:dyDescent="0.25">
      <c r="A3377" s="4" t="s">
        <v>78</v>
      </c>
      <c r="B3377" s="4" t="s">
        <v>23</v>
      </c>
      <c r="C3377" s="4" t="s">
        <v>34</v>
      </c>
      <c r="D3377" s="4">
        <v>2032</v>
      </c>
      <c r="E3377" s="4">
        <v>0</v>
      </c>
      <c r="F3377" s="4" t="s">
        <v>29</v>
      </c>
    </row>
    <row r="3378" spans="1:6" x14ac:dyDescent="0.25">
      <c r="A3378" s="4" t="s">
        <v>78</v>
      </c>
      <c r="B3378" s="4" t="s">
        <v>23</v>
      </c>
      <c r="C3378" s="4" t="s">
        <v>34</v>
      </c>
      <c r="D3378" s="4">
        <v>2033</v>
      </c>
      <c r="E3378" s="4">
        <v>0</v>
      </c>
      <c r="F3378" s="4" t="s">
        <v>29</v>
      </c>
    </row>
    <row r="3379" spans="1:6" x14ac:dyDescent="0.25">
      <c r="A3379" s="4" t="s">
        <v>78</v>
      </c>
      <c r="B3379" s="4" t="s">
        <v>23</v>
      </c>
      <c r="C3379" s="4" t="s">
        <v>34</v>
      </c>
      <c r="D3379" s="4">
        <v>2034</v>
      </c>
      <c r="E3379" s="4">
        <v>0</v>
      </c>
      <c r="F3379" s="4" t="s">
        <v>29</v>
      </c>
    </row>
    <row r="3380" spans="1:6" x14ac:dyDescent="0.25">
      <c r="A3380" s="4" t="s">
        <v>78</v>
      </c>
      <c r="B3380" s="4" t="s">
        <v>23</v>
      </c>
      <c r="C3380" s="4" t="s">
        <v>34</v>
      </c>
      <c r="D3380" s="4">
        <v>2035</v>
      </c>
      <c r="E3380" s="4">
        <v>0</v>
      </c>
      <c r="F3380" s="4" t="s">
        <v>29</v>
      </c>
    </row>
    <row r="3381" spans="1:6" x14ac:dyDescent="0.25">
      <c r="A3381" s="4" t="s">
        <v>78</v>
      </c>
      <c r="B3381" s="4" t="s">
        <v>23</v>
      </c>
      <c r="C3381" s="4" t="s">
        <v>34</v>
      </c>
      <c r="D3381" s="4">
        <v>2036</v>
      </c>
      <c r="E3381" s="4">
        <v>0</v>
      </c>
      <c r="F3381" s="4" t="s">
        <v>29</v>
      </c>
    </row>
    <row r="3382" spans="1:6" x14ac:dyDescent="0.25">
      <c r="A3382" s="4" t="s">
        <v>78</v>
      </c>
      <c r="B3382" s="4" t="s">
        <v>23</v>
      </c>
      <c r="C3382" s="4" t="s">
        <v>34</v>
      </c>
      <c r="D3382" s="4">
        <v>2037</v>
      </c>
      <c r="E3382" s="4">
        <v>0</v>
      </c>
      <c r="F3382" s="4" t="s">
        <v>29</v>
      </c>
    </row>
    <row r="3383" spans="1:6" x14ac:dyDescent="0.25">
      <c r="A3383" s="4" t="s">
        <v>78</v>
      </c>
      <c r="B3383" s="4" t="s">
        <v>23</v>
      </c>
      <c r="C3383" s="4" t="s">
        <v>34</v>
      </c>
      <c r="D3383" s="4">
        <v>2038</v>
      </c>
      <c r="E3383" s="4">
        <v>0</v>
      </c>
      <c r="F3383" s="4" t="s">
        <v>29</v>
      </c>
    </row>
    <row r="3384" spans="1:6" x14ac:dyDescent="0.25">
      <c r="A3384" s="4" t="s">
        <v>78</v>
      </c>
      <c r="B3384" s="4" t="s">
        <v>23</v>
      </c>
      <c r="C3384" s="4" t="s">
        <v>34</v>
      </c>
      <c r="D3384" s="4">
        <v>2039</v>
      </c>
      <c r="E3384" s="4">
        <v>0</v>
      </c>
      <c r="F3384" s="4" t="s">
        <v>29</v>
      </c>
    </row>
    <row r="3385" spans="1:6" x14ac:dyDescent="0.25">
      <c r="A3385" s="4" t="s">
        <v>78</v>
      </c>
      <c r="B3385" s="4" t="s">
        <v>23</v>
      </c>
      <c r="C3385" s="4" t="s">
        <v>34</v>
      </c>
      <c r="D3385" s="4">
        <v>2040</v>
      </c>
      <c r="E3385" s="4">
        <v>0</v>
      </c>
      <c r="F3385" s="4" t="s">
        <v>29</v>
      </c>
    </row>
    <row r="3386" spans="1:6" x14ac:dyDescent="0.25">
      <c r="A3386" s="4" t="s">
        <v>79</v>
      </c>
      <c r="B3386" s="4" t="s">
        <v>1</v>
      </c>
      <c r="C3386" s="4" t="s">
        <v>34</v>
      </c>
      <c r="D3386" s="4">
        <v>2005</v>
      </c>
      <c r="E3386" s="4">
        <v>0</v>
      </c>
      <c r="F3386" s="4" t="s">
        <v>29</v>
      </c>
    </row>
    <row r="3387" spans="1:6" x14ac:dyDescent="0.25">
      <c r="A3387" s="4" t="s">
        <v>79</v>
      </c>
      <c r="B3387" s="4" t="s">
        <v>1</v>
      </c>
      <c r="C3387" s="4" t="s">
        <v>34</v>
      </c>
      <c r="D3387" s="4">
        <v>2006</v>
      </c>
      <c r="E3387" s="4">
        <v>0</v>
      </c>
      <c r="F3387" s="4" t="s">
        <v>29</v>
      </c>
    </row>
    <row r="3388" spans="1:6" x14ac:dyDescent="0.25">
      <c r="A3388" s="4" t="s">
        <v>79</v>
      </c>
      <c r="B3388" s="4" t="s">
        <v>1</v>
      </c>
      <c r="C3388" s="4" t="s">
        <v>34</v>
      </c>
      <c r="D3388" s="4">
        <v>2007</v>
      </c>
      <c r="E3388" s="4">
        <v>0</v>
      </c>
      <c r="F3388" s="4" t="s">
        <v>29</v>
      </c>
    </row>
    <row r="3389" spans="1:6" x14ac:dyDescent="0.25">
      <c r="A3389" s="4" t="s">
        <v>79</v>
      </c>
      <c r="B3389" s="4" t="s">
        <v>1</v>
      </c>
      <c r="C3389" s="4" t="s">
        <v>34</v>
      </c>
      <c r="D3389" s="4">
        <v>2008</v>
      </c>
      <c r="E3389" s="4">
        <v>0</v>
      </c>
      <c r="F3389" s="4" t="s">
        <v>29</v>
      </c>
    </row>
    <row r="3390" spans="1:6" x14ac:dyDescent="0.25">
      <c r="A3390" s="4" t="s">
        <v>79</v>
      </c>
      <c r="B3390" s="4" t="s">
        <v>1</v>
      </c>
      <c r="C3390" s="4" t="s">
        <v>34</v>
      </c>
      <c r="D3390" s="4">
        <v>2009</v>
      </c>
      <c r="E3390" s="4">
        <v>0</v>
      </c>
      <c r="F3390" s="4" t="s">
        <v>29</v>
      </c>
    </row>
    <row r="3391" spans="1:6" x14ac:dyDescent="0.25">
      <c r="A3391" s="4" t="s">
        <v>79</v>
      </c>
      <c r="B3391" s="4" t="s">
        <v>1</v>
      </c>
      <c r="C3391" s="4" t="s">
        <v>34</v>
      </c>
      <c r="D3391" s="4">
        <v>2010</v>
      </c>
      <c r="E3391" s="4">
        <v>0</v>
      </c>
      <c r="F3391" s="4" t="s">
        <v>29</v>
      </c>
    </row>
    <row r="3392" spans="1:6" x14ac:dyDescent="0.25">
      <c r="A3392" s="4" t="s">
        <v>79</v>
      </c>
      <c r="B3392" s="4" t="s">
        <v>1</v>
      </c>
      <c r="C3392" s="4" t="s">
        <v>34</v>
      </c>
      <c r="D3392" s="4">
        <v>2011</v>
      </c>
      <c r="E3392" s="4">
        <v>0</v>
      </c>
      <c r="F3392" s="4" t="s">
        <v>29</v>
      </c>
    </row>
    <row r="3393" spans="1:6" x14ac:dyDescent="0.25">
      <c r="A3393" s="4" t="s">
        <v>79</v>
      </c>
      <c r="B3393" s="4" t="s">
        <v>1</v>
      </c>
      <c r="C3393" s="4" t="s">
        <v>34</v>
      </c>
      <c r="D3393" s="4">
        <v>2012</v>
      </c>
      <c r="E3393" s="4">
        <v>0</v>
      </c>
      <c r="F3393" s="4" t="s">
        <v>29</v>
      </c>
    </row>
    <row r="3394" spans="1:6" x14ac:dyDescent="0.25">
      <c r="A3394" s="4" t="s">
        <v>79</v>
      </c>
      <c r="B3394" s="4" t="s">
        <v>1</v>
      </c>
      <c r="C3394" s="4" t="s">
        <v>34</v>
      </c>
      <c r="D3394" s="4">
        <v>2013</v>
      </c>
      <c r="E3394" s="4">
        <v>0</v>
      </c>
      <c r="F3394" s="4" t="s">
        <v>29</v>
      </c>
    </row>
    <row r="3395" spans="1:6" x14ac:dyDescent="0.25">
      <c r="A3395" s="4" t="s">
        <v>79</v>
      </c>
      <c r="B3395" s="4" t="s">
        <v>1</v>
      </c>
      <c r="C3395" s="4" t="s">
        <v>34</v>
      </c>
      <c r="D3395" s="4">
        <v>2014</v>
      </c>
      <c r="E3395" s="4">
        <v>0</v>
      </c>
      <c r="F3395" s="4" t="s">
        <v>29</v>
      </c>
    </row>
    <row r="3396" spans="1:6" x14ac:dyDescent="0.25">
      <c r="A3396" s="4" t="s">
        <v>79</v>
      </c>
      <c r="B3396" s="4" t="s">
        <v>1</v>
      </c>
      <c r="C3396" s="4" t="s">
        <v>34</v>
      </c>
      <c r="D3396" s="4">
        <v>2015</v>
      </c>
      <c r="E3396" s="4">
        <v>0</v>
      </c>
      <c r="F3396" s="4" t="s">
        <v>29</v>
      </c>
    </row>
    <row r="3397" spans="1:6" x14ac:dyDescent="0.25">
      <c r="A3397" s="4" t="s">
        <v>79</v>
      </c>
      <c r="B3397" s="4" t="s">
        <v>1</v>
      </c>
      <c r="C3397" s="4" t="s">
        <v>34</v>
      </c>
      <c r="D3397" s="4">
        <v>2016</v>
      </c>
      <c r="E3397" s="4">
        <v>0</v>
      </c>
      <c r="F3397" s="4" t="s">
        <v>29</v>
      </c>
    </row>
    <row r="3398" spans="1:6" x14ac:dyDescent="0.25">
      <c r="A3398" s="4" t="s">
        <v>79</v>
      </c>
      <c r="B3398" s="4" t="s">
        <v>1</v>
      </c>
      <c r="C3398" s="4" t="s">
        <v>34</v>
      </c>
      <c r="D3398" s="4">
        <v>2017</v>
      </c>
      <c r="E3398" s="4">
        <v>0</v>
      </c>
      <c r="F3398" s="4" t="s">
        <v>29</v>
      </c>
    </row>
    <row r="3399" spans="1:6" x14ac:dyDescent="0.25">
      <c r="A3399" s="4" t="s">
        <v>79</v>
      </c>
      <c r="B3399" s="4" t="s">
        <v>1</v>
      </c>
      <c r="C3399" s="4" t="s">
        <v>34</v>
      </c>
      <c r="D3399" s="4">
        <v>2018</v>
      </c>
      <c r="E3399" s="4">
        <v>0</v>
      </c>
      <c r="F3399" s="4" t="s">
        <v>29</v>
      </c>
    </row>
    <row r="3400" spans="1:6" x14ac:dyDescent="0.25">
      <c r="A3400" s="4" t="s">
        <v>79</v>
      </c>
      <c r="B3400" s="4" t="s">
        <v>1</v>
      </c>
      <c r="C3400" s="4" t="s">
        <v>34</v>
      </c>
      <c r="D3400" s="4">
        <v>2019</v>
      </c>
      <c r="E3400" s="4">
        <v>0</v>
      </c>
      <c r="F3400" s="4" t="s">
        <v>29</v>
      </c>
    </row>
    <row r="3401" spans="1:6" x14ac:dyDescent="0.25">
      <c r="A3401" s="4" t="s">
        <v>79</v>
      </c>
      <c r="B3401" s="4" t="s">
        <v>1</v>
      </c>
      <c r="C3401" s="4" t="s">
        <v>34</v>
      </c>
      <c r="D3401" s="4">
        <v>2020</v>
      </c>
      <c r="E3401" s="4">
        <v>0</v>
      </c>
      <c r="F3401" s="4" t="s">
        <v>29</v>
      </c>
    </row>
    <row r="3402" spans="1:6" x14ac:dyDescent="0.25">
      <c r="A3402" s="4" t="s">
        <v>79</v>
      </c>
      <c r="B3402" s="4" t="s">
        <v>1</v>
      </c>
      <c r="C3402" s="4" t="s">
        <v>34</v>
      </c>
      <c r="D3402" s="4">
        <v>2021</v>
      </c>
      <c r="E3402" s="4">
        <v>0</v>
      </c>
      <c r="F3402" s="4" t="s">
        <v>29</v>
      </c>
    </row>
    <row r="3403" spans="1:6" x14ac:dyDescent="0.25">
      <c r="A3403" s="4" t="s">
        <v>79</v>
      </c>
      <c r="B3403" s="4" t="s">
        <v>1</v>
      </c>
      <c r="C3403" s="4" t="s">
        <v>34</v>
      </c>
      <c r="D3403" s="4">
        <v>2022</v>
      </c>
      <c r="E3403" s="4">
        <v>0</v>
      </c>
      <c r="F3403" s="4" t="s">
        <v>29</v>
      </c>
    </row>
    <row r="3404" spans="1:6" x14ac:dyDescent="0.25">
      <c r="A3404" s="4" t="s">
        <v>79</v>
      </c>
      <c r="B3404" s="4" t="s">
        <v>1</v>
      </c>
      <c r="C3404" s="4" t="s">
        <v>34</v>
      </c>
      <c r="D3404" s="4">
        <v>2023</v>
      </c>
      <c r="E3404" s="4">
        <v>0</v>
      </c>
      <c r="F3404" s="4" t="s">
        <v>29</v>
      </c>
    </row>
    <row r="3405" spans="1:6" x14ac:dyDescent="0.25">
      <c r="A3405" s="4" t="s">
        <v>79</v>
      </c>
      <c r="B3405" s="4" t="s">
        <v>1</v>
      </c>
      <c r="C3405" s="4" t="s">
        <v>34</v>
      </c>
      <c r="D3405" s="4">
        <v>2024</v>
      </c>
      <c r="E3405" s="4">
        <v>0</v>
      </c>
      <c r="F3405" s="4" t="s">
        <v>29</v>
      </c>
    </row>
    <row r="3406" spans="1:6" x14ac:dyDescent="0.25">
      <c r="A3406" s="4" t="s">
        <v>79</v>
      </c>
      <c r="B3406" s="4" t="s">
        <v>1</v>
      </c>
      <c r="C3406" s="4" t="s">
        <v>34</v>
      </c>
      <c r="D3406" s="4">
        <v>2025</v>
      </c>
      <c r="E3406" s="4">
        <v>0</v>
      </c>
      <c r="F3406" s="4" t="s">
        <v>29</v>
      </c>
    </row>
    <row r="3407" spans="1:6" x14ac:dyDescent="0.25">
      <c r="A3407" s="4" t="s">
        <v>79</v>
      </c>
      <c r="B3407" s="4" t="s">
        <v>1</v>
      </c>
      <c r="C3407" s="4" t="s">
        <v>34</v>
      </c>
      <c r="D3407" s="4">
        <v>2026</v>
      </c>
      <c r="E3407" s="4">
        <v>0</v>
      </c>
      <c r="F3407" s="4" t="s">
        <v>29</v>
      </c>
    </row>
    <row r="3408" spans="1:6" x14ac:dyDescent="0.25">
      <c r="A3408" s="4" t="s">
        <v>79</v>
      </c>
      <c r="B3408" s="4" t="s">
        <v>1</v>
      </c>
      <c r="C3408" s="4" t="s">
        <v>34</v>
      </c>
      <c r="D3408" s="4">
        <v>2027</v>
      </c>
      <c r="E3408" s="4">
        <v>0</v>
      </c>
      <c r="F3408" s="4" t="s">
        <v>29</v>
      </c>
    </row>
    <row r="3409" spans="1:6" x14ac:dyDescent="0.25">
      <c r="A3409" s="4" t="s">
        <v>79</v>
      </c>
      <c r="B3409" s="4" t="s">
        <v>1</v>
      </c>
      <c r="C3409" s="4" t="s">
        <v>34</v>
      </c>
      <c r="D3409" s="4">
        <v>2028</v>
      </c>
      <c r="E3409" s="4">
        <v>0</v>
      </c>
      <c r="F3409" s="4" t="s">
        <v>29</v>
      </c>
    </row>
    <row r="3410" spans="1:6" x14ac:dyDescent="0.25">
      <c r="A3410" s="4" t="s">
        <v>79</v>
      </c>
      <c r="B3410" s="4" t="s">
        <v>1</v>
      </c>
      <c r="C3410" s="4" t="s">
        <v>34</v>
      </c>
      <c r="D3410" s="4">
        <v>2029</v>
      </c>
      <c r="E3410" s="4">
        <v>0</v>
      </c>
      <c r="F3410" s="4" t="s">
        <v>29</v>
      </c>
    </row>
    <row r="3411" spans="1:6" x14ac:dyDescent="0.25">
      <c r="A3411" s="4" t="s">
        <v>79</v>
      </c>
      <c r="B3411" s="4" t="s">
        <v>1</v>
      </c>
      <c r="C3411" s="4" t="s">
        <v>34</v>
      </c>
      <c r="D3411" s="4">
        <v>2030</v>
      </c>
      <c r="E3411" s="4">
        <v>0</v>
      </c>
      <c r="F3411" s="4" t="s">
        <v>29</v>
      </c>
    </row>
    <row r="3412" spans="1:6" x14ac:dyDescent="0.25">
      <c r="A3412" s="4" t="s">
        <v>79</v>
      </c>
      <c r="B3412" s="4" t="s">
        <v>1</v>
      </c>
      <c r="C3412" s="4" t="s">
        <v>34</v>
      </c>
      <c r="D3412" s="4">
        <v>2031</v>
      </c>
      <c r="E3412" s="4">
        <v>0</v>
      </c>
      <c r="F3412" s="4" t="s">
        <v>29</v>
      </c>
    </row>
    <row r="3413" spans="1:6" x14ac:dyDescent="0.25">
      <c r="A3413" s="4" t="s">
        <v>79</v>
      </c>
      <c r="B3413" s="4" t="s">
        <v>1</v>
      </c>
      <c r="C3413" s="4" t="s">
        <v>34</v>
      </c>
      <c r="D3413" s="4">
        <v>2032</v>
      </c>
      <c r="E3413" s="4">
        <v>0</v>
      </c>
      <c r="F3413" s="4" t="s">
        <v>29</v>
      </c>
    </row>
    <row r="3414" spans="1:6" x14ac:dyDescent="0.25">
      <c r="A3414" s="4" t="s">
        <v>79</v>
      </c>
      <c r="B3414" s="4" t="s">
        <v>1</v>
      </c>
      <c r="C3414" s="4" t="s">
        <v>34</v>
      </c>
      <c r="D3414" s="4">
        <v>2033</v>
      </c>
      <c r="E3414" s="4">
        <v>0</v>
      </c>
      <c r="F3414" s="4" t="s">
        <v>29</v>
      </c>
    </row>
    <row r="3415" spans="1:6" x14ac:dyDescent="0.25">
      <c r="A3415" s="4" t="s">
        <v>79</v>
      </c>
      <c r="B3415" s="4" t="s">
        <v>1</v>
      </c>
      <c r="C3415" s="4" t="s">
        <v>34</v>
      </c>
      <c r="D3415" s="4">
        <v>2034</v>
      </c>
      <c r="E3415" s="4">
        <v>0</v>
      </c>
      <c r="F3415" s="4" t="s">
        <v>29</v>
      </c>
    </row>
    <row r="3416" spans="1:6" x14ac:dyDescent="0.25">
      <c r="A3416" s="4" t="s">
        <v>79</v>
      </c>
      <c r="B3416" s="4" t="s">
        <v>1</v>
      </c>
      <c r="C3416" s="4" t="s">
        <v>34</v>
      </c>
      <c r="D3416" s="4">
        <v>2035</v>
      </c>
      <c r="E3416" s="4">
        <v>0</v>
      </c>
      <c r="F3416" s="4" t="s">
        <v>29</v>
      </c>
    </row>
    <row r="3417" spans="1:6" x14ac:dyDescent="0.25">
      <c r="A3417" s="4" t="s">
        <v>79</v>
      </c>
      <c r="B3417" s="4" t="s">
        <v>1</v>
      </c>
      <c r="C3417" s="4" t="s">
        <v>34</v>
      </c>
      <c r="D3417" s="4">
        <v>2036</v>
      </c>
      <c r="E3417" s="4">
        <v>0</v>
      </c>
      <c r="F3417" s="4" t="s">
        <v>29</v>
      </c>
    </row>
    <row r="3418" spans="1:6" x14ac:dyDescent="0.25">
      <c r="A3418" s="4" t="s">
        <v>79</v>
      </c>
      <c r="B3418" s="4" t="s">
        <v>1</v>
      </c>
      <c r="C3418" s="4" t="s">
        <v>34</v>
      </c>
      <c r="D3418" s="4">
        <v>2037</v>
      </c>
      <c r="E3418" s="4">
        <v>0</v>
      </c>
      <c r="F3418" s="4" t="s">
        <v>29</v>
      </c>
    </row>
    <row r="3419" spans="1:6" x14ac:dyDescent="0.25">
      <c r="A3419" s="4" t="s">
        <v>79</v>
      </c>
      <c r="B3419" s="4" t="s">
        <v>1</v>
      </c>
      <c r="C3419" s="4" t="s">
        <v>34</v>
      </c>
      <c r="D3419" s="4">
        <v>2038</v>
      </c>
      <c r="E3419" s="4">
        <v>0</v>
      </c>
      <c r="F3419" s="4" t="s">
        <v>29</v>
      </c>
    </row>
    <row r="3420" spans="1:6" x14ac:dyDescent="0.25">
      <c r="A3420" s="4" t="s">
        <v>79</v>
      </c>
      <c r="B3420" s="4" t="s">
        <v>1</v>
      </c>
      <c r="C3420" s="4" t="s">
        <v>34</v>
      </c>
      <c r="D3420" s="4">
        <v>2039</v>
      </c>
      <c r="E3420" s="4">
        <v>0</v>
      </c>
      <c r="F3420" s="4" t="s">
        <v>29</v>
      </c>
    </row>
    <row r="3421" spans="1:6" x14ac:dyDescent="0.25">
      <c r="A3421" s="4" t="s">
        <v>79</v>
      </c>
      <c r="B3421" s="4" t="s">
        <v>1</v>
      </c>
      <c r="C3421" s="4" t="s">
        <v>34</v>
      </c>
      <c r="D3421" s="4">
        <v>2040</v>
      </c>
      <c r="E3421" s="4">
        <v>0</v>
      </c>
      <c r="F3421" s="4" t="s">
        <v>29</v>
      </c>
    </row>
    <row r="3422" spans="1:6" x14ac:dyDescent="0.25">
      <c r="A3422" s="4" t="s">
        <v>79</v>
      </c>
      <c r="B3422" s="4" t="s">
        <v>3</v>
      </c>
      <c r="C3422" s="4" t="s">
        <v>34</v>
      </c>
      <c r="D3422" s="4">
        <v>2005</v>
      </c>
      <c r="E3422" s="4">
        <v>2050</v>
      </c>
      <c r="F3422" s="4" t="s">
        <v>29</v>
      </c>
    </row>
    <row r="3423" spans="1:6" x14ac:dyDescent="0.25">
      <c r="A3423" s="4" t="s">
        <v>79</v>
      </c>
      <c r="B3423" s="4" t="s">
        <v>3</v>
      </c>
      <c r="C3423" s="4" t="s">
        <v>34</v>
      </c>
      <c r="D3423" s="4">
        <v>2006</v>
      </c>
      <c r="E3423" s="4">
        <v>1910</v>
      </c>
      <c r="F3423" s="4" t="s">
        <v>29</v>
      </c>
    </row>
    <row r="3424" spans="1:6" x14ac:dyDescent="0.25">
      <c r="A3424" s="4" t="s">
        <v>79</v>
      </c>
      <c r="B3424" s="4" t="s">
        <v>3</v>
      </c>
      <c r="C3424" s="4" t="s">
        <v>34</v>
      </c>
      <c r="D3424" s="4">
        <v>2007</v>
      </c>
      <c r="E3424" s="4">
        <v>1890</v>
      </c>
      <c r="F3424" s="4" t="s">
        <v>29</v>
      </c>
    </row>
    <row r="3425" spans="1:6" x14ac:dyDescent="0.25">
      <c r="A3425" s="4" t="s">
        <v>79</v>
      </c>
      <c r="B3425" s="4" t="s">
        <v>3</v>
      </c>
      <c r="C3425" s="4" t="s">
        <v>34</v>
      </c>
      <c r="D3425" s="4">
        <v>2008</v>
      </c>
      <c r="E3425" s="4">
        <v>1750</v>
      </c>
      <c r="F3425" s="4" t="s">
        <v>29</v>
      </c>
    </row>
    <row r="3426" spans="1:6" x14ac:dyDescent="0.25">
      <c r="A3426" s="4" t="s">
        <v>79</v>
      </c>
      <c r="B3426" s="4" t="s">
        <v>3</v>
      </c>
      <c r="C3426" s="4" t="s">
        <v>34</v>
      </c>
      <c r="D3426" s="4">
        <v>2009</v>
      </c>
      <c r="E3426" s="4">
        <v>1130</v>
      </c>
      <c r="F3426" s="4" t="s">
        <v>29</v>
      </c>
    </row>
    <row r="3427" spans="1:6" x14ac:dyDescent="0.25">
      <c r="A3427" s="4" t="s">
        <v>79</v>
      </c>
      <c r="B3427" s="4" t="s">
        <v>3</v>
      </c>
      <c r="C3427" s="4" t="s">
        <v>34</v>
      </c>
      <c r="D3427" s="4">
        <v>2010</v>
      </c>
      <c r="E3427" s="4">
        <v>1070</v>
      </c>
      <c r="F3427" s="4" t="s">
        <v>29</v>
      </c>
    </row>
    <row r="3428" spans="1:6" x14ac:dyDescent="0.25">
      <c r="A3428" s="4" t="s">
        <v>79</v>
      </c>
      <c r="B3428" s="4" t="s">
        <v>3</v>
      </c>
      <c r="C3428" s="4" t="s">
        <v>34</v>
      </c>
      <c r="D3428" s="4">
        <v>2011</v>
      </c>
      <c r="E3428" s="4">
        <v>860</v>
      </c>
      <c r="F3428" s="4" t="s">
        <v>29</v>
      </c>
    </row>
    <row r="3429" spans="1:6" x14ac:dyDescent="0.25">
      <c r="A3429" s="4" t="s">
        <v>79</v>
      </c>
      <c r="B3429" s="4" t="s">
        <v>3</v>
      </c>
      <c r="C3429" s="4" t="s">
        <v>34</v>
      </c>
      <c r="D3429" s="4">
        <v>2012</v>
      </c>
      <c r="E3429" s="4">
        <v>580</v>
      </c>
      <c r="F3429" s="4" t="s">
        <v>29</v>
      </c>
    </row>
    <row r="3430" spans="1:6" x14ac:dyDescent="0.25">
      <c r="A3430" s="4" t="s">
        <v>79</v>
      </c>
      <c r="B3430" s="4" t="s">
        <v>3</v>
      </c>
      <c r="C3430" s="4" t="s">
        <v>34</v>
      </c>
      <c r="D3430" s="4">
        <v>2013</v>
      </c>
      <c r="E3430" s="4">
        <v>330</v>
      </c>
      <c r="F3430" s="4" t="s">
        <v>29</v>
      </c>
    </row>
    <row r="3431" spans="1:6" x14ac:dyDescent="0.25">
      <c r="A3431" s="4" t="s">
        <v>79</v>
      </c>
      <c r="B3431" s="4" t="s">
        <v>3</v>
      </c>
      <c r="C3431" s="4" t="s">
        <v>34</v>
      </c>
      <c r="D3431" s="4">
        <v>2014</v>
      </c>
      <c r="E3431" s="4">
        <v>460</v>
      </c>
      <c r="F3431" s="4" t="s">
        <v>29</v>
      </c>
    </row>
    <row r="3432" spans="1:6" x14ac:dyDescent="0.25">
      <c r="A3432" s="4" t="s">
        <v>79</v>
      </c>
      <c r="B3432" s="4" t="s">
        <v>3</v>
      </c>
      <c r="C3432" s="4" t="s">
        <v>34</v>
      </c>
      <c r="D3432" s="4">
        <v>2015</v>
      </c>
      <c r="E3432" s="4">
        <v>439.2230136986301</v>
      </c>
      <c r="F3432" s="4" t="s">
        <v>29</v>
      </c>
    </row>
    <row r="3433" spans="1:6" x14ac:dyDescent="0.25">
      <c r="A3433" s="4" t="s">
        <v>79</v>
      </c>
      <c r="B3433" s="4" t="s">
        <v>3</v>
      </c>
      <c r="C3433" s="4" t="s">
        <v>34</v>
      </c>
      <c r="D3433" s="4">
        <v>2016</v>
      </c>
      <c r="E3433" s="4">
        <v>416.31040165903886</v>
      </c>
      <c r="F3433" s="4" t="s">
        <v>29</v>
      </c>
    </row>
    <row r="3434" spans="1:6" x14ac:dyDescent="0.25">
      <c r="A3434" s="4" t="s">
        <v>79</v>
      </c>
      <c r="B3434" s="4" t="s">
        <v>3</v>
      </c>
      <c r="C3434" s="4" t="s">
        <v>34</v>
      </c>
      <c r="D3434" s="4">
        <v>2017</v>
      </c>
      <c r="E3434" s="4">
        <v>312</v>
      </c>
      <c r="F3434" s="4" t="s">
        <v>29</v>
      </c>
    </row>
    <row r="3435" spans="1:6" x14ac:dyDescent="0.25">
      <c r="A3435" s="4" t="s">
        <v>79</v>
      </c>
      <c r="B3435" s="4" t="s">
        <v>3</v>
      </c>
      <c r="C3435" s="4" t="s">
        <v>34</v>
      </c>
      <c r="D3435" s="4">
        <v>2018</v>
      </c>
      <c r="E3435" s="4">
        <v>315</v>
      </c>
      <c r="F3435" s="4" t="s">
        <v>29</v>
      </c>
    </row>
    <row r="3436" spans="1:6" x14ac:dyDescent="0.25">
      <c r="A3436" s="4" t="s">
        <v>79</v>
      </c>
      <c r="B3436" s="4" t="s">
        <v>3</v>
      </c>
      <c r="C3436" s="4" t="s">
        <v>34</v>
      </c>
      <c r="D3436" s="4">
        <v>2019</v>
      </c>
      <c r="E3436" s="4">
        <v>300</v>
      </c>
      <c r="F3436" s="4" t="s">
        <v>29</v>
      </c>
    </row>
    <row r="3437" spans="1:6" x14ac:dyDescent="0.25">
      <c r="A3437" s="4" t="s">
        <v>79</v>
      </c>
      <c r="B3437" s="4" t="s">
        <v>3</v>
      </c>
      <c r="C3437" s="4" t="s">
        <v>34</v>
      </c>
      <c r="D3437" s="4">
        <v>2020</v>
      </c>
      <c r="E3437" s="4">
        <v>285</v>
      </c>
      <c r="F3437" s="4" t="s">
        <v>29</v>
      </c>
    </row>
    <row r="3438" spans="1:6" x14ac:dyDescent="0.25">
      <c r="A3438" s="4" t="s">
        <v>79</v>
      </c>
      <c r="B3438" s="4" t="s">
        <v>3</v>
      </c>
      <c r="C3438" s="4" t="s">
        <v>34</v>
      </c>
      <c r="D3438" s="4">
        <v>2021</v>
      </c>
      <c r="E3438" s="4">
        <v>250</v>
      </c>
      <c r="F3438" s="4" t="s">
        <v>29</v>
      </c>
    </row>
    <row r="3439" spans="1:6" x14ac:dyDescent="0.25">
      <c r="A3439" s="4" t="s">
        <v>79</v>
      </c>
      <c r="B3439" s="4" t="s">
        <v>3</v>
      </c>
      <c r="C3439" s="4" t="s">
        <v>34</v>
      </c>
      <c r="D3439" s="4">
        <v>2022</v>
      </c>
      <c r="E3439" s="4">
        <v>0</v>
      </c>
      <c r="F3439" s="4" t="s">
        <v>29</v>
      </c>
    </row>
    <row r="3440" spans="1:6" x14ac:dyDescent="0.25">
      <c r="A3440" s="4" t="s">
        <v>79</v>
      </c>
      <c r="B3440" s="4" t="s">
        <v>3</v>
      </c>
      <c r="C3440" s="4" t="s">
        <v>34</v>
      </c>
      <c r="D3440" s="4">
        <v>2023</v>
      </c>
      <c r="E3440" s="4">
        <v>0</v>
      </c>
      <c r="F3440" s="4" t="s">
        <v>29</v>
      </c>
    </row>
    <row r="3441" spans="1:6" x14ac:dyDescent="0.25">
      <c r="A3441" s="4" t="s">
        <v>79</v>
      </c>
      <c r="B3441" s="4" t="s">
        <v>3</v>
      </c>
      <c r="C3441" s="4" t="s">
        <v>34</v>
      </c>
      <c r="D3441" s="4">
        <v>2024</v>
      </c>
      <c r="E3441" s="4">
        <v>0</v>
      </c>
      <c r="F3441" s="4" t="s">
        <v>29</v>
      </c>
    </row>
    <row r="3442" spans="1:6" x14ac:dyDescent="0.25">
      <c r="A3442" s="4" t="s">
        <v>79</v>
      </c>
      <c r="B3442" s="4" t="s">
        <v>3</v>
      </c>
      <c r="C3442" s="4" t="s">
        <v>34</v>
      </c>
      <c r="D3442" s="4">
        <v>2025</v>
      </c>
      <c r="E3442" s="4">
        <v>0</v>
      </c>
      <c r="F3442" s="4" t="s">
        <v>29</v>
      </c>
    </row>
    <row r="3443" spans="1:6" x14ac:dyDescent="0.25">
      <c r="A3443" s="4" t="s">
        <v>79</v>
      </c>
      <c r="B3443" s="4" t="s">
        <v>3</v>
      </c>
      <c r="C3443" s="4" t="s">
        <v>34</v>
      </c>
      <c r="D3443" s="4">
        <v>2026</v>
      </c>
      <c r="E3443" s="4">
        <v>0</v>
      </c>
      <c r="F3443" s="4" t="s">
        <v>29</v>
      </c>
    </row>
    <row r="3444" spans="1:6" x14ac:dyDescent="0.25">
      <c r="A3444" s="4" t="s">
        <v>79</v>
      </c>
      <c r="B3444" s="4" t="s">
        <v>3</v>
      </c>
      <c r="C3444" s="4" t="s">
        <v>34</v>
      </c>
      <c r="D3444" s="4">
        <v>2027</v>
      </c>
      <c r="E3444" s="4">
        <v>0</v>
      </c>
      <c r="F3444" s="4" t="s">
        <v>29</v>
      </c>
    </row>
    <row r="3445" spans="1:6" x14ac:dyDescent="0.25">
      <c r="A3445" s="4" t="s">
        <v>79</v>
      </c>
      <c r="B3445" s="4" t="s">
        <v>3</v>
      </c>
      <c r="C3445" s="4" t="s">
        <v>34</v>
      </c>
      <c r="D3445" s="4">
        <v>2028</v>
      </c>
      <c r="E3445" s="4">
        <v>0</v>
      </c>
      <c r="F3445" s="4" t="s">
        <v>29</v>
      </c>
    </row>
    <row r="3446" spans="1:6" x14ac:dyDescent="0.25">
      <c r="A3446" s="4" t="s">
        <v>79</v>
      </c>
      <c r="B3446" s="4" t="s">
        <v>3</v>
      </c>
      <c r="C3446" s="4" t="s">
        <v>34</v>
      </c>
      <c r="D3446" s="4">
        <v>2029</v>
      </c>
      <c r="E3446" s="4">
        <v>0</v>
      </c>
      <c r="F3446" s="4" t="s">
        <v>29</v>
      </c>
    </row>
    <row r="3447" spans="1:6" x14ac:dyDescent="0.25">
      <c r="A3447" s="4" t="s">
        <v>79</v>
      </c>
      <c r="B3447" s="4" t="s">
        <v>3</v>
      </c>
      <c r="C3447" s="4" t="s">
        <v>34</v>
      </c>
      <c r="D3447" s="4">
        <v>2030</v>
      </c>
      <c r="E3447" s="4">
        <v>0</v>
      </c>
      <c r="F3447" s="4" t="s">
        <v>29</v>
      </c>
    </row>
    <row r="3448" spans="1:6" x14ac:dyDescent="0.25">
      <c r="A3448" s="4" t="s">
        <v>79</v>
      </c>
      <c r="B3448" s="4" t="s">
        <v>3</v>
      </c>
      <c r="C3448" s="4" t="s">
        <v>34</v>
      </c>
      <c r="D3448" s="4">
        <v>2031</v>
      </c>
      <c r="E3448" s="4">
        <v>0</v>
      </c>
      <c r="F3448" s="4" t="s">
        <v>29</v>
      </c>
    </row>
    <row r="3449" spans="1:6" x14ac:dyDescent="0.25">
      <c r="A3449" s="4" t="s">
        <v>79</v>
      </c>
      <c r="B3449" s="4" t="s">
        <v>3</v>
      </c>
      <c r="C3449" s="4" t="s">
        <v>34</v>
      </c>
      <c r="D3449" s="4">
        <v>2032</v>
      </c>
      <c r="E3449" s="4">
        <v>0</v>
      </c>
      <c r="F3449" s="4" t="s">
        <v>29</v>
      </c>
    </row>
    <row r="3450" spans="1:6" x14ac:dyDescent="0.25">
      <c r="A3450" s="4" t="s">
        <v>79</v>
      </c>
      <c r="B3450" s="4" t="s">
        <v>3</v>
      </c>
      <c r="C3450" s="4" t="s">
        <v>34</v>
      </c>
      <c r="D3450" s="4">
        <v>2033</v>
      </c>
      <c r="E3450" s="4">
        <v>0</v>
      </c>
      <c r="F3450" s="4" t="s">
        <v>29</v>
      </c>
    </row>
    <row r="3451" spans="1:6" x14ac:dyDescent="0.25">
      <c r="A3451" s="4" t="s">
        <v>79</v>
      </c>
      <c r="B3451" s="4" t="s">
        <v>3</v>
      </c>
      <c r="C3451" s="4" t="s">
        <v>34</v>
      </c>
      <c r="D3451" s="4">
        <v>2034</v>
      </c>
      <c r="E3451" s="4">
        <v>0</v>
      </c>
      <c r="F3451" s="4" t="s">
        <v>29</v>
      </c>
    </row>
    <row r="3452" spans="1:6" x14ac:dyDescent="0.25">
      <c r="A3452" s="4" t="s">
        <v>79</v>
      </c>
      <c r="B3452" s="4" t="s">
        <v>3</v>
      </c>
      <c r="C3452" s="4" t="s">
        <v>34</v>
      </c>
      <c r="D3452" s="4">
        <v>2035</v>
      </c>
      <c r="E3452" s="4">
        <v>0</v>
      </c>
      <c r="F3452" s="4" t="s">
        <v>29</v>
      </c>
    </row>
    <row r="3453" spans="1:6" x14ac:dyDescent="0.25">
      <c r="A3453" s="4" t="s">
        <v>79</v>
      </c>
      <c r="B3453" s="4" t="s">
        <v>3</v>
      </c>
      <c r="C3453" s="4" t="s">
        <v>34</v>
      </c>
      <c r="D3453" s="4">
        <v>2036</v>
      </c>
      <c r="E3453" s="4">
        <v>0</v>
      </c>
      <c r="F3453" s="4" t="s">
        <v>29</v>
      </c>
    </row>
    <row r="3454" spans="1:6" x14ac:dyDescent="0.25">
      <c r="A3454" s="4" t="s">
        <v>79</v>
      </c>
      <c r="B3454" s="4" t="s">
        <v>3</v>
      </c>
      <c r="C3454" s="4" t="s">
        <v>34</v>
      </c>
      <c r="D3454" s="4">
        <v>2037</v>
      </c>
      <c r="E3454" s="4">
        <v>0</v>
      </c>
      <c r="F3454" s="4" t="s">
        <v>29</v>
      </c>
    </row>
    <row r="3455" spans="1:6" x14ac:dyDescent="0.25">
      <c r="A3455" s="4" t="s">
        <v>79</v>
      </c>
      <c r="B3455" s="4" t="s">
        <v>3</v>
      </c>
      <c r="C3455" s="4" t="s">
        <v>34</v>
      </c>
      <c r="D3455" s="4">
        <v>2038</v>
      </c>
      <c r="E3455" s="4">
        <v>0</v>
      </c>
      <c r="F3455" s="4" t="s">
        <v>29</v>
      </c>
    </row>
    <row r="3456" spans="1:6" x14ac:dyDescent="0.25">
      <c r="A3456" s="4" t="s">
        <v>79</v>
      </c>
      <c r="B3456" s="4" t="s">
        <v>3</v>
      </c>
      <c r="C3456" s="4" t="s">
        <v>34</v>
      </c>
      <c r="D3456" s="4">
        <v>2039</v>
      </c>
      <c r="E3456" s="4">
        <v>0</v>
      </c>
      <c r="F3456" s="4" t="s">
        <v>29</v>
      </c>
    </row>
    <row r="3457" spans="1:6" x14ac:dyDescent="0.25">
      <c r="A3457" s="4" t="s">
        <v>79</v>
      </c>
      <c r="B3457" s="4" t="s">
        <v>3</v>
      </c>
      <c r="C3457" s="4" t="s">
        <v>34</v>
      </c>
      <c r="D3457" s="4">
        <v>2040</v>
      </c>
      <c r="E3457" s="4">
        <v>0</v>
      </c>
      <c r="F3457" s="4" t="s">
        <v>29</v>
      </c>
    </row>
    <row r="3458" spans="1:6" x14ac:dyDescent="0.25">
      <c r="A3458" s="4" t="s">
        <v>79</v>
      </c>
      <c r="B3458" s="4" t="s">
        <v>23</v>
      </c>
      <c r="C3458" s="4" t="s">
        <v>34</v>
      </c>
      <c r="D3458" s="4">
        <v>2005</v>
      </c>
      <c r="E3458" s="4">
        <v>2050</v>
      </c>
      <c r="F3458" s="4" t="s">
        <v>29</v>
      </c>
    </row>
    <row r="3459" spans="1:6" x14ac:dyDescent="0.25">
      <c r="A3459" s="4" t="s">
        <v>79</v>
      </c>
      <c r="B3459" s="4" t="s">
        <v>23</v>
      </c>
      <c r="C3459" s="4" t="s">
        <v>34</v>
      </c>
      <c r="D3459" s="4">
        <v>2006</v>
      </c>
      <c r="E3459" s="4">
        <v>1910</v>
      </c>
      <c r="F3459" s="4" t="s">
        <v>29</v>
      </c>
    </row>
    <row r="3460" spans="1:6" x14ac:dyDescent="0.25">
      <c r="A3460" s="4" t="s">
        <v>79</v>
      </c>
      <c r="B3460" s="4" t="s">
        <v>23</v>
      </c>
      <c r="C3460" s="4" t="s">
        <v>34</v>
      </c>
      <c r="D3460" s="4">
        <v>2007</v>
      </c>
      <c r="E3460" s="4">
        <v>1890</v>
      </c>
      <c r="F3460" s="4" t="s">
        <v>29</v>
      </c>
    </row>
    <row r="3461" spans="1:6" x14ac:dyDescent="0.25">
      <c r="A3461" s="4" t="s">
        <v>79</v>
      </c>
      <c r="B3461" s="4" t="s">
        <v>23</v>
      </c>
      <c r="C3461" s="4" t="s">
        <v>34</v>
      </c>
      <c r="D3461" s="4">
        <v>2008</v>
      </c>
      <c r="E3461" s="4">
        <v>1750</v>
      </c>
      <c r="F3461" s="4" t="s">
        <v>29</v>
      </c>
    </row>
    <row r="3462" spans="1:6" x14ac:dyDescent="0.25">
      <c r="A3462" s="4" t="s">
        <v>79</v>
      </c>
      <c r="B3462" s="4" t="s">
        <v>23</v>
      </c>
      <c r="C3462" s="4" t="s">
        <v>34</v>
      </c>
      <c r="D3462" s="4">
        <v>2009</v>
      </c>
      <c r="E3462" s="4">
        <v>1130</v>
      </c>
      <c r="F3462" s="4" t="s">
        <v>29</v>
      </c>
    </row>
    <row r="3463" spans="1:6" x14ac:dyDescent="0.25">
      <c r="A3463" s="4" t="s">
        <v>79</v>
      </c>
      <c r="B3463" s="4" t="s">
        <v>23</v>
      </c>
      <c r="C3463" s="4" t="s">
        <v>34</v>
      </c>
      <c r="D3463" s="4">
        <v>2010</v>
      </c>
      <c r="E3463" s="4">
        <v>1070</v>
      </c>
      <c r="F3463" s="4" t="s">
        <v>29</v>
      </c>
    </row>
    <row r="3464" spans="1:6" x14ac:dyDescent="0.25">
      <c r="A3464" s="4" t="s">
        <v>79</v>
      </c>
      <c r="B3464" s="4" t="s">
        <v>23</v>
      </c>
      <c r="C3464" s="4" t="s">
        <v>34</v>
      </c>
      <c r="D3464" s="4">
        <v>2011</v>
      </c>
      <c r="E3464" s="4">
        <v>860</v>
      </c>
      <c r="F3464" s="4" t="s">
        <v>29</v>
      </c>
    </row>
    <row r="3465" spans="1:6" x14ac:dyDescent="0.25">
      <c r="A3465" s="4" t="s">
        <v>79</v>
      </c>
      <c r="B3465" s="4" t="s">
        <v>23</v>
      </c>
      <c r="C3465" s="4" t="s">
        <v>34</v>
      </c>
      <c r="D3465" s="4">
        <v>2012</v>
      </c>
      <c r="E3465" s="4">
        <v>580</v>
      </c>
      <c r="F3465" s="4" t="s">
        <v>29</v>
      </c>
    </row>
    <row r="3466" spans="1:6" x14ac:dyDescent="0.25">
      <c r="A3466" s="4" t="s">
        <v>79</v>
      </c>
      <c r="B3466" s="4" t="s">
        <v>23</v>
      </c>
      <c r="C3466" s="4" t="s">
        <v>34</v>
      </c>
      <c r="D3466" s="4">
        <v>2013</v>
      </c>
      <c r="E3466" s="4">
        <v>330</v>
      </c>
      <c r="F3466" s="4" t="s">
        <v>29</v>
      </c>
    </row>
    <row r="3467" spans="1:6" x14ac:dyDescent="0.25">
      <c r="A3467" s="4" t="s">
        <v>79</v>
      </c>
      <c r="B3467" s="4" t="s">
        <v>23</v>
      </c>
      <c r="C3467" s="4" t="s">
        <v>34</v>
      </c>
      <c r="D3467" s="4">
        <v>2014</v>
      </c>
      <c r="E3467" s="4">
        <v>460</v>
      </c>
      <c r="F3467" s="4" t="s">
        <v>29</v>
      </c>
    </row>
    <row r="3468" spans="1:6" x14ac:dyDescent="0.25">
      <c r="A3468" s="4" t="s">
        <v>79</v>
      </c>
      <c r="B3468" s="4" t="s">
        <v>23</v>
      </c>
      <c r="C3468" s="4" t="s">
        <v>34</v>
      </c>
      <c r="D3468" s="4">
        <v>2015</v>
      </c>
      <c r="E3468" s="4">
        <v>439.2230136986301</v>
      </c>
      <c r="F3468" s="4" t="s">
        <v>29</v>
      </c>
    </row>
    <row r="3469" spans="1:6" x14ac:dyDescent="0.25">
      <c r="A3469" s="4" t="s">
        <v>79</v>
      </c>
      <c r="B3469" s="4" t="s">
        <v>23</v>
      </c>
      <c r="C3469" s="4" t="s">
        <v>34</v>
      </c>
      <c r="D3469" s="4">
        <v>2016</v>
      </c>
      <c r="E3469" s="4">
        <v>416.31040165903886</v>
      </c>
      <c r="F3469" s="4" t="s">
        <v>29</v>
      </c>
    </row>
    <row r="3470" spans="1:6" x14ac:dyDescent="0.25">
      <c r="A3470" s="4" t="s">
        <v>79</v>
      </c>
      <c r="B3470" s="4" t="s">
        <v>23</v>
      </c>
      <c r="C3470" s="4" t="s">
        <v>34</v>
      </c>
      <c r="D3470" s="4">
        <v>2017</v>
      </c>
      <c r="E3470" s="4">
        <v>312</v>
      </c>
      <c r="F3470" s="4" t="s">
        <v>29</v>
      </c>
    </row>
    <row r="3471" spans="1:6" x14ac:dyDescent="0.25">
      <c r="A3471" s="4" t="s">
        <v>79</v>
      </c>
      <c r="B3471" s="4" t="s">
        <v>23</v>
      </c>
      <c r="C3471" s="4" t="s">
        <v>34</v>
      </c>
      <c r="D3471" s="4">
        <v>2018</v>
      </c>
      <c r="E3471" s="4">
        <v>315</v>
      </c>
      <c r="F3471" s="4" t="s">
        <v>29</v>
      </c>
    </row>
    <row r="3472" spans="1:6" x14ac:dyDescent="0.25">
      <c r="A3472" s="4" t="s">
        <v>79</v>
      </c>
      <c r="B3472" s="4" t="s">
        <v>23</v>
      </c>
      <c r="C3472" s="4" t="s">
        <v>34</v>
      </c>
      <c r="D3472" s="4">
        <v>2019</v>
      </c>
      <c r="E3472" s="4">
        <v>300</v>
      </c>
      <c r="F3472" s="4" t="s">
        <v>29</v>
      </c>
    </row>
    <row r="3473" spans="1:6" x14ac:dyDescent="0.25">
      <c r="A3473" s="4" t="s">
        <v>79</v>
      </c>
      <c r="B3473" s="4" t="s">
        <v>23</v>
      </c>
      <c r="C3473" s="4" t="s">
        <v>34</v>
      </c>
      <c r="D3473" s="4">
        <v>2020</v>
      </c>
      <c r="E3473" s="4">
        <v>285</v>
      </c>
      <c r="F3473" s="4" t="s">
        <v>29</v>
      </c>
    </row>
    <row r="3474" spans="1:6" x14ac:dyDescent="0.25">
      <c r="A3474" s="4" t="s">
        <v>79</v>
      </c>
      <c r="B3474" s="4" t="s">
        <v>23</v>
      </c>
      <c r="C3474" s="4" t="s">
        <v>34</v>
      </c>
      <c r="D3474" s="4">
        <v>2021</v>
      </c>
      <c r="E3474" s="4">
        <v>250</v>
      </c>
      <c r="F3474" s="4" t="s">
        <v>29</v>
      </c>
    </row>
    <row r="3475" spans="1:6" x14ac:dyDescent="0.25">
      <c r="A3475" s="4" t="s">
        <v>79</v>
      </c>
      <c r="B3475" s="4" t="s">
        <v>23</v>
      </c>
      <c r="C3475" s="4" t="s">
        <v>34</v>
      </c>
      <c r="D3475" s="4">
        <v>2022</v>
      </c>
      <c r="E3475" s="4">
        <v>0</v>
      </c>
      <c r="F3475" s="4" t="s">
        <v>29</v>
      </c>
    </row>
    <row r="3476" spans="1:6" x14ac:dyDescent="0.25">
      <c r="A3476" s="4" t="s">
        <v>79</v>
      </c>
      <c r="B3476" s="4" t="s">
        <v>23</v>
      </c>
      <c r="C3476" s="4" t="s">
        <v>34</v>
      </c>
      <c r="D3476" s="4">
        <v>2023</v>
      </c>
      <c r="E3476" s="4">
        <v>0</v>
      </c>
      <c r="F3476" s="4" t="s">
        <v>29</v>
      </c>
    </row>
    <row r="3477" spans="1:6" x14ac:dyDescent="0.25">
      <c r="A3477" s="4" t="s">
        <v>79</v>
      </c>
      <c r="B3477" s="4" t="s">
        <v>23</v>
      </c>
      <c r="C3477" s="4" t="s">
        <v>34</v>
      </c>
      <c r="D3477" s="4">
        <v>2024</v>
      </c>
      <c r="E3477" s="4">
        <v>0</v>
      </c>
      <c r="F3477" s="4" t="s">
        <v>29</v>
      </c>
    </row>
    <row r="3478" spans="1:6" x14ac:dyDescent="0.25">
      <c r="A3478" s="4" t="s">
        <v>79</v>
      </c>
      <c r="B3478" s="4" t="s">
        <v>23</v>
      </c>
      <c r="C3478" s="4" t="s">
        <v>34</v>
      </c>
      <c r="D3478" s="4">
        <v>2025</v>
      </c>
      <c r="E3478" s="4">
        <v>0</v>
      </c>
      <c r="F3478" s="4" t="s">
        <v>29</v>
      </c>
    </row>
    <row r="3479" spans="1:6" x14ac:dyDescent="0.25">
      <c r="A3479" s="4" t="s">
        <v>79</v>
      </c>
      <c r="B3479" s="4" t="s">
        <v>23</v>
      </c>
      <c r="C3479" s="4" t="s">
        <v>34</v>
      </c>
      <c r="D3479" s="4">
        <v>2026</v>
      </c>
      <c r="E3479" s="4">
        <v>0</v>
      </c>
      <c r="F3479" s="4" t="s">
        <v>29</v>
      </c>
    </row>
    <row r="3480" spans="1:6" x14ac:dyDescent="0.25">
      <c r="A3480" s="4" t="s">
        <v>79</v>
      </c>
      <c r="B3480" s="4" t="s">
        <v>23</v>
      </c>
      <c r="C3480" s="4" t="s">
        <v>34</v>
      </c>
      <c r="D3480" s="4">
        <v>2027</v>
      </c>
      <c r="E3480" s="4">
        <v>0</v>
      </c>
      <c r="F3480" s="4" t="s">
        <v>29</v>
      </c>
    </row>
    <row r="3481" spans="1:6" x14ac:dyDescent="0.25">
      <c r="A3481" s="4" t="s">
        <v>79</v>
      </c>
      <c r="B3481" s="4" t="s">
        <v>23</v>
      </c>
      <c r="C3481" s="4" t="s">
        <v>34</v>
      </c>
      <c r="D3481" s="4">
        <v>2028</v>
      </c>
      <c r="E3481" s="4">
        <v>0</v>
      </c>
      <c r="F3481" s="4" t="s">
        <v>29</v>
      </c>
    </row>
    <row r="3482" spans="1:6" x14ac:dyDescent="0.25">
      <c r="A3482" s="4" t="s">
        <v>79</v>
      </c>
      <c r="B3482" s="4" t="s">
        <v>23</v>
      </c>
      <c r="C3482" s="4" t="s">
        <v>34</v>
      </c>
      <c r="D3482" s="4">
        <v>2029</v>
      </c>
      <c r="E3482" s="4">
        <v>0</v>
      </c>
      <c r="F3482" s="4" t="s">
        <v>29</v>
      </c>
    </row>
    <row r="3483" spans="1:6" x14ac:dyDescent="0.25">
      <c r="A3483" s="4" t="s">
        <v>79</v>
      </c>
      <c r="B3483" s="4" t="s">
        <v>23</v>
      </c>
      <c r="C3483" s="4" t="s">
        <v>34</v>
      </c>
      <c r="D3483" s="4">
        <v>2030</v>
      </c>
      <c r="E3483" s="4">
        <v>0</v>
      </c>
      <c r="F3483" s="4" t="s">
        <v>29</v>
      </c>
    </row>
    <row r="3484" spans="1:6" x14ac:dyDescent="0.25">
      <c r="A3484" s="4" t="s">
        <v>79</v>
      </c>
      <c r="B3484" s="4" t="s">
        <v>23</v>
      </c>
      <c r="C3484" s="4" t="s">
        <v>34</v>
      </c>
      <c r="D3484" s="4">
        <v>2031</v>
      </c>
      <c r="E3484" s="4">
        <v>0</v>
      </c>
      <c r="F3484" s="4" t="s">
        <v>29</v>
      </c>
    </row>
    <row r="3485" spans="1:6" x14ac:dyDescent="0.25">
      <c r="A3485" s="4" t="s">
        <v>79</v>
      </c>
      <c r="B3485" s="4" t="s">
        <v>23</v>
      </c>
      <c r="C3485" s="4" t="s">
        <v>34</v>
      </c>
      <c r="D3485" s="4">
        <v>2032</v>
      </c>
      <c r="E3485" s="4">
        <v>0</v>
      </c>
      <c r="F3485" s="4" t="s">
        <v>29</v>
      </c>
    </row>
    <row r="3486" spans="1:6" x14ac:dyDescent="0.25">
      <c r="A3486" s="4" t="s">
        <v>79</v>
      </c>
      <c r="B3486" s="4" t="s">
        <v>23</v>
      </c>
      <c r="C3486" s="4" t="s">
        <v>34</v>
      </c>
      <c r="D3486" s="4">
        <v>2033</v>
      </c>
      <c r="E3486" s="4">
        <v>0</v>
      </c>
      <c r="F3486" s="4" t="s">
        <v>29</v>
      </c>
    </row>
    <row r="3487" spans="1:6" x14ac:dyDescent="0.25">
      <c r="A3487" s="4" t="s">
        <v>79</v>
      </c>
      <c r="B3487" s="4" t="s">
        <v>23</v>
      </c>
      <c r="C3487" s="4" t="s">
        <v>34</v>
      </c>
      <c r="D3487" s="4">
        <v>2034</v>
      </c>
      <c r="E3487" s="4">
        <v>0</v>
      </c>
      <c r="F3487" s="4" t="s">
        <v>29</v>
      </c>
    </row>
    <row r="3488" spans="1:6" x14ac:dyDescent="0.25">
      <c r="A3488" s="4" t="s">
        <v>79</v>
      </c>
      <c r="B3488" s="4" t="s">
        <v>23</v>
      </c>
      <c r="C3488" s="4" t="s">
        <v>34</v>
      </c>
      <c r="D3488" s="4">
        <v>2035</v>
      </c>
      <c r="E3488" s="4">
        <v>0</v>
      </c>
      <c r="F3488" s="4" t="s">
        <v>29</v>
      </c>
    </row>
    <row r="3489" spans="1:6" x14ac:dyDescent="0.25">
      <c r="A3489" s="4" t="s">
        <v>79</v>
      </c>
      <c r="B3489" s="4" t="s">
        <v>23</v>
      </c>
      <c r="C3489" s="4" t="s">
        <v>34</v>
      </c>
      <c r="D3489" s="4">
        <v>2036</v>
      </c>
      <c r="E3489" s="4">
        <v>0</v>
      </c>
      <c r="F3489" s="4" t="s">
        <v>29</v>
      </c>
    </row>
    <row r="3490" spans="1:6" x14ac:dyDescent="0.25">
      <c r="A3490" s="4" t="s">
        <v>79</v>
      </c>
      <c r="B3490" s="4" t="s">
        <v>23</v>
      </c>
      <c r="C3490" s="4" t="s">
        <v>34</v>
      </c>
      <c r="D3490" s="4">
        <v>2037</v>
      </c>
      <c r="E3490" s="4">
        <v>0</v>
      </c>
      <c r="F3490" s="4" t="s">
        <v>29</v>
      </c>
    </row>
    <row r="3491" spans="1:6" x14ac:dyDescent="0.25">
      <c r="A3491" s="4" t="s">
        <v>79</v>
      </c>
      <c r="B3491" s="4" t="s">
        <v>23</v>
      </c>
      <c r="C3491" s="4" t="s">
        <v>34</v>
      </c>
      <c r="D3491" s="4">
        <v>2038</v>
      </c>
      <c r="E3491" s="4">
        <v>0</v>
      </c>
      <c r="F3491" s="4" t="s">
        <v>29</v>
      </c>
    </row>
    <row r="3492" spans="1:6" x14ac:dyDescent="0.25">
      <c r="A3492" s="4" t="s">
        <v>79</v>
      </c>
      <c r="B3492" s="4" t="s">
        <v>23</v>
      </c>
      <c r="C3492" s="4" t="s">
        <v>34</v>
      </c>
      <c r="D3492" s="4">
        <v>2039</v>
      </c>
      <c r="E3492" s="4">
        <v>0</v>
      </c>
      <c r="F3492" s="4" t="s">
        <v>29</v>
      </c>
    </row>
    <row r="3493" spans="1:6" x14ac:dyDescent="0.25">
      <c r="A3493" s="4" t="s">
        <v>79</v>
      </c>
      <c r="B3493" s="4" t="s">
        <v>23</v>
      </c>
      <c r="C3493" s="4" t="s">
        <v>34</v>
      </c>
      <c r="D3493" s="4">
        <v>2040</v>
      </c>
      <c r="E3493" s="4">
        <v>0</v>
      </c>
      <c r="F3493" s="4" t="s">
        <v>29</v>
      </c>
    </row>
    <row r="3494" spans="1:6" x14ac:dyDescent="0.25">
      <c r="A3494" s="4" t="s">
        <v>80</v>
      </c>
      <c r="B3494" s="4" t="s">
        <v>1</v>
      </c>
      <c r="C3494" s="4" t="s">
        <v>34</v>
      </c>
      <c r="D3494" s="4">
        <v>2005</v>
      </c>
      <c r="E3494" s="4">
        <v>48470</v>
      </c>
      <c r="F3494" s="4" t="s">
        <v>29</v>
      </c>
    </row>
    <row r="3495" spans="1:6" x14ac:dyDescent="0.25">
      <c r="A3495" s="4" t="s">
        <v>80</v>
      </c>
      <c r="B3495" s="4" t="s">
        <v>1</v>
      </c>
      <c r="C3495" s="4" t="s">
        <v>34</v>
      </c>
      <c r="D3495" s="4">
        <v>2006</v>
      </c>
      <c r="E3495" s="4">
        <v>48280</v>
      </c>
      <c r="F3495" s="4" t="s">
        <v>29</v>
      </c>
    </row>
    <row r="3496" spans="1:6" x14ac:dyDescent="0.25">
      <c r="A3496" s="4" t="s">
        <v>80</v>
      </c>
      <c r="B3496" s="4" t="s">
        <v>1</v>
      </c>
      <c r="C3496" s="4" t="s">
        <v>34</v>
      </c>
      <c r="D3496" s="4">
        <v>2007</v>
      </c>
      <c r="E3496" s="4">
        <v>58580</v>
      </c>
      <c r="F3496" s="4" t="s">
        <v>29</v>
      </c>
    </row>
    <row r="3497" spans="1:6" x14ac:dyDescent="0.25">
      <c r="A3497" s="4" t="s">
        <v>80</v>
      </c>
      <c r="B3497" s="4" t="s">
        <v>1</v>
      </c>
      <c r="C3497" s="4" t="s">
        <v>34</v>
      </c>
      <c r="D3497" s="4">
        <v>2008</v>
      </c>
      <c r="E3497" s="4">
        <v>54550</v>
      </c>
      <c r="F3497" s="4" t="s">
        <v>29</v>
      </c>
    </row>
    <row r="3498" spans="1:6" x14ac:dyDescent="0.25">
      <c r="A3498" s="4" t="s">
        <v>80</v>
      </c>
      <c r="B3498" s="4" t="s">
        <v>1</v>
      </c>
      <c r="C3498" s="4" t="s">
        <v>34</v>
      </c>
      <c r="D3498" s="4">
        <v>2009</v>
      </c>
      <c r="E3498" s="4">
        <v>42550</v>
      </c>
      <c r="F3498" s="4" t="s">
        <v>29</v>
      </c>
    </row>
    <row r="3499" spans="1:6" x14ac:dyDescent="0.25">
      <c r="A3499" s="4" t="s">
        <v>80</v>
      </c>
      <c r="B3499" s="4" t="s">
        <v>1</v>
      </c>
      <c r="C3499" s="4" t="s">
        <v>34</v>
      </c>
      <c r="D3499" s="4">
        <v>2010</v>
      </c>
      <c r="E3499" s="4">
        <v>43850</v>
      </c>
      <c r="F3499" s="4" t="s">
        <v>29</v>
      </c>
    </row>
    <row r="3500" spans="1:6" x14ac:dyDescent="0.25">
      <c r="A3500" s="4" t="s">
        <v>80</v>
      </c>
      <c r="B3500" s="4" t="s">
        <v>1</v>
      </c>
      <c r="C3500" s="4" t="s">
        <v>34</v>
      </c>
      <c r="D3500" s="4">
        <v>2011</v>
      </c>
      <c r="E3500" s="4">
        <v>42140</v>
      </c>
      <c r="F3500" s="4" t="s">
        <v>29</v>
      </c>
    </row>
    <row r="3501" spans="1:6" x14ac:dyDescent="0.25">
      <c r="A3501" s="4" t="s">
        <v>80</v>
      </c>
      <c r="B3501" s="4" t="s">
        <v>1</v>
      </c>
      <c r="C3501" s="4" t="s">
        <v>34</v>
      </c>
      <c r="D3501" s="4">
        <v>2012</v>
      </c>
      <c r="E3501" s="4">
        <v>31430</v>
      </c>
      <c r="F3501" s="4" t="s">
        <v>29</v>
      </c>
    </row>
    <row r="3502" spans="1:6" x14ac:dyDescent="0.25">
      <c r="A3502" s="4" t="s">
        <v>80</v>
      </c>
      <c r="B3502" s="4" t="s">
        <v>1</v>
      </c>
      <c r="C3502" s="4" t="s">
        <v>34</v>
      </c>
      <c r="D3502" s="4">
        <v>2013</v>
      </c>
      <c r="E3502" s="4">
        <v>36870</v>
      </c>
      <c r="F3502" s="4" t="s">
        <v>29</v>
      </c>
    </row>
    <row r="3503" spans="1:6" x14ac:dyDescent="0.25">
      <c r="A3503" s="4" t="s">
        <v>80</v>
      </c>
      <c r="B3503" s="4" t="s">
        <v>1</v>
      </c>
      <c r="C3503" s="4" t="s">
        <v>34</v>
      </c>
      <c r="D3503" s="4">
        <v>2014</v>
      </c>
      <c r="E3503" s="4">
        <v>34340</v>
      </c>
      <c r="F3503" s="4" t="s">
        <v>29</v>
      </c>
    </row>
    <row r="3504" spans="1:6" x14ac:dyDescent="0.25">
      <c r="A3504" s="4" t="s">
        <v>80</v>
      </c>
      <c r="B3504" s="4" t="s">
        <v>1</v>
      </c>
      <c r="C3504" s="4" t="s">
        <v>34</v>
      </c>
      <c r="D3504" s="4">
        <v>2015</v>
      </c>
      <c r="E3504" s="4">
        <v>27348</v>
      </c>
      <c r="F3504" s="4" t="s">
        <v>29</v>
      </c>
    </row>
    <row r="3505" spans="1:6" x14ac:dyDescent="0.25">
      <c r="A3505" s="4" t="s">
        <v>80</v>
      </c>
      <c r="B3505" s="4" t="s">
        <v>1</v>
      </c>
      <c r="C3505" s="4" t="s">
        <v>34</v>
      </c>
      <c r="D3505" s="4">
        <v>2016</v>
      </c>
      <c r="E3505" s="4">
        <v>33334</v>
      </c>
      <c r="F3505" s="4" t="s">
        <v>29</v>
      </c>
    </row>
    <row r="3506" spans="1:6" x14ac:dyDescent="0.25">
      <c r="A3506" s="4" t="s">
        <v>80</v>
      </c>
      <c r="B3506" s="4" t="s">
        <v>1</v>
      </c>
      <c r="C3506" s="4" t="s">
        <v>34</v>
      </c>
      <c r="D3506" s="4">
        <v>2017</v>
      </c>
      <c r="E3506" s="4">
        <v>34760</v>
      </c>
      <c r="F3506" s="4" t="s">
        <v>29</v>
      </c>
    </row>
    <row r="3507" spans="1:6" x14ac:dyDescent="0.25">
      <c r="A3507" s="4" t="s">
        <v>80</v>
      </c>
      <c r="B3507" s="4" t="s">
        <v>1</v>
      </c>
      <c r="C3507" s="4" t="s">
        <v>34</v>
      </c>
      <c r="D3507" s="4">
        <v>2018</v>
      </c>
      <c r="E3507" s="4">
        <v>30239.540260225629</v>
      </c>
      <c r="F3507" s="4" t="s">
        <v>29</v>
      </c>
    </row>
    <row r="3508" spans="1:6" x14ac:dyDescent="0.25">
      <c r="A3508" s="4" t="s">
        <v>80</v>
      </c>
      <c r="B3508" s="4" t="s">
        <v>1</v>
      </c>
      <c r="C3508" s="4" t="s">
        <v>34</v>
      </c>
      <c r="D3508" s="4">
        <v>2019</v>
      </c>
      <c r="E3508" s="4">
        <v>30262.257738652104</v>
      </c>
      <c r="F3508" s="4" t="s">
        <v>29</v>
      </c>
    </row>
    <row r="3509" spans="1:6" x14ac:dyDescent="0.25">
      <c r="A3509" s="4" t="s">
        <v>80</v>
      </c>
      <c r="B3509" s="4" t="s">
        <v>1</v>
      </c>
      <c r="C3509" s="4" t="s">
        <v>34</v>
      </c>
      <c r="D3509" s="4">
        <v>2020</v>
      </c>
      <c r="E3509" s="4">
        <v>23832.097785616927</v>
      </c>
      <c r="F3509" s="4" t="s">
        <v>29</v>
      </c>
    </row>
    <row r="3510" spans="1:6" x14ac:dyDescent="0.25">
      <c r="A3510" s="4" t="s">
        <v>80</v>
      </c>
      <c r="B3510" s="4" t="s">
        <v>1</v>
      </c>
      <c r="C3510" s="4" t="s">
        <v>34</v>
      </c>
      <c r="D3510" s="4">
        <v>2021</v>
      </c>
      <c r="E3510" s="4">
        <v>25262.589077078668</v>
      </c>
      <c r="F3510" s="4" t="s">
        <v>29</v>
      </c>
    </row>
    <row r="3511" spans="1:6" x14ac:dyDescent="0.25">
      <c r="A3511" s="4" t="s">
        <v>80</v>
      </c>
      <c r="B3511" s="4" t="s">
        <v>1</v>
      </c>
      <c r="C3511" s="4" t="s">
        <v>34</v>
      </c>
      <c r="D3511" s="4">
        <v>2022</v>
      </c>
      <c r="E3511" s="4">
        <v>23761.522232255138</v>
      </c>
      <c r="F3511" s="4" t="s">
        <v>29</v>
      </c>
    </row>
    <row r="3512" spans="1:6" x14ac:dyDescent="0.25">
      <c r="A3512" s="4" t="s">
        <v>80</v>
      </c>
      <c r="B3512" s="4" t="s">
        <v>1</v>
      </c>
      <c r="C3512" s="4" t="s">
        <v>34</v>
      </c>
      <c r="D3512" s="4">
        <v>2023</v>
      </c>
      <c r="E3512" s="4">
        <v>29418.291564931675</v>
      </c>
      <c r="F3512" s="4" t="s">
        <v>29</v>
      </c>
    </row>
    <row r="3513" spans="1:6" x14ac:dyDescent="0.25">
      <c r="A3513" s="4" t="s">
        <v>80</v>
      </c>
      <c r="B3513" s="4" t="s">
        <v>1</v>
      </c>
      <c r="C3513" s="4" t="s">
        <v>34</v>
      </c>
      <c r="D3513" s="4">
        <v>2024</v>
      </c>
      <c r="E3513" s="4">
        <v>31585.098585284177</v>
      </c>
      <c r="F3513" s="4" t="s">
        <v>29</v>
      </c>
    </row>
    <row r="3514" spans="1:6" x14ac:dyDescent="0.25">
      <c r="A3514" s="4" t="s">
        <v>80</v>
      </c>
      <c r="B3514" s="4" t="s">
        <v>1</v>
      </c>
      <c r="C3514" s="4" t="s">
        <v>34</v>
      </c>
      <c r="D3514" s="4">
        <v>2025</v>
      </c>
      <c r="E3514" s="4">
        <v>32165.111000694124</v>
      </c>
      <c r="F3514" s="4" t="s">
        <v>29</v>
      </c>
    </row>
    <row r="3515" spans="1:6" x14ac:dyDescent="0.25">
      <c r="A3515" s="4" t="s">
        <v>80</v>
      </c>
      <c r="B3515" s="4" t="s">
        <v>1</v>
      </c>
      <c r="C3515" s="4" t="s">
        <v>34</v>
      </c>
      <c r="D3515" s="4">
        <v>2026</v>
      </c>
      <c r="E3515" s="4">
        <v>32304.829639980828</v>
      </c>
      <c r="F3515" s="4" t="s">
        <v>29</v>
      </c>
    </row>
    <row r="3516" spans="1:6" x14ac:dyDescent="0.25">
      <c r="A3516" s="4" t="s">
        <v>80</v>
      </c>
      <c r="B3516" s="4" t="s">
        <v>1</v>
      </c>
      <c r="C3516" s="4" t="s">
        <v>34</v>
      </c>
      <c r="D3516" s="4">
        <v>2027</v>
      </c>
      <c r="E3516" s="4">
        <v>33882.831473469181</v>
      </c>
      <c r="F3516" s="4" t="s">
        <v>29</v>
      </c>
    </row>
    <row r="3517" spans="1:6" x14ac:dyDescent="0.25">
      <c r="A3517" s="4" t="s">
        <v>80</v>
      </c>
      <c r="B3517" s="4" t="s">
        <v>1</v>
      </c>
      <c r="C3517" s="4" t="s">
        <v>34</v>
      </c>
      <c r="D3517" s="4">
        <v>2028</v>
      </c>
      <c r="E3517" s="4">
        <v>32135.208904390423</v>
      </c>
      <c r="F3517" s="4" t="s">
        <v>29</v>
      </c>
    </row>
    <row r="3518" spans="1:6" x14ac:dyDescent="0.25">
      <c r="A3518" s="4" t="s">
        <v>80</v>
      </c>
      <c r="B3518" s="4" t="s">
        <v>1</v>
      </c>
      <c r="C3518" s="4" t="s">
        <v>34</v>
      </c>
      <c r="D3518" s="4">
        <v>2029</v>
      </c>
      <c r="E3518" s="4">
        <v>31448.703145377502</v>
      </c>
      <c r="F3518" s="4" t="s">
        <v>29</v>
      </c>
    </row>
    <row r="3519" spans="1:6" x14ac:dyDescent="0.25">
      <c r="A3519" s="4" t="s">
        <v>80</v>
      </c>
      <c r="B3519" s="4" t="s">
        <v>1</v>
      </c>
      <c r="C3519" s="4" t="s">
        <v>34</v>
      </c>
      <c r="D3519" s="4">
        <v>2030</v>
      </c>
      <c r="E3519" s="4">
        <v>29279.420202148889</v>
      </c>
      <c r="F3519" s="4" t="s">
        <v>29</v>
      </c>
    </row>
    <row r="3520" spans="1:6" x14ac:dyDescent="0.25">
      <c r="A3520" s="4" t="s">
        <v>80</v>
      </c>
      <c r="B3520" s="4" t="s">
        <v>1</v>
      </c>
      <c r="C3520" s="4" t="s">
        <v>34</v>
      </c>
      <c r="D3520" s="4">
        <v>2031</v>
      </c>
      <c r="E3520" s="4">
        <v>26431.723928960841</v>
      </c>
      <c r="F3520" s="4" t="s">
        <v>29</v>
      </c>
    </row>
    <row r="3521" spans="1:6" x14ac:dyDescent="0.25">
      <c r="A3521" s="4" t="s">
        <v>80</v>
      </c>
      <c r="B3521" s="4" t="s">
        <v>1</v>
      </c>
      <c r="C3521" s="4" t="s">
        <v>34</v>
      </c>
      <c r="D3521" s="4">
        <v>2032</v>
      </c>
      <c r="E3521" s="4">
        <v>24030.151218702078</v>
      </c>
      <c r="F3521" s="4" t="s">
        <v>29</v>
      </c>
    </row>
    <row r="3522" spans="1:6" x14ac:dyDescent="0.25">
      <c r="A3522" s="4" t="s">
        <v>80</v>
      </c>
      <c r="B3522" s="4" t="s">
        <v>1</v>
      </c>
      <c r="C3522" s="4" t="s">
        <v>34</v>
      </c>
      <c r="D3522" s="4">
        <v>2033</v>
      </c>
      <c r="E3522" s="4">
        <v>24659.716777144611</v>
      </c>
      <c r="F3522" s="4" t="s">
        <v>29</v>
      </c>
    </row>
    <row r="3523" spans="1:6" x14ac:dyDescent="0.25">
      <c r="A3523" s="4" t="s">
        <v>80</v>
      </c>
      <c r="B3523" s="4" t="s">
        <v>1</v>
      </c>
      <c r="C3523" s="4" t="s">
        <v>34</v>
      </c>
      <c r="D3523" s="4">
        <v>2034</v>
      </c>
      <c r="E3523" s="4">
        <v>23074.008506811806</v>
      </c>
      <c r="F3523" s="4" t="s">
        <v>29</v>
      </c>
    </row>
    <row r="3524" spans="1:6" x14ac:dyDescent="0.25">
      <c r="A3524" s="4" t="s">
        <v>80</v>
      </c>
      <c r="B3524" s="4" t="s">
        <v>1</v>
      </c>
      <c r="C3524" s="4" t="s">
        <v>34</v>
      </c>
      <c r="D3524" s="4">
        <v>2035</v>
      </c>
      <c r="E3524" s="4">
        <v>22779.405702111151</v>
      </c>
      <c r="F3524" s="4" t="s">
        <v>29</v>
      </c>
    </row>
    <row r="3525" spans="1:6" x14ac:dyDescent="0.25">
      <c r="A3525" s="4" t="s">
        <v>80</v>
      </c>
      <c r="B3525" s="4" t="s">
        <v>1</v>
      </c>
      <c r="C3525" s="4" t="s">
        <v>34</v>
      </c>
      <c r="D3525" s="4">
        <v>2036</v>
      </c>
      <c r="E3525" s="4">
        <v>23329.793566588552</v>
      </c>
      <c r="F3525" s="4" t="s">
        <v>29</v>
      </c>
    </row>
    <row r="3526" spans="1:6" x14ac:dyDescent="0.25">
      <c r="A3526" s="4" t="s">
        <v>80</v>
      </c>
      <c r="B3526" s="4" t="s">
        <v>1</v>
      </c>
      <c r="C3526" s="4" t="s">
        <v>34</v>
      </c>
      <c r="D3526" s="4">
        <v>2037</v>
      </c>
      <c r="E3526" s="4">
        <v>22814.959185844978</v>
      </c>
      <c r="F3526" s="4" t="s">
        <v>29</v>
      </c>
    </row>
    <row r="3527" spans="1:6" x14ac:dyDescent="0.25">
      <c r="A3527" s="4" t="s">
        <v>80</v>
      </c>
      <c r="B3527" s="4" t="s">
        <v>1</v>
      </c>
      <c r="C3527" s="4" t="s">
        <v>34</v>
      </c>
      <c r="D3527" s="4">
        <v>2038</v>
      </c>
      <c r="E3527" s="4">
        <v>19660.626913140324</v>
      </c>
      <c r="F3527" s="4" t="s">
        <v>29</v>
      </c>
    </row>
    <row r="3528" spans="1:6" x14ac:dyDescent="0.25">
      <c r="A3528" s="4" t="s">
        <v>80</v>
      </c>
      <c r="B3528" s="4" t="s">
        <v>1</v>
      </c>
      <c r="C3528" s="4" t="s">
        <v>34</v>
      </c>
      <c r="D3528" s="4">
        <v>2039</v>
      </c>
      <c r="E3528" s="4">
        <v>18233.09415813888</v>
      </c>
      <c r="F3528" s="4" t="s">
        <v>29</v>
      </c>
    </row>
    <row r="3529" spans="1:6" x14ac:dyDescent="0.25">
      <c r="A3529" s="4" t="s">
        <v>80</v>
      </c>
      <c r="B3529" s="4" t="s">
        <v>1</v>
      </c>
      <c r="C3529" s="4" t="s">
        <v>34</v>
      </c>
      <c r="D3529" s="4">
        <v>2040</v>
      </c>
      <c r="E3529" s="4">
        <v>16204.59133425895</v>
      </c>
      <c r="F3529" s="4" t="s">
        <v>29</v>
      </c>
    </row>
    <row r="3530" spans="1:6" x14ac:dyDescent="0.25">
      <c r="A3530" s="4" t="s">
        <v>80</v>
      </c>
      <c r="B3530" s="4" t="s">
        <v>2</v>
      </c>
      <c r="C3530" s="4" t="s">
        <v>34</v>
      </c>
      <c r="D3530" s="4">
        <v>2005</v>
      </c>
      <c r="E3530" s="4">
        <v>0</v>
      </c>
      <c r="F3530" s="4" t="s">
        <v>29</v>
      </c>
    </row>
    <row r="3531" spans="1:6" x14ac:dyDescent="0.25">
      <c r="A3531" s="4" t="s">
        <v>80</v>
      </c>
      <c r="B3531" s="4" t="s">
        <v>2</v>
      </c>
      <c r="C3531" s="4" t="s">
        <v>34</v>
      </c>
      <c r="D3531" s="4">
        <v>2006</v>
      </c>
      <c r="E3531" s="4">
        <v>0</v>
      </c>
      <c r="F3531" s="4" t="s">
        <v>29</v>
      </c>
    </row>
    <row r="3532" spans="1:6" x14ac:dyDescent="0.25">
      <c r="A3532" s="4" t="s">
        <v>80</v>
      </c>
      <c r="B3532" s="4" t="s">
        <v>2</v>
      </c>
      <c r="C3532" s="4" t="s">
        <v>34</v>
      </c>
      <c r="D3532" s="4">
        <v>2007</v>
      </c>
      <c r="E3532" s="4">
        <v>0</v>
      </c>
      <c r="F3532" s="4" t="s">
        <v>29</v>
      </c>
    </row>
    <row r="3533" spans="1:6" x14ac:dyDescent="0.25">
      <c r="A3533" s="4" t="s">
        <v>80</v>
      </c>
      <c r="B3533" s="4" t="s">
        <v>2</v>
      </c>
      <c r="C3533" s="4" t="s">
        <v>34</v>
      </c>
      <c r="D3533" s="4">
        <v>2008</v>
      </c>
      <c r="E3533" s="4">
        <v>0</v>
      </c>
      <c r="F3533" s="4" t="s">
        <v>29</v>
      </c>
    </row>
    <row r="3534" spans="1:6" x14ac:dyDescent="0.25">
      <c r="A3534" s="4" t="s">
        <v>80</v>
      </c>
      <c r="B3534" s="4" t="s">
        <v>2</v>
      </c>
      <c r="C3534" s="4" t="s">
        <v>34</v>
      </c>
      <c r="D3534" s="4">
        <v>2009</v>
      </c>
      <c r="E3534" s="4">
        <v>0</v>
      </c>
      <c r="F3534" s="4" t="s">
        <v>29</v>
      </c>
    </row>
    <row r="3535" spans="1:6" x14ac:dyDescent="0.25">
      <c r="A3535" s="4" t="s">
        <v>80</v>
      </c>
      <c r="B3535" s="4" t="s">
        <v>2</v>
      </c>
      <c r="C3535" s="4" t="s">
        <v>34</v>
      </c>
      <c r="D3535" s="4">
        <v>2010</v>
      </c>
      <c r="E3535" s="4">
        <v>0</v>
      </c>
      <c r="F3535" s="4" t="s">
        <v>29</v>
      </c>
    </row>
    <row r="3536" spans="1:6" x14ac:dyDescent="0.25">
      <c r="A3536" s="4" t="s">
        <v>80</v>
      </c>
      <c r="B3536" s="4" t="s">
        <v>2</v>
      </c>
      <c r="C3536" s="4" t="s">
        <v>34</v>
      </c>
      <c r="D3536" s="4">
        <v>2011</v>
      </c>
      <c r="E3536" s="4">
        <v>0</v>
      </c>
      <c r="F3536" s="4" t="s">
        <v>29</v>
      </c>
    </row>
    <row r="3537" spans="1:6" x14ac:dyDescent="0.25">
      <c r="A3537" s="4" t="s">
        <v>80</v>
      </c>
      <c r="B3537" s="4" t="s">
        <v>2</v>
      </c>
      <c r="C3537" s="4" t="s">
        <v>34</v>
      </c>
      <c r="D3537" s="4">
        <v>2012</v>
      </c>
      <c r="E3537" s="4">
        <v>0</v>
      </c>
      <c r="F3537" s="4" t="s">
        <v>29</v>
      </c>
    </row>
    <row r="3538" spans="1:6" x14ac:dyDescent="0.25">
      <c r="A3538" s="4" t="s">
        <v>80</v>
      </c>
      <c r="B3538" s="4" t="s">
        <v>2</v>
      </c>
      <c r="C3538" s="4" t="s">
        <v>34</v>
      </c>
      <c r="D3538" s="4">
        <v>2013</v>
      </c>
      <c r="E3538" s="4">
        <v>0</v>
      </c>
      <c r="F3538" s="4" t="s">
        <v>29</v>
      </c>
    </row>
    <row r="3539" spans="1:6" x14ac:dyDescent="0.25">
      <c r="A3539" s="4" t="s">
        <v>80</v>
      </c>
      <c r="B3539" s="4" t="s">
        <v>2</v>
      </c>
      <c r="C3539" s="4" t="s">
        <v>34</v>
      </c>
      <c r="D3539" s="4">
        <v>2014</v>
      </c>
      <c r="E3539" s="4">
        <v>0</v>
      </c>
      <c r="F3539" s="4" t="s">
        <v>29</v>
      </c>
    </row>
    <row r="3540" spans="1:6" x14ac:dyDescent="0.25">
      <c r="A3540" s="4" t="s">
        <v>80</v>
      </c>
      <c r="B3540" s="4" t="s">
        <v>2</v>
      </c>
      <c r="C3540" s="4" t="s">
        <v>34</v>
      </c>
      <c r="D3540" s="4">
        <v>2015</v>
      </c>
      <c r="E3540" s="4">
        <v>0</v>
      </c>
      <c r="F3540" s="4" t="s">
        <v>29</v>
      </c>
    </row>
    <row r="3541" spans="1:6" x14ac:dyDescent="0.25">
      <c r="A3541" s="4" t="s">
        <v>80</v>
      </c>
      <c r="B3541" s="4" t="s">
        <v>2</v>
      </c>
      <c r="C3541" s="4" t="s">
        <v>34</v>
      </c>
      <c r="D3541" s="4">
        <v>2016</v>
      </c>
      <c r="E3541" s="4">
        <v>0</v>
      </c>
      <c r="F3541" s="4" t="s">
        <v>29</v>
      </c>
    </row>
    <row r="3542" spans="1:6" x14ac:dyDescent="0.25">
      <c r="A3542" s="4" t="s">
        <v>80</v>
      </c>
      <c r="B3542" s="4" t="s">
        <v>2</v>
      </c>
      <c r="C3542" s="4" t="s">
        <v>34</v>
      </c>
      <c r="D3542" s="4">
        <v>2017</v>
      </c>
      <c r="E3542" s="4">
        <v>336</v>
      </c>
      <c r="F3542" s="4" t="s">
        <v>29</v>
      </c>
    </row>
    <row r="3543" spans="1:6" x14ac:dyDescent="0.25">
      <c r="A3543" s="4" t="s">
        <v>80</v>
      </c>
      <c r="B3543" s="4" t="s">
        <v>2</v>
      </c>
      <c r="C3543" s="4" t="s">
        <v>34</v>
      </c>
      <c r="D3543" s="4">
        <v>2018</v>
      </c>
      <c r="E3543" s="4">
        <v>7850.6753922528205</v>
      </c>
      <c r="F3543" s="4" t="s">
        <v>29</v>
      </c>
    </row>
    <row r="3544" spans="1:6" x14ac:dyDescent="0.25">
      <c r="A3544" s="4" t="s">
        <v>80</v>
      </c>
      <c r="B3544" s="4" t="s">
        <v>2</v>
      </c>
      <c r="C3544" s="4" t="s">
        <v>34</v>
      </c>
      <c r="D3544" s="4">
        <v>2019</v>
      </c>
      <c r="E3544" s="4">
        <v>12625.679671849659</v>
      </c>
      <c r="F3544" s="4" t="s">
        <v>29</v>
      </c>
    </row>
    <row r="3545" spans="1:6" x14ac:dyDescent="0.25">
      <c r="A3545" s="4" t="s">
        <v>80</v>
      </c>
      <c r="B3545" s="4" t="s">
        <v>2</v>
      </c>
      <c r="C3545" s="4" t="s">
        <v>34</v>
      </c>
      <c r="D3545" s="4">
        <v>2020</v>
      </c>
      <c r="E3545" s="4">
        <v>19461.35012242043</v>
      </c>
      <c r="F3545" s="4" t="s">
        <v>29</v>
      </c>
    </row>
    <row r="3546" spans="1:6" x14ac:dyDescent="0.25">
      <c r="A3546" s="4" t="s">
        <v>80</v>
      </c>
      <c r="B3546" s="4" t="s">
        <v>2</v>
      </c>
      <c r="C3546" s="4" t="s">
        <v>34</v>
      </c>
      <c r="D3546" s="4">
        <v>2021</v>
      </c>
      <c r="E3546" s="4">
        <v>23504.721930745025</v>
      </c>
      <c r="F3546" s="4" t="s">
        <v>29</v>
      </c>
    </row>
    <row r="3547" spans="1:6" x14ac:dyDescent="0.25">
      <c r="A3547" s="4" t="s">
        <v>80</v>
      </c>
      <c r="B3547" s="4" t="s">
        <v>2</v>
      </c>
      <c r="C3547" s="4" t="s">
        <v>34</v>
      </c>
      <c r="D3547" s="4">
        <v>2022</v>
      </c>
      <c r="E3547" s="4">
        <v>24031.924703488188</v>
      </c>
      <c r="F3547" s="4" t="s">
        <v>29</v>
      </c>
    </row>
    <row r="3548" spans="1:6" x14ac:dyDescent="0.25">
      <c r="A3548" s="4" t="s">
        <v>80</v>
      </c>
      <c r="B3548" s="4" t="s">
        <v>2</v>
      </c>
      <c r="C3548" s="4" t="s">
        <v>34</v>
      </c>
      <c r="D3548" s="4">
        <v>2023</v>
      </c>
      <c r="E3548" s="4">
        <v>24905.084422398173</v>
      </c>
      <c r="F3548" s="4" t="s">
        <v>29</v>
      </c>
    </row>
    <row r="3549" spans="1:6" x14ac:dyDescent="0.25">
      <c r="A3549" s="4" t="s">
        <v>80</v>
      </c>
      <c r="B3549" s="4" t="s">
        <v>2</v>
      </c>
      <c r="C3549" s="4" t="s">
        <v>34</v>
      </c>
      <c r="D3549" s="4">
        <v>2024</v>
      </c>
      <c r="E3549" s="4">
        <v>25292.378136029765</v>
      </c>
      <c r="F3549" s="4" t="s">
        <v>29</v>
      </c>
    </row>
    <row r="3550" spans="1:6" x14ac:dyDescent="0.25">
      <c r="A3550" s="4" t="s">
        <v>80</v>
      </c>
      <c r="B3550" s="4" t="s">
        <v>2</v>
      </c>
      <c r="C3550" s="4" t="s">
        <v>34</v>
      </c>
      <c r="D3550" s="4">
        <v>2025</v>
      </c>
      <c r="E3550" s="4">
        <v>24660.084581385745</v>
      </c>
      <c r="F3550" s="4" t="s">
        <v>29</v>
      </c>
    </row>
    <row r="3551" spans="1:6" x14ac:dyDescent="0.25">
      <c r="A3551" s="4" t="s">
        <v>80</v>
      </c>
      <c r="B3551" s="4" t="s">
        <v>2</v>
      </c>
      <c r="C3551" s="4" t="s">
        <v>34</v>
      </c>
      <c r="D3551" s="4">
        <v>2026</v>
      </c>
      <c r="E3551" s="4">
        <v>21983.210912906612</v>
      </c>
      <c r="F3551" s="4" t="s">
        <v>29</v>
      </c>
    </row>
    <row r="3552" spans="1:6" x14ac:dyDescent="0.25">
      <c r="A3552" s="4" t="s">
        <v>80</v>
      </c>
      <c r="B3552" s="4" t="s">
        <v>2</v>
      </c>
      <c r="C3552" s="4" t="s">
        <v>34</v>
      </c>
      <c r="D3552" s="4">
        <v>2027</v>
      </c>
      <c r="E3552" s="4">
        <v>19518.267671468093</v>
      </c>
      <c r="F3552" s="4" t="s">
        <v>29</v>
      </c>
    </row>
    <row r="3553" spans="1:6" x14ac:dyDescent="0.25">
      <c r="A3553" s="4" t="s">
        <v>80</v>
      </c>
      <c r="B3553" s="4" t="s">
        <v>2</v>
      </c>
      <c r="C3553" s="4" t="s">
        <v>34</v>
      </c>
      <c r="D3553" s="4">
        <v>2028</v>
      </c>
      <c r="E3553" s="4">
        <v>16588.762758752269</v>
      </c>
      <c r="F3553" s="4" t="s">
        <v>29</v>
      </c>
    </row>
    <row r="3554" spans="1:6" x14ac:dyDescent="0.25">
      <c r="A3554" s="4" t="s">
        <v>80</v>
      </c>
      <c r="B3554" s="4" t="s">
        <v>2</v>
      </c>
      <c r="C3554" s="4" t="s">
        <v>34</v>
      </c>
      <c r="D3554" s="4">
        <v>2029</v>
      </c>
      <c r="E3554" s="4">
        <v>13923.972145378237</v>
      </c>
      <c r="F3554" s="4" t="s">
        <v>29</v>
      </c>
    </row>
    <row r="3555" spans="1:6" x14ac:dyDescent="0.25">
      <c r="A3555" s="4" t="s">
        <v>80</v>
      </c>
      <c r="B3555" s="4" t="s">
        <v>2</v>
      </c>
      <c r="C3555" s="4" t="s">
        <v>34</v>
      </c>
      <c r="D3555" s="4">
        <v>2030</v>
      </c>
      <c r="E3555" s="4">
        <v>11841.552990556142</v>
      </c>
      <c r="F3555" s="4" t="s">
        <v>29</v>
      </c>
    </row>
    <row r="3556" spans="1:6" x14ac:dyDescent="0.25">
      <c r="A3556" s="4" t="s">
        <v>80</v>
      </c>
      <c r="B3556" s="4" t="s">
        <v>2</v>
      </c>
      <c r="C3556" s="4" t="s">
        <v>34</v>
      </c>
      <c r="D3556" s="4">
        <v>2031</v>
      </c>
      <c r="E3556" s="4">
        <v>10359.152914242108</v>
      </c>
      <c r="F3556" s="4" t="s">
        <v>29</v>
      </c>
    </row>
    <row r="3557" spans="1:6" x14ac:dyDescent="0.25">
      <c r="A3557" s="4" t="s">
        <v>80</v>
      </c>
      <c r="B3557" s="4" t="s">
        <v>2</v>
      </c>
      <c r="C3557" s="4" t="s">
        <v>34</v>
      </c>
      <c r="D3557" s="4">
        <v>2032</v>
      </c>
      <c r="E3557" s="4">
        <v>9335.5909567871804</v>
      </c>
      <c r="F3557" s="4" t="s">
        <v>29</v>
      </c>
    </row>
    <row r="3558" spans="1:6" x14ac:dyDescent="0.25">
      <c r="A3558" s="4" t="s">
        <v>80</v>
      </c>
      <c r="B3558" s="4" t="s">
        <v>2</v>
      </c>
      <c r="C3558" s="4" t="s">
        <v>34</v>
      </c>
      <c r="D3558" s="4">
        <v>2033</v>
      </c>
      <c r="E3558" s="4">
        <v>7959.0766002098644</v>
      </c>
      <c r="F3558" s="4" t="s">
        <v>29</v>
      </c>
    </row>
    <row r="3559" spans="1:6" x14ac:dyDescent="0.25">
      <c r="A3559" s="4" t="s">
        <v>80</v>
      </c>
      <c r="B3559" s="4" t="s">
        <v>2</v>
      </c>
      <c r="C3559" s="4" t="s">
        <v>34</v>
      </c>
      <c r="D3559" s="4">
        <v>2034</v>
      </c>
      <c r="E3559" s="4">
        <v>6794.3336831059814</v>
      </c>
      <c r="F3559" s="4" t="s">
        <v>29</v>
      </c>
    </row>
    <row r="3560" spans="1:6" x14ac:dyDescent="0.25">
      <c r="A3560" s="4" t="s">
        <v>80</v>
      </c>
      <c r="B3560" s="4" t="s">
        <v>2</v>
      </c>
      <c r="C3560" s="4" t="s">
        <v>34</v>
      </c>
      <c r="D3560" s="4">
        <v>2035</v>
      </c>
      <c r="E3560" s="4">
        <v>6123.7241247734437</v>
      </c>
      <c r="F3560" s="4" t="s">
        <v>29</v>
      </c>
    </row>
    <row r="3561" spans="1:6" x14ac:dyDescent="0.25">
      <c r="A3561" s="4" t="s">
        <v>80</v>
      </c>
      <c r="B3561" s="4" t="s">
        <v>2</v>
      </c>
      <c r="C3561" s="4" t="s">
        <v>34</v>
      </c>
      <c r="D3561" s="4">
        <v>2036</v>
      </c>
      <c r="E3561" s="4">
        <v>5629.5907660020985</v>
      </c>
      <c r="F3561" s="4" t="s">
        <v>29</v>
      </c>
    </row>
    <row r="3562" spans="1:6" x14ac:dyDescent="0.25">
      <c r="A3562" s="4" t="s">
        <v>80</v>
      </c>
      <c r="B3562" s="4" t="s">
        <v>2</v>
      </c>
      <c r="C3562" s="4" t="s">
        <v>34</v>
      </c>
      <c r="D3562" s="4">
        <v>2037</v>
      </c>
      <c r="E3562" s="4">
        <v>5636.6014643408325</v>
      </c>
      <c r="F3562" s="4" t="s">
        <v>29</v>
      </c>
    </row>
    <row r="3563" spans="1:6" x14ac:dyDescent="0.25">
      <c r="A3563" s="4" t="s">
        <v>80</v>
      </c>
      <c r="B3563" s="4" t="s">
        <v>2</v>
      </c>
      <c r="C3563" s="4" t="s">
        <v>34</v>
      </c>
      <c r="D3563" s="4">
        <v>2038</v>
      </c>
      <c r="E3563" s="4">
        <v>5266.0014452623236</v>
      </c>
      <c r="F3563" s="4" t="s">
        <v>29</v>
      </c>
    </row>
    <row r="3564" spans="1:6" x14ac:dyDescent="0.25">
      <c r="A3564" s="4" t="s">
        <v>80</v>
      </c>
      <c r="B3564" s="4" t="s">
        <v>2</v>
      </c>
      <c r="C3564" s="4" t="s">
        <v>34</v>
      </c>
      <c r="D3564" s="4">
        <v>2039</v>
      </c>
      <c r="E3564" s="4">
        <v>4754.9457111905913</v>
      </c>
      <c r="F3564" s="4" t="s">
        <v>29</v>
      </c>
    </row>
    <row r="3565" spans="1:6" x14ac:dyDescent="0.25">
      <c r="A3565" s="4" t="s">
        <v>80</v>
      </c>
      <c r="B3565" s="4" t="s">
        <v>2</v>
      </c>
      <c r="C3565" s="4" t="s">
        <v>34</v>
      </c>
      <c r="D3565" s="4">
        <v>2040</v>
      </c>
      <c r="E3565" s="4">
        <v>4304.7656132306856</v>
      </c>
      <c r="F3565" s="4" t="s">
        <v>29</v>
      </c>
    </row>
    <row r="3566" spans="1:6" x14ac:dyDescent="0.25">
      <c r="A3566" s="4" t="s">
        <v>80</v>
      </c>
      <c r="B3566" s="4" t="s">
        <v>23</v>
      </c>
      <c r="C3566" s="4" t="s">
        <v>34</v>
      </c>
      <c r="D3566" s="4">
        <v>2005</v>
      </c>
      <c r="E3566" s="4">
        <v>48470</v>
      </c>
      <c r="F3566" s="4" t="s">
        <v>29</v>
      </c>
    </row>
    <row r="3567" spans="1:6" x14ac:dyDescent="0.25">
      <c r="A3567" s="4" t="s">
        <v>80</v>
      </c>
      <c r="B3567" s="4" t="s">
        <v>23</v>
      </c>
      <c r="C3567" s="4" t="s">
        <v>34</v>
      </c>
      <c r="D3567" s="4">
        <v>2006</v>
      </c>
      <c r="E3567" s="4">
        <v>48280</v>
      </c>
      <c r="F3567" s="4" t="s">
        <v>29</v>
      </c>
    </row>
    <row r="3568" spans="1:6" x14ac:dyDescent="0.25">
      <c r="A3568" s="4" t="s">
        <v>80</v>
      </c>
      <c r="B3568" s="4" t="s">
        <v>23</v>
      </c>
      <c r="C3568" s="4" t="s">
        <v>34</v>
      </c>
      <c r="D3568" s="4">
        <v>2007</v>
      </c>
      <c r="E3568" s="4">
        <v>58580</v>
      </c>
      <c r="F3568" s="4" t="s">
        <v>29</v>
      </c>
    </row>
    <row r="3569" spans="1:6" x14ac:dyDescent="0.25">
      <c r="A3569" s="4" t="s">
        <v>80</v>
      </c>
      <c r="B3569" s="4" t="s">
        <v>23</v>
      </c>
      <c r="C3569" s="4" t="s">
        <v>34</v>
      </c>
      <c r="D3569" s="4">
        <v>2008</v>
      </c>
      <c r="E3569" s="4">
        <v>54550</v>
      </c>
      <c r="F3569" s="4" t="s">
        <v>29</v>
      </c>
    </row>
    <row r="3570" spans="1:6" x14ac:dyDescent="0.25">
      <c r="A3570" s="4" t="s">
        <v>80</v>
      </c>
      <c r="B3570" s="4" t="s">
        <v>23</v>
      </c>
      <c r="C3570" s="4" t="s">
        <v>34</v>
      </c>
      <c r="D3570" s="4">
        <v>2009</v>
      </c>
      <c r="E3570" s="4">
        <v>42550</v>
      </c>
      <c r="F3570" s="4" t="s">
        <v>29</v>
      </c>
    </row>
    <row r="3571" spans="1:6" x14ac:dyDescent="0.25">
      <c r="A3571" s="4" t="s">
        <v>80</v>
      </c>
      <c r="B3571" s="4" t="s">
        <v>23</v>
      </c>
      <c r="C3571" s="4" t="s">
        <v>34</v>
      </c>
      <c r="D3571" s="4">
        <v>2010</v>
      </c>
      <c r="E3571" s="4">
        <v>43850</v>
      </c>
      <c r="F3571" s="4" t="s">
        <v>29</v>
      </c>
    </row>
    <row r="3572" spans="1:6" x14ac:dyDescent="0.25">
      <c r="A3572" s="4" t="s">
        <v>80</v>
      </c>
      <c r="B3572" s="4" t="s">
        <v>23</v>
      </c>
      <c r="C3572" s="4" t="s">
        <v>34</v>
      </c>
      <c r="D3572" s="4">
        <v>2011</v>
      </c>
      <c r="E3572" s="4">
        <v>42140</v>
      </c>
      <c r="F3572" s="4" t="s">
        <v>29</v>
      </c>
    </row>
    <row r="3573" spans="1:6" x14ac:dyDescent="0.25">
      <c r="A3573" s="4" t="s">
        <v>80</v>
      </c>
      <c r="B3573" s="4" t="s">
        <v>23</v>
      </c>
      <c r="C3573" s="4" t="s">
        <v>34</v>
      </c>
      <c r="D3573" s="4">
        <v>2012</v>
      </c>
      <c r="E3573" s="4">
        <v>31430</v>
      </c>
      <c r="F3573" s="4" t="s">
        <v>29</v>
      </c>
    </row>
    <row r="3574" spans="1:6" x14ac:dyDescent="0.25">
      <c r="A3574" s="4" t="s">
        <v>80</v>
      </c>
      <c r="B3574" s="4" t="s">
        <v>23</v>
      </c>
      <c r="C3574" s="4" t="s">
        <v>34</v>
      </c>
      <c r="D3574" s="4">
        <v>2013</v>
      </c>
      <c r="E3574" s="4">
        <v>36870</v>
      </c>
      <c r="F3574" s="4" t="s">
        <v>29</v>
      </c>
    </row>
    <row r="3575" spans="1:6" x14ac:dyDescent="0.25">
      <c r="A3575" s="4" t="s">
        <v>80</v>
      </c>
      <c r="B3575" s="4" t="s">
        <v>23</v>
      </c>
      <c r="C3575" s="4" t="s">
        <v>34</v>
      </c>
      <c r="D3575" s="4">
        <v>2014</v>
      </c>
      <c r="E3575" s="4">
        <v>34340</v>
      </c>
      <c r="F3575" s="4" t="s">
        <v>29</v>
      </c>
    </row>
    <row r="3576" spans="1:6" x14ac:dyDescent="0.25">
      <c r="A3576" s="4" t="s">
        <v>80</v>
      </c>
      <c r="B3576" s="4" t="s">
        <v>23</v>
      </c>
      <c r="C3576" s="4" t="s">
        <v>34</v>
      </c>
      <c r="D3576" s="4">
        <v>2015</v>
      </c>
      <c r="E3576" s="4">
        <v>27348</v>
      </c>
      <c r="F3576" s="4" t="s">
        <v>29</v>
      </c>
    </row>
    <row r="3577" spans="1:6" x14ac:dyDescent="0.25">
      <c r="A3577" s="4" t="s">
        <v>80</v>
      </c>
      <c r="B3577" s="4" t="s">
        <v>23</v>
      </c>
      <c r="C3577" s="4" t="s">
        <v>34</v>
      </c>
      <c r="D3577" s="4">
        <v>2016</v>
      </c>
      <c r="E3577" s="4">
        <v>33334</v>
      </c>
      <c r="F3577" s="4" t="s">
        <v>29</v>
      </c>
    </row>
    <row r="3578" spans="1:6" x14ac:dyDescent="0.25">
      <c r="A3578" s="4" t="s">
        <v>80</v>
      </c>
      <c r="B3578" s="4" t="s">
        <v>23</v>
      </c>
      <c r="C3578" s="4" t="s">
        <v>34</v>
      </c>
      <c r="D3578" s="4">
        <v>2017</v>
      </c>
      <c r="E3578" s="4">
        <v>35096</v>
      </c>
      <c r="F3578" s="4" t="s">
        <v>29</v>
      </c>
    </row>
    <row r="3579" spans="1:6" x14ac:dyDescent="0.25">
      <c r="A3579" s="4" t="s">
        <v>80</v>
      </c>
      <c r="B3579" s="4" t="s">
        <v>23</v>
      </c>
      <c r="C3579" s="4" t="s">
        <v>34</v>
      </c>
      <c r="D3579" s="4">
        <v>2018</v>
      </c>
      <c r="E3579" s="4">
        <v>38090.215652478451</v>
      </c>
      <c r="F3579" s="4" t="s">
        <v>29</v>
      </c>
    </row>
    <row r="3580" spans="1:6" x14ac:dyDescent="0.25">
      <c r="A3580" s="4" t="s">
        <v>80</v>
      </c>
      <c r="B3580" s="4" t="s">
        <v>23</v>
      </c>
      <c r="C3580" s="4" t="s">
        <v>34</v>
      </c>
      <c r="D3580" s="4">
        <v>2019</v>
      </c>
      <c r="E3580" s="4">
        <v>42887.937410501763</v>
      </c>
      <c r="F3580" s="4" t="s">
        <v>29</v>
      </c>
    </row>
    <row r="3581" spans="1:6" x14ac:dyDescent="0.25">
      <c r="A3581" s="4" t="s">
        <v>80</v>
      </c>
      <c r="B3581" s="4" t="s">
        <v>23</v>
      </c>
      <c r="C3581" s="4" t="s">
        <v>34</v>
      </c>
      <c r="D3581" s="4">
        <v>2020</v>
      </c>
      <c r="E3581" s="4">
        <v>43293.447908037357</v>
      </c>
      <c r="F3581" s="4" t="s">
        <v>29</v>
      </c>
    </row>
    <row r="3582" spans="1:6" x14ac:dyDescent="0.25">
      <c r="A3582" s="4" t="s">
        <v>80</v>
      </c>
      <c r="B3582" s="4" t="s">
        <v>23</v>
      </c>
      <c r="C3582" s="4" t="s">
        <v>34</v>
      </c>
      <c r="D3582" s="4">
        <v>2021</v>
      </c>
      <c r="E3582" s="4">
        <v>48767.311007823693</v>
      </c>
      <c r="F3582" s="4" t="s">
        <v>29</v>
      </c>
    </row>
    <row r="3583" spans="1:6" x14ac:dyDescent="0.25">
      <c r="A3583" s="4" t="s">
        <v>80</v>
      </c>
      <c r="B3583" s="4" t="s">
        <v>23</v>
      </c>
      <c r="C3583" s="4" t="s">
        <v>34</v>
      </c>
      <c r="D3583" s="4">
        <v>2022</v>
      </c>
      <c r="E3583" s="4">
        <v>47793.446935743326</v>
      </c>
      <c r="F3583" s="4" t="s">
        <v>29</v>
      </c>
    </row>
    <row r="3584" spans="1:6" x14ac:dyDescent="0.25">
      <c r="A3584" s="4" t="s">
        <v>80</v>
      </c>
      <c r="B3584" s="4" t="s">
        <v>23</v>
      </c>
      <c r="C3584" s="4" t="s">
        <v>34</v>
      </c>
      <c r="D3584" s="4">
        <v>2023</v>
      </c>
      <c r="E3584" s="4">
        <v>54323.375987329848</v>
      </c>
      <c r="F3584" s="4" t="s">
        <v>29</v>
      </c>
    </row>
    <row r="3585" spans="1:6" x14ac:dyDescent="0.25">
      <c r="A3585" s="4" t="s">
        <v>80</v>
      </c>
      <c r="B3585" s="4" t="s">
        <v>23</v>
      </c>
      <c r="C3585" s="4" t="s">
        <v>34</v>
      </c>
      <c r="D3585" s="4">
        <v>2024</v>
      </c>
      <c r="E3585" s="4">
        <v>56877.476721313942</v>
      </c>
      <c r="F3585" s="4" t="s">
        <v>29</v>
      </c>
    </row>
    <row r="3586" spans="1:6" x14ac:dyDescent="0.25">
      <c r="A3586" s="4" t="s">
        <v>80</v>
      </c>
      <c r="B3586" s="4" t="s">
        <v>23</v>
      </c>
      <c r="C3586" s="4" t="s">
        <v>34</v>
      </c>
      <c r="D3586" s="4">
        <v>2025</v>
      </c>
      <c r="E3586" s="4">
        <v>56825.195582079868</v>
      </c>
      <c r="F3586" s="4" t="s">
        <v>29</v>
      </c>
    </row>
    <row r="3587" spans="1:6" x14ac:dyDescent="0.25">
      <c r="A3587" s="4" t="s">
        <v>80</v>
      </c>
      <c r="B3587" s="4" t="s">
        <v>23</v>
      </c>
      <c r="C3587" s="4" t="s">
        <v>34</v>
      </c>
      <c r="D3587" s="4">
        <v>2026</v>
      </c>
      <c r="E3587" s="4">
        <v>54288.04055288744</v>
      </c>
      <c r="F3587" s="4" t="s">
        <v>29</v>
      </c>
    </row>
    <row r="3588" spans="1:6" x14ac:dyDescent="0.25">
      <c r="A3588" s="4" t="s">
        <v>80</v>
      </c>
      <c r="B3588" s="4" t="s">
        <v>23</v>
      </c>
      <c r="C3588" s="4" t="s">
        <v>34</v>
      </c>
      <c r="D3588" s="4">
        <v>2027</v>
      </c>
      <c r="E3588" s="4">
        <v>53401.099144937274</v>
      </c>
      <c r="F3588" s="4" t="s">
        <v>29</v>
      </c>
    </row>
    <row r="3589" spans="1:6" x14ac:dyDescent="0.25">
      <c r="A3589" s="4" t="s">
        <v>80</v>
      </c>
      <c r="B3589" s="4" t="s">
        <v>23</v>
      </c>
      <c r="C3589" s="4" t="s">
        <v>34</v>
      </c>
      <c r="D3589" s="4">
        <v>2028</v>
      </c>
      <c r="E3589" s="4">
        <v>48723.971663142693</v>
      </c>
      <c r="F3589" s="4" t="s">
        <v>29</v>
      </c>
    </row>
    <row r="3590" spans="1:6" x14ac:dyDescent="0.25">
      <c r="A3590" s="4" t="s">
        <v>80</v>
      </c>
      <c r="B3590" s="4" t="s">
        <v>23</v>
      </c>
      <c r="C3590" s="4" t="s">
        <v>34</v>
      </c>
      <c r="D3590" s="4">
        <v>2029</v>
      </c>
      <c r="E3590" s="4">
        <v>45372.675290755738</v>
      </c>
      <c r="F3590" s="4" t="s">
        <v>29</v>
      </c>
    </row>
    <row r="3591" spans="1:6" x14ac:dyDescent="0.25">
      <c r="A3591" s="4" t="s">
        <v>80</v>
      </c>
      <c r="B3591" s="4" t="s">
        <v>23</v>
      </c>
      <c r="C3591" s="4" t="s">
        <v>34</v>
      </c>
      <c r="D3591" s="4">
        <v>2030</v>
      </c>
      <c r="E3591" s="4">
        <v>41120.973192705031</v>
      </c>
      <c r="F3591" s="4" t="s">
        <v>29</v>
      </c>
    </row>
    <row r="3592" spans="1:6" x14ac:dyDescent="0.25">
      <c r="A3592" s="4" t="s">
        <v>80</v>
      </c>
      <c r="B3592" s="4" t="s">
        <v>23</v>
      </c>
      <c r="C3592" s="4" t="s">
        <v>34</v>
      </c>
      <c r="D3592" s="4">
        <v>2031</v>
      </c>
      <c r="E3592" s="4">
        <v>36790.876843202946</v>
      </c>
      <c r="F3592" s="4" t="s">
        <v>29</v>
      </c>
    </row>
    <row r="3593" spans="1:6" x14ac:dyDescent="0.25">
      <c r="A3593" s="4" t="s">
        <v>80</v>
      </c>
      <c r="B3593" s="4" t="s">
        <v>23</v>
      </c>
      <c r="C3593" s="4" t="s">
        <v>34</v>
      </c>
      <c r="D3593" s="4">
        <v>2032</v>
      </c>
      <c r="E3593" s="4">
        <v>33365.742175489257</v>
      </c>
      <c r="F3593" s="4" t="s">
        <v>29</v>
      </c>
    </row>
    <row r="3594" spans="1:6" x14ac:dyDescent="0.25">
      <c r="A3594" s="4" t="s">
        <v>80</v>
      </c>
      <c r="B3594" s="4" t="s">
        <v>23</v>
      </c>
      <c r="C3594" s="4" t="s">
        <v>34</v>
      </c>
      <c r="D3594" s="4">
        <v>2033</v>
      </c>
      <c r="E3594" s="4">
        <v>32618.793377354476</v>
      </c>
      <c r="F3594" s="4" t="s">
        <v>29</v>
      </c>
    </row>
    <row r="3595" spans="1:6" x14ac:dyDescent="0.25">
      <c r="A3595" s="4" t="s">
        <v>80</v>
      </c>
      <c r="B3595" s="4" t="s">
        <v>23</v>
      </c>
      <c r="C3595" s="4" t="s">
        <v>34</v>
      </c>
      <c r="D3595" s="4">
        <v>2034</v>
      </c>
      <c r="E3595" s="4">
        <v>29868.342189917788</v>
      </c>
      <c r="F3595" s="4" t="s">
        <v>29</v>
      </c>
    </row>
    <row r="3596" spans="1:6" x14ac:dyDescent="0.25">
      <c r="A3596" s="4" t="s">
        <v>80</v>
      </c>
      <c r="B3596" s="4" t="s">
        <v>23</v>
      </c>
      <c r="C3596" s="4" t="s">
        <v>34</v>
      </c>
      <c r="D3596" s="4">
        <v>2035</v>
      </c>
      <c r="E3596" s="4">
        <v>28903.129826884593</v>
      </c>
      <c r="F3596" s="4" t="s">
        <v>29</v>
      </c>
    </row>
    <row r="3597" spans="1:6" x14ac:dyDescent="0.25">
      <c r="A3597" s="4" t="s">
        <v>80</v>
      </c>
      <c r="B3597" s="4" t="s">
        <v>23</v>
      </c>
      <c r="C3597" s="4" t="s">
        <v>34</v>
      </c>
      <c r="D3597" s="4">
        <v>2036</v>
      </c>
      <c r="E3597" s="4">
        <v>28959.384332590649</v>
      </c>
      <c r="F3597" s="4" t="s">
        <v>29</v>
      </c>
    </row>
    <row r="3598" spans="1:6" x14ac:dyDescent="0.25">
      <c r="A3598" s="4" t="s">
        <v>80</v>
      </c>
      <c r="B3598" s="4" t="s">
        <v>23</v>
      </c>
      <c r="C3598" s="4" t="s">
        <v>34</v>
      </c>
      <c r="D3598" s="4">
        <v>2037</v>
      </c>
      <c r="E3598" s="4">
        <v>28451.560650185813</v>
      </c>
      <c r="F3598" s="4" t="s">
        <v>29</v>
      </c>
    </row>
    <row r="3599" spans="1:6" x14ac:dyDescent="0.25">
      <c r="A3599" s="4" t="s">
        <v>80</v>
      </c>
      <c r="B3599" s="4" t="s">
        <v>23</v>
      </c>
      <c r="C3599" s="4" t="s">
        <v>34</v>
      </c>
      <c r="D3599" s="4">
        <v>2038</v>
      </c>
      <c r="E3599" s="4">
        <v>24926.628358402646</v>
      </c>
      <c r="F3599" s="4" t="s">
        <v>29</v>
      </c>
    </row>
    <row r="3600" spans="1:6" x14ac:dyDescent="0.25">
      <c r="A3600" s="4" t="s">
        <v>80</v>
      </c>
      <c r="B3600" s="4" t="s">
        <v>23</v>
      </c>
      <c r="C3600" s="4" t="s">
        <v>34</v>
      </c>
      <c r="D3600" s="4">
        <v>2039</v>
      </c>
      <c r="E3600" s="4">
        <v>22988.03986932947</v>
      </c>
      <c r="F3600" s="4" t="s">
        <v>29</v>
      </c>
    </row>
    <row r="3601" spans="1:6" x14ac:dyDescent="0.25">
      <c r="A3601" s="4" t="s">
        <v>80</v>
      </c>
      <c r="B3601" s="4" t="s">
        <v>23</v>
      </c>
      <c r="C3601" s="4" t="s">
        <v>34</v>
      </c>
      <c r="D3601" s="4">
        <v>2040</v>
      </c>
      <c r="E3601" s="4">
        <v>20509.356947489636</v>
      </c>
      <c r="F3601" s="4" t="s">
        <v>29</v>
      </c>
    </row>
    <row r="3602" spans="1:6" x14ac:dyDescent="0.25">
      <c r="A3602" s="4" t="s">
        <v>81</v>
      </c>
      <c r="B3602" s="4" t="s">
        <v>1</v>
      </c>
      <c r="C3602" s="4" t="s">
        <v>34</v>
      </c>
      <c r="D3602" s="4">
        <v>2005</v>
      </c>
      <c r="E3602" s="4">
        <v>2990</v>
      </c>
      <c r="F3602" s="4" t="s">
        <v>29</v>
      </c>
    </row>
    <row r="3603" spans="1:6" x14ac:dyDescent="0.25">
      <c r="A3603" s="4" t="s">
        <v>81</v>
      </c>
      <c r="B3603" s="4" t="s">
        <v>1</v>
      </c>
      <c r="C3603" s="4" t="s">
        <v>34</v>
      </c>
      <c r="D3603" s="4">
        <v>2006</v>
      </c>
      <c r="E3603" s="4">
        <v>2970</v>
      </c>
      <c r="F3603" s="4" t="s">
        <v>29</v>
      </c>
    </row>
    <row r="3604" spans="1:6" x14ac:dyDescent="0.25">
      <c r="A3604" s="4" t="s">
        <v>81</v>
      </c>
      <c r="B3604" s="4" t="s">
        <v>1</v>
      </c>
      <c r="C3604" s="4" t="s">
        <v>34</v>
      </c>
      <c r="D3604" s="4">
        <v>2007</v>
      </c>
      <c r="E3604" s="4">
        <v>2790</v>
      </c>
      <c r="F3604" s="4" t="s">
        <v>29</v>
      </c>
    </row>
    <row r="3605" spans="1:6" x14ac:dyDescent="0.25">
      <c r="A3605" s="4" t="s">
        <v>81</v>
      </c>
      <c r="B3605" s="4" t="s">
        <v>1</v>
      </c>
      <c r="C3605" s="4" t="s">
        <v>34</v>
      </c>
      <c r="D3605" s="4">
        <v>2008</v>
      </c>
      <c r="E3605" s="4">
        <v>2580</v>
      </c>
      <c r="F3605" s="4" t="s">
        <v>29</v>
      </c>
    </row>
    <row r="3606" spans="1:6" x14ac:dyDescent="0.25">
      <c r="A3606" s="4" t="s">
        <v>81</v>
      </c>
      <c r="B3606" s="4" t="s">
        <v>1</v>
      </c>
      <c r="C3606" s="4" t="s">
        <v>34</v>
      </c>
      <c r="D3606" s="4">
        <v>2009</v>
      </c>
      <c r="E3606" s="4">
        <v>2470</v>
      </c>
      <c r="F3606" s="4" t="s">
        <v>29</v>
      </c>
    </row>
    <row r="3607" spans="1:6" x14ac:dyDescent="0.25">
      <c r="A3607" s="4" t="s">
        <v>81</v>
      </c>
      <c r="B3607" s="4" t="s">
        <v>1</v>
      </c>
      <c r="C3607" s="4" t="s">
        <v>34</v>
      </c>
      <c r="D3607" s="4">
        <v>2010</v>
      </c>
      <c r="E3607" s="4">
        <v>2390</v>
      </c>
      <c r="F3607" s="4" t="s">
        <v>29</v>
      </c>
    </row>
    <row r="3608" spans="1:6" x14ac:dyDescent="0.25">
      <c r="A3608" s="4" t="s">
        <v>81</v>
      </c>
      <c r="B3608" s="4" t="s">
        <v>1</v>
      </c>
      <c r="C3608" s="4" t="s">
        <v>34</v>
      </c>
      <c r="D3608" s="4">
        <v>2011</v>
      </c>
      <c r="E3608" s="4">
        <v>1670</v>
      </c>
      <c r="F3608" s="4" t="s">
        <v>29</v>
      </c>
    </row>
    <row r="3609" spans="1:6" x14ac:dyDescent="0.25">
      <c r="A3609" s="4" t="s">
        <v>81</v>
      </c>
      <c r="B3609" s="4" t="s">
        <v>1</v>
      </c>
      <c r="C3609" s="4" t="s">
        <v>34</v>
      </c>
      <c r="D3609" s="4">
        <v>2012</v>
      </c>
      <c r="E3609" s="4">
        <v>2070</v>
      </c>
      <c r="F3609" s="4" t="s">
        <v>29</v>
      </c>
    </row>
    <row r="3610" spans="1:6" x14ac:dyDescent="0.25">
      <c r="A3610" s="4" t="s">
        <v>81</v>
      </c>
      <c r="B3610" s="4" t="s">
        <v>1</v>
      </c>
      <c r="C3610" s="4" t="s">
        <v>34</v>
      </c>
      <c r="D3610" s="4">
        <v>2013</v>
      </c>
      <c r="E3610" s="4">
        <v>1960</v>
      </c>
      <c r="F3610" s="4" t="s">
        <v>29</v>
      </c>
    </row>
    <row r="3611" spans="1:6" x14ac:dyDescent="0.25">
      <c r="A3611" s="4" t="s">
        <v>81</v>
      </c>
      <c r="B3611" s="4" t="s">
        <v>1</v>
      </c>
      <c r="C3611" s="4" t="s">
        <v>34</v>
      </c>
      <c r="D3611" s="4">
        <v>2014</v>
      </c>
      <c r="E3611" s="4">
        <v>1690</v>
      </c>
      <c r="F3611" s="4" t="s">
        <v>29</v>
      </c>
    </row>
    <row r="3612" spans="1:6" x14ac:dyDescent="0.25">
      <c r="A3612" s="4" t="s">
        <v>81</v>
      </c>
      <c r="B3612" s="4" t="s">
        <v>1</v>
      </c>
      <c r="C3612" s="4" t="s">
        <v>34</v>
      </c>
      <c r="D3612" s="4">
        <v>2015</v>
      </c>
      <c r="E3612" s="4">
        <v>1576</v>
      </c>
      <c r="F3612" s="4" t="s">
        <v>29</v>
      </c>
    </row>
    <row r="3613" spans="1:6" x14ac:dyDescent="0.25">
      <c r="A3613" s="4" t="s">
        <v>81</v>
      </c>
      <c r="B3613" s="4" t="s">
        <v>1</v>
      </c>
      <c r="C3613" s="4" t="s">
        <v>34</v>
      </c>
      <c r="D3613" s="4">
        <v>2016</v>
      </c>
      <c r="E3613" s="4">
        <v>1428</v>
      </c>
      <c r="F3613" s="4" t="s">
        <v>29</v>
      </c>
    </row>
    <row r="3614" spans="1:6" x14ac:dyDescent="0.25">
      <c r="A3614" s="4" t="s">
        <v>81</v>
      </c>
      <c r="B3614" s="4" t="s">
        <v>1</v>
      </c>
      <c r="C3614" s="4" t="s">
        <v>34</v>
      </c>
      <c r="D3614" s="4">
        <v>2017</v>
      </c>
      <c r="E3614" s="4">
        <v>54</v>
      </c>
      <c r="F3614" s="4" t="s">
        <v>29</v>
      </c>
    </row>
    <row r="3615" spans="1:6" x14ac:dyDescent="0.25">
      <c r="A3615" s="4" t="s">
        <v>81</v>
      </c>
      <c r="B3615" s="4" t="s">
        <v>1</v>
      </c>
      <c r="C3615" s="4" t="s">
        <v>34</v>
      </c>
      <c r="D3615" s="4">
        <v>2018</v>
      </c>
      <c r="E3615" s="4">
        <v>100</v>
      </c>
      <c r="F3615" s="4" t="s">
        <v>29</v>
      </c>
    </row>
    <row r="3616" spans="1:6" x14ac:dyDescent="0.25">
      <c r="A3616" s="4" t="s">
        <v>81</v>
      </c>
      <c r="B3616" s="4" t="s">
        <v>1</v>
      </c>
      <c r="C3616" s="4" t="s">
        <v>34</v>
      </c>
      <c r="D3616" s="4">
        <v>2019</v>
      </c>
      <c r="E3616" s="4">
        <v>1334.2153846153844</v>
      </c>
      <c r="F3616" s="4" t="s">
        <v>29</v>
      </c>
    </row>
    <row r="3617" spans="1:6" x14ac:dyDescent="0.25">
      <c r="A3617" s="4" t="s">
        <v>81</v>
      </c>
      <c r="B3617" s="4" t="s">
        <v>1</v>
      </c>
      <c r="C3617" s="4" t="s">
        <v>34</v>
      </c>
      <c r="D3617" s="4">
        <v>2020</v>
      </c>
      <c r="E3617" s="4">
        <v>1462.5414492753625</v>
      </c>
      <c r="F3617" s="4" t="s">
        <v>29</v>
      </c>
    </row>
    <row r="3618" spans="1:6" x14ac:dyDescent="0.25">
      <c r="A3618" s="4" t="s">
        <v>81</v>
      </c>
      <c r="B3618" s="4" t="s">
        <v>1</v>
      </c>
      <c r="C3618" s="4" t="s">
        <v>34</v>
      </c>
      <c r="D3618" s="4">
        <v>2021</v>
      </c>
      <c r="E3618" s="4">
        <v>1506.845317460904</v>
      </c>
      <c r="F3618" s="4" t="s">
        <v>29</v>
      </c>
    </row>
    <row r="3619" spans="1:6" x14ac:dyDescent="0.25">
      <c r="A3619" s="4" t="s">
        <v>81</v>
      </c>
      <c r="B3619" s="4" t="s">
        <v>1</v>
      </c>
      <c r="C3619" s="4" t="s">
        <v>34</v>
      </c>
      <c r="D3619" s="4">
        <v>2022</v>
      </c>
      <c r="E3619" s="4">
        <v>1487.2827642166747</v>
      </c>
      <c r="F3619" s="4" t="s">
        <v>29</v>
      </c>
    </row>
    <row r="3620" spans="1:6" x14ac:dyDescent="0.25">
      <c r="A3620" s="4" t="s">
        <v>81</v>
      </c>
      <c r="B3620" s="4" t="s">
        <v>1</v>
      </c>
      <c r="C3620" s="4" t="s">
        <v>34</v>
      </c>
      <c r="D3620" s="4">
        <v>2023</v>
      </c>
      <c r="E3620" s="4">
        <v>1467.537803381384</v>
      </c>
      <c r="F3620" s="4" t="s">
        <v>29</v>
      </c>
    </row>
    <row r="3621" spans="1:6" x14ac:dyDescent="0.25">
      <c r="A3621" s="4" t="s">
        <v>81</v>
      </c>
      <c r="B3621" s="4" t="s">
        <v>1</v>
      </c>
      <c r="C3621" s="4" t="s">
        <v>34</v>
      </c>
      <c r="D3621" s="4">
        <v>2024</v>
      </c>
      <c r="E3621" s="4">
        <v>1447.6389857084162</v>
      </c>
      <c r="F3621" s="4" t="s">
        <v>29</v>
      </c>
    </row>
    <row r="3622" spans="1:6" x14ac:dyDescent="0.25">
      <c r="A3622" s="4" t="s">
        <v>81</v>
      </c>
      <c r="B3622" s="4" t="s">
        <v>1</v>
      </c>
      <c r="C3622" s="4" t="s">
        <v>34</v>
      </c>
      <c r="D3622" s="4">
        <v>2025</v>
      </c>
      <c r="E3622" s="4">
        <v>1427.6133130727831</v>
      </c>
      <c r="F3622" s="4" t="s">
        <v>29</v>
      </c>
    </row>
    <row r="3623" spans="1:6" x14ac:dyDescent="0.25">
      <c r="A3623" s="4" t="s">
        <v>81</v>
      </c>
      <c r="B3623" s="4" t="s">
        <v>1</v>
      </c>
      <c r="C3623" s="4" t="s">
        <v>34</v>
      </c>
      <c r="D3623" s="4">
        <v>2026</v>
      </c>
      <c r="E3623" s="4">
        <v>1393.3960011416343</v>
      </c>
      <c r="F3623" s="4" t="s">
        <v>29</v>
      </c>
    </row>
    <row r="3624" spans="1:6" x14ac:dyDescent="0.25">
      <c r="A3624" s="4" t="s">
        <v>81</v>
      </c>
      <c r="B3624" s="4" t="s">
        <v>1</v>
      </c>
      <c r="C3624" s="4" t="s">
        <v>34</v>
      </c>
      <c r="D3624" s="4">
        <v>2027</v>
      </c>
      <c r="E3624" s="4">
        <v>1359.5094142175521</v>
      </c>
      <c r="F3624" s="4" t="s">
        <v>29</v>
      </c>
    </row>
    <row r="3625" spans="1:6" x14ac:dyDescent="0.25">
      <c r="A3625" s="4" t="s">
        <v>81</v>
      </c>
      <c r="B3625" s="4" t="s">
        <v>1</v>
      </c>
      <c r="C3625" s="4" t="s">
        <v>34</v>
      </c>
      <c r="D3625" s="4">
        <v>2028</v>
      </c>
      <c r="E3625" s="4">
        <v>1312.3424107759145</v>
      </c>
      <c r="F3625" s="4" t="s">
        <v>29</v>
      </c>
    </row>
    <row r="3626" spans="1:6" x14ac:dyDescent="0.25">
      <c r="A3626" s="4" t="s">
        <v>81</v>
      </c>
      <c r="B3626" s="4" t="s">
        <v>1</v>
      </c>
      <c r="C3626" s="4" t="s">
        <v>34</v>
      </c>
      <c r="D3626" s="4">
        <v>2029</v>
      </c>
      <c r="E3626" s="4">
        <v>1259.7120120104219</v>
      </c>
      <c r="F3626" s="4" t="s">
        <v>29</v>
      </c>
    </row>
    <row r="3627" spans="1:6" x14ac:dyDescent="0.25">
      <c r="A3627" s="4" t="s">
        <v>81</v>
      </c>
      <c r="B3627" s="4" t="s">
        <v>1</v>
      </c>
      <c r="C3627" s="4" t="s">
        <v>34</v>
      </c>
      <c r="D3627" s="4">
        <v>2030</v>
      </c>
      <c r="E3627" s="4">
        <v>1209.0583290011605</v>
      </c>
      <c r="F3627" s="4" t="s">
        <v>29</v>
      </c>
    </row>
    <row r="3628" spans="1:6" x14ac:dyDescent="0.25">
      <c r="A3628" s="4" t="s">
        <v>81</v>
      </c>
      <c r="B3628" s="4" t="s">
        <v>1</v>
      </c>
      <c r="C3628" s="4" t="s">
        <v>34</v>
      </c>
      <c r="D3628" s="4">
        <v>2031</v>
      </c>
      <c r="E3628" s="4">
        <v>1160.3101261616457</v>
      </c>
      <c r="F3628" s="4" t="s">
        <v>29</v>
      </c>
    </row>
    <row r="3629" spans="1:6" x14ac:dyDescent="0.25">
      <c r="A3629" s="4" t="s">
        <v>81</v>
      </c>
      <c r="B3629" s="4" t="s">
        <v>1</v>
      </c>
      <c r="C3629" s="4" t="s">
        <v>34</v>
      </c>
      <c r="D3629" s="4">
        <v>2032</v>
      </c>
      <c r="E3629" s="4">
        <v>1113.3986629964006</v>
      </c>
      <c r="F3629" s="4" t="s">
        <v>29</v>
      </c>
    </row>
    <row r="3630" spans="1:6" x14ac:dyDescent="0.25">
      <c r="A3630" s="4" t="s">
        <v>81</v>
      </c>
      <c r="B3630" s="4" t="s">
        <v>1</v>
      </c>
      <c r="C3630" s="4" t="s">
        <v>34</v>
      </c>
      <c r="D3630" s="4">
        <v>2033</v>
      </c>
      <c r="E3630" s="4">
        <v>1079.9967031065087</v>
      </c>
      <c r="F3630" s="4" t="s">
        <v>29</v>
      </c>
    </row>
    <row r="3631" spans="1:6" x14ac:dyDescent="0.25">
      <c r="A3631" s="4" t="s">
        <v>81</v>
      </c>
      <c r="B3631" s="4" t="s">
        <v>1</v>
      </c>
      <c r="C3631" s="4" t="s">
        <v>34</v>
      </c>
      <c r="D3631" s="4">
        <v>2034</v>
      </c>
      <c r="E3631" s="4">
        <v>1036.2098802522992</v>
      </c>
      <c r="F3631" s="4" t="s">
        <v>29</v>
      </c>
    </row>
    <row r="3632" spans="1:6" x14ac:dyDescent="0.25">
      <c r="A3632" s="4" t="s">
        <v>81</v>
      </c>
      <c r="B3632" s="4" t="s">
        <v>1</v>
      </c>
      <c r="C3632" s="4" t="s">
        <v>34</v>
      </c>
      <c r="D3632" s="4">
        <v>2035</v>
      </c>
      <c r="E3632" s="4">
        <v>994.07826973654642</v>
      </c>
      <c r="F3632" s="4" t="s">
        <v>29</v>
      </c>
    </row>
    <row r="3633" spans="1:6" x14ac:dyDescent="0.25">
      <c r="A3633" s="4" t="s">
        <v>81</v>
      </c>
      <c r="B3633" s="4" t="s">
        <v>1</v>
      </c>
      <c r="C3633" s="4" t="s">
        <v>34</v>
      </c>
      <c r="D3633" s="4">
        <v>2036</v>
      </c>
      <c r="E3633" s="4">
        <v>964.25592164444981</v>
      </c>
      <c r="F3633" s="4" t="s">
        <v>29</v>
      </c>
    </row>
    <row r="3634" spans="1:6" x14ac:dyDescent="0.25">
      <c r="A3634" s="4" t="s">
        <v>81</v>
      </c>
      <c r="B3634" s="4" t="s">
        <v>1</v>
      </c>
      <c r="C3634" s="4" t="s">
        <v>34</v>
      </c>
      <c r="D3634" s="4">
        <v>2037</v>
      </c>
      <c r="E3634" s="4">
        <v>924.93570795072606</v>
      </c>
      <c r="F3634" s="4" t="s">
        <v>29</v>
      </c>
    </row>
    <row r="3635" spans="1:6" x14ac:dyDescent="0.25">
      <c r="A3635" s="4" t="s">
        <v>81</v>
      </c>
      <c r="B3635" s="4" t="s">
        <v>1</v>
      </c>
      <c r="C3635" s="4" t="s">
        <v>34</v>
      </c>
      <c r="D3635" s="4">
        <v>2038</v>
      </c>
      <c r="E3635" s="4">
        <v>887.10687674914595</v>
      </c>
      <c r="F3635" s="4" t="s">
        <v>29</v>
      </c>
    </row>
    <row r="3636" spans="1:6" x14ac:dyDescent="0.25">
      <c r="A3636" s="4" t="s">
        <v>81</v>
      </c>
      <c r="B3636" s="4" t="s">
        <v>1</v>
      </c>
      <c r="C3636" s="4" t="s">
        <v>34</v>
      </c>
      <c r="D3636" s="4">
        <v>2039</v>
      </c>
      <c r="E3636" s="4">
        <v>860.49367044667144</v>
      </c>
      <c r="F3636" s="4" t="s">
        <v>29</v>
      </c>
    </row>
    <row r="3637" spans="1:6" x14ac:dyDescent="0.25">
      <c r="A3637" s="4" t="s">
        <v>81</v>
      </c>
      <c r="B3637" s="4" t="s">
        <v>1</v>
      </c>
      <c r="C3637" s="4" t="s">
        <v>34</v>
      </c>
      <c r="D3637" s="4">
        <v>2040</v>
      </c>
      <c r="E3637" s="4">
        <v>825.0511932840293</v>
      </c>
      <c r="F3637" s="4" t="s">
        <v>29</v>
      </c>
    </row>
    <row r="3638" spans="1:6" x14ac:dyDescent="0.25">
      <c r="A3638" s="4" t="s">
        <v>81</v>
      </c>
      <c r="B3638" s="4" t="s">
        <v>23</v>
      </c>
      <c r="C3638" s="4" t="s">
        <v>34</v>
      </c>
      <c r="D3638" s="4">
        <v>2005</v>
      </c>
      <c r="E3638" s="4">
        <v>2990</v>
      </c>
      <c r="F3638" s="4" t="s">
        <v>29</v>
      </c>
    </row>
    <row r="3639" spans="1:6" x14ac:dyDescent="0.25">
      <c r="A3639" s="4" t="s">
        <v>81</v>
      </c>
      <c r="B3639" s="4" t="s">
        <v>23</v>
      </c>
      <c r="C3639" s="4" t="s">
        <v>34</v>
      </c>
      <c r="D3639" s="4">
        <v>2006</v>
      </c>
      <c r="E3639" s="4">
        <v>2970</v>
      </c>
      <c r="F3639" s="4" t="s">
        <v>29</v>
      </c>
    </row>
    <row r="3640" spans="1:6" x14ac:dyDescent="0.25">
      <c r="A3640" s="4" t="s">
        <v>81</v>
      </c>
      <c r="B3640" s="4" t="s">
        <v>23</v>
      </c>
      <c r="C3640" s="4" t="s">
        <v>34</v>
      </c>
      <c r="D3640" s="4">
        <v>2007</v>
      </c>
      <c r="E3640" s="4">
        <v>2790</v>
      </c>
      <c r="F3640" s="4" t="s">
        <v>29</v>
      </c>
    </row>
    <row r="3641" spans="1:6" x14ac:dyDescent="0.25">
      <c r="A3641" s="4" t="s">
        <v>81</v>
      </c>
      <c r="B3641" s="4" t="s">
        <v>23</v>
      </c>
      <c r="C3641" s="4" t="s">
        <v>34</v>
      </c>
      <c r="D3641" s="4">
        <v>2008</v>
      </c>
      <c r="E3641" s="4">
        <v>2580</v>
      </c>
      <c r="F3641" s="4" t="s">
        <v>29</v>
      </c>
    </row>
    <row r="3642" spans="1:6" x14ac:dyDescent="0.25">
      <c r="A3642" s="4" t="s">
        <v>81</v>
      </c>
      <c r="B3642" s="4" t="s">
        <v>23</v>
      </c>
      <c r="C3642" s="4" t="s">
        <v>34</v>
      </c>
      <c r="D3642" s="4">
        <v>2009</v>
      </c>
      <c r="E3642" s="4">
        <v>2470</v>
      </c>
      <c r="F3642" s="4" t="s">
        <v>29</v>
      </c>
    </row>
    <row r="3643" spans="1:6" x14ac:dyDescent="0.25">
      <c r="A3643" s="4" t="s">
        <v>81</v>
      </c>
      <c r="B3643" s="4" t="s">
        <v>23</v>
      </c>
      <c r="C3643" s="4" t="s">
        <v>34</v>
      </c>
      <c r="D3643" s="4">
        <v>2010</v>
      </c>
      <c r="E3643" s="4">
        <v>2390</v>
      </c>
      <c r="F3643" s="4" t="s">
        <v>29</v>
      </c>
    </row>
    <row r="3644" spans="1:6" x14ac:dyDescent="0.25">
      <c r="A3644" s="4" t="s">
        <v>81</v>
      </c>
      <c r="B3644" s="4" t="s">
        <v>23</v>
      </c>
      <c r="C3644" s="4" t="s">
        <v>34</v>
      </c>
      <c r="D3644" s="4">
        <v>2011</v>
      </c>
      <c r="E3644" s="4">
        <v>1670</v>
      </c>
      <c r="F3644" s="4" t="s">
        <v>29</v>
      </c>
    </row>
    <row r="3645" spans="1:6" x14ac:dyDescent="0.25">
      <c r="A3645" s="4" t="s">
        <v>81</v>
      </c>
      <c r="B3645" s="4" t="s">
        <v>23</v>
      </c>
      <c r="C3645" s="4" t="s">
        <v>34</v>
      </c>
      <c r="D3645" s="4">
        <v>2012</v>
      </c>
      <c r="E3645" s="4">
        <v>2070</v>
      </c>
      <c r="F3645" s="4" t="s">
        <v>29</v>
      </c>
    </row>
    <row r="3646" spans="1:6" x14ac:dyDescent="0.25">
      <c r="A3646" s="4" t="s">
        <v>81</v>
      </c>
      <c r="B3646" s="4" t="s">
        <v>23</v>
      </c>
      <c r="C3646" s="4" t="s">
        <v>34</v>
      </c>
      <c r="D3646" s="4">
        <v>2013</v>
      </c>
      <c r="E3646" s="4">
        <v>1960</v>
      </c>
      <c r="F3646" s="4" t="s">
        <v>29</v>
      </c>
    </row>
    <row r="3647" spans="1:6" x14ac:dyDescent="0.25">
      <c r="A3647" s="4" t="s">
        <v>81</v>
      </c>
      <c r="B3647" s="4" t="s">
        <v>23</v>
      </c>
      <c r="C3647" s="4" t="s">
        <v>34</v>
      </c>
      <c r="D3647" s="4">
        <v>2014</v>
      </c>
      <c r="E3647" s="4">
        <v>1690</v>
      </c>
      <c r="F3647" s="4" t="s">
        <v>29</v>
      </c>
    </row>
    <row r="3648" spans="1:6" x14ac:dyDescent="0.25">
      <c r="A3648" s="4" t="s">
        <v>81</v>
      </c>
      <c r="B3648" s="4" t="s">
        <v>23</v>
      </c>
      <c r="C3648" s="4" t="s">
        <v>34</v>
      </c>
      <c r="D3648" s="4">
        <v>2015</v>
      </c>
      <c r="E3648" s="4">
        <v>1576</v>
      </c>
      <c r="F3648" s="4" t="s">
        <v>29</v>
      </c>
    </row>
    <row r="3649" spans="1:6" x14ac:dyDescent="0.25">
      <c r="A3649" s="4" t="s">
        <v>81</v>
      </c>
      <c r="B3649" s="4" t="s">
        <v>23</v>
      </c>
      <c r="C3649" s="4" t="s">
        <v>34</v>
      </c>
      <c r="D3649" s="4">
        <v>2016</v>
      </c>
      <c r="E3649" s="4">
        <v>1428</v>
      </c>
      <c r="F3649" s="4" t="s">
        <v>29</v>
      </c>
    </row>
    <row r="3650" spans="1:6" x14ac:dyDescent="0.25">
      <c r="A3650" s="4" t="s">
        <v>81</v>
      </c>
      <c r="B3650" s="4" t="s">
        <v>23</v>
      </c>
      <c r="C3650" s="4" t="s">
        <v>34</v>
      </c>
      <c r="D3650" s="4">
        <v>2017</v>
      </c>
      <c r="E3650" s="4">
        <v>54</v>
      </c>
      <c r="F3650" s="4" t="s">
        <v>29</v>
      </c>
    </row>
    <row r="3651" spans="1:6" x14ac:dyDescent="0.25">
      <c r="A3651" s="4" t="s">
        <v>81</v>
      </c>
      <c r="B3651" s="4" t="s">
        <v>23</v>
      </c>
      <c r="C3651" s="4" t="s">
        <v>34</v>
      </c>
      <c r="D3651" s="4">
        <v>2018</v>
      </c>
      <c r="E3651" s="4">
        <v>100</v>
      </c>
      <c r="F3651" s="4" t="s">
        <v>29</v>
      </c>
    </row>
    <row r="3652" spans="1:6" x14ac:dyDescent="0.25">
      <c r="A3652" s="4" t="s">
        <v>81</v>
      </c>
      <c r="B3652" s="4" t="s">
        <v>23</v>
      </c>
      <c r="C3652" s="4" t="s">
        <v>34</v>
      </c>
      <c r="D3652" s="4">
        <v>2019</v>
      </c>
      <c r="E3652" s="4">
        <v>1334.2153846153844</v>
      </c>
      <c r="F3652" s="4" t="s">
        <v>29</v>
      </c>
    </row>
    <row r="3653" spans="1:6" x14ac:dyDescent="0.25">
      <c r="A3653" s="4" t="s">
        <v>81</v>
      </c>
      <c r="B3653" s="4" t="s">
        <v>23</v>
      </c>
      <c r="C3653" s="4" t="s">
        <v>34</v>
      </c>
      <c r="D3653" s="4">
        <v>2020</v>
      </c>
      <c r="E3653" s="4">
        <v>1462.5414492753625</v>
      </c>
      <c r="F3653" s="4" t="s">
        <v>29</v>
      </c>
    </row>
    <row r="3654" spans="1:6" x14ac:dyDescent="0.25">
      <c r="A3654" s="4" t="s">
        <v>81</v>
      </c>
      <c r="B3654" s="4" t="s">
        <v>23</v>
      </c>
      <c r="C3654" s="4" t="s">
        <v>34</v>
      </c>
      <c r="D3654" s="4">
        <v>2021</v>
      </c>
      <c r="E3654" s="4">
        <v>1506.845317460904</v>
      </c>
      <c r="F3654" s="4" t="s">
        <v>29</v>
      </c>
    </row>
    <row r="3655" spans="1:6" x14ac:dyDescent="0.25">
      <c r="A3655" s="4" t="s">
        <v>81</v>
      </c>
      <c r="B3655" s="4" t="s">
        <v>23</v>
      </c>
      <c r="C3655" s="4" t="s">
        <v>34</v>
      </c>
      <c r="D3655" s="4">
        <v>2022</v>
      </c>
      <c r="E3655" s="4">
        <v>1487.2827642166747</v>
      </c>
      <c r="F3655" s="4" t="s">
        <v>29</v>
      </c>
    </row>
    <row r="3656" spans="1:6" x14ac:dyDescent="0.25">
      <c r="A3656" s="4" t="s">
        <v>81</v>
      </c>
      <c r="B3656" s="4" t="s">
        <v>23</v>
      </c>
      <c r="C3656" s="4" t="s">
        <v>34</v>
      </c>
      <c r="D3656" s="4">
        <v>2023</v>
      </c>
      <c r="E3656" s="4">
        <v>1467.537803381384</v>
      </c>
      <c r="F3656" s="4" t="s">
        <v>29</v>
      </c>
    </row>
    <row r="3657" spans="1:6" x14ac:dyDescent="0.25">
      <c r="A3657" s="4" t="s">
        <v>81</v>
      </c>
      <c r="B3657" s="4" t="s">
        <v>23</v>
      </c>
      <c r="C3657" s="4" t="s">
        <v>34</v>
      </c>
      <c r="D3657" s="4">
        <v>2024</v>
      </c>
      <c r="E3657" s="4">
        <v>1447.6389857084162</v>
      </c>
      <c r="F3657" s="4" t="s">
        <v>29</v>
      </c>
    </row>
    <row r="3658" spans="1:6" x14ac:dyDescent="0.25">
      <c r="A3658" s="4" t="s">
        <v>81</v>
      </c>
      <c r="B3658" s="4" t="s">
        <v>23</v>
      </c>
      <c r="C3658" s="4" t="s">
        <v>34</v>
      </c>
      <c r="D3658" s="4">
        <v>2025</v>
      </c>
      <c r="E3658" s="4">
        <v>1427.6133130727831</v>
      </c>
      <c r="F3658" s="4" t="s">
        <v>29</v>
      </c>
    </row>
    <row r="3659" spans="1:6" x14ac:dyDescent="0.25">
      <c r="A3659" s="4" t="s">
        <v>81</v>
      </c>
      <c r="B3659" s="4" t="s">
        <v>23</v>
      </c>
      <c r="C3659" s="4" t="s">
        <v>34</v>
      </c>
      <c r="D3659" s="4">
        <v>2026</v>
      </c>
      <c r="E3659" s="4">
        <v>1393.3960011416343</v>
      </c>
      <c r="F3659" s="4" t="s">
        <v>29</v>
      </c>
    </row>
    <row r="3660" spans="1:6" x14ac:dyDescent="0.25">
      <c r="A3660" s="4" t="s">
        <v>81</v>
      </c>
      <c r="B3660" s="4" t="s">
        <v>23</v>
      </c>
      <c r="C3660" s="4" t="s">
        <v>34</v>
      </c>
      <c r="D3660" s="4">
        <v>2027</v>
      </c>
      <c r="E3660" s="4">
        <v>1359.5094142175521</v>
      </c>
      <c r="F3660" s="4" t="s">
        <v>29</v>
      </c>
    </row>
    <row r="3661" spans="1:6" x14ac:dyDescent="0.25">
      <c r="A3661" s="4" t="s">
        <v>81</v>
      </c>
      <c r="B3661" s="4" t="s">
        <v>23</v>
      </c>
      <c r="C3661" s="4" t="s">
        <v>34</v>
      </c>
      <c r="D3661" s="4">
        <v>2028</v>
      </c>
      <c r="E3661" s="4">
        <v>1312.3424107759145</v>
      </c>
      <c r="F3661" s="4" t="s">
        <v>29</v>
      </c>
    </row>
    <row r="3662" spans="1:6" x14ac:dyDescent="0.25">
      <c r="A3662" s="4" t="s">
        <v>81</v>
      </c>
      <c r="B3662" s="4" t="s">
        <v>23</v>
      </c>
      <c r="C3662" s="4" t="s">
        <v>34</v>
      </c>
      <c r="D3662" s="4">
        <v>2029</v>
      </c>
      <c r="E3662" s="4">
        <v>1259.7120120104219</v>
      </c>
      <c r="F3662" s="4" t="s">
        <v>29</v>
      </c>
    </row>
    <row r="3663" spans="1:6" x14ac:dyDescent="0.25">
      <c r="A3663" s="4" t="s">
        <v>81</v>
      </c>
      <c r="B3663" s="4" t="s">
        <v>23</v>
      </c>
      <c r="C3663" s="4" t="s">
        <v>34</v>
      </c>
      <c r="D3663" s="4">
        <v>2030</v>
      </c>
      <c r="E3663" s="4">
        <v>1209.0583290011605</v>
      </c>
      <c r="F3663" s="4" t="s">
        <v>29</v>
      </c>
    </row>
    <row r="3664" spans="1:6" x14ac:dyDescent="0.25">
      <c r="A3664" s="4" t="s">
        <v>81</v>
      </c>
      <c r="B3664" s="4" t="s">
        <v>23</v>
      </c>
      <c r="C3664" s="4" t="s">
        <v>34</v>
      </c>
      <c r="D3664" s="4">
        <v>2031</v>
      </c>
      <c r="E3664" s="4">
        <v>1160.3101261616457</v>
      </c>
      <c r="F3664" s="4" t="s">
        <v>29</v>
      </c>
    </row>
    <row r="3665" spans="1:6" x14ac:dyDescent="0.25">
      <c r="A3665" s="4" t="s">
        <v>81</v>
      </c>
      <c r="B3665" s="4" t="s">
        <v>23</v>
      </c>
      <c r="C3665" s="4" t="s">
        <v>34</v>
      </c>
      <c r="D3665" s="4">
        <v>2032</v>
      </c>
      <c r="E3665" s="4">
        <v>1113.3986629964006</v>
      </c>
      <c r="F3665" s="4" t="s">
        <v>29</v>
      </c>
    </row>
    <row r="3666" spans="1:6" x14ac:dyDescent="0.25">
      <c r="A3666" s="4" t="s">
        <v>81</v>
      </c>
      <c r="B3666" s="4" t="s">
        <v>23</v>
      </c>
      <c r="C3666" s="4" t="s">
        <v>34</v>
      </c>
      <c r="D3666" s="4">
        <v>2033</v>
      </c>
      <c r="E3666" s="4">
        <v>1079.9967031065087</v>
      </c>
      <c r="F3666" s="4" t="s">
        <v>29</v>
      </c>
    </row>
    <row r="3667" spans="1:6" x14ac:dyDescent="0.25">
      <c r="A3667" s="4" t="s">
        <v>81</v>
      </c>
      <c r="B3667" s="4" t="s">
        <v>23</v>
      </c>
      <c r="C3667" s="4" t="s">
        <v>34</v>
      </c>
      <c r="D3667" s="4">
        <v>2034</v>
      </c>
      <c r="E3667" s="4">
        <v>1036.2098802522992</v>
      </c>
      <c r="F3667" s="4" t="s">
        <v>29</v>
      </c>
    </row>
    <row r="3668" spans="1:6" x14ac:dyDescent="0.25">
      <c r="A3668" s="4" t="s">
        <v>81</v>
      </c>
      <c r="B3668" s="4" t="s">
        <v>23</v>
      </c>
      <c r="C3668" s="4" t="s">
        <v>34</v>
      </c>
      <c r="D3668" s="4">
        <v>2035</v>
      </c>
      <c r="E3668" s="4">
        <v>994.07826973654642</v>
      </c>
      <c r="F3668" s="4" t="s">
        <v>29</v>
      </c>
    </row>
    <row r="3669" spans="1:6" x14ac:dyDescent="0.25">
      <c r="A3669" s="4" t="s">
        <v>81</v>
      </c>
      <c r="B3669" s="4" t="s">
        <v>23</v>
      </c>
      <c r="C3669" s="4" t="s">
        <v>34</v>
      </c>
      <c r="D3669" s="4">
        <v>2036</v>
      </c>
      <c r="E3669" s="4">
        <v>964.25592164444981</v>
      </c>
      <c r="F3669" s="4" t="s">
        <v>29</v>
      </c>
    </row>
    <row r="3670" spans="1:6" x14ac:dyDescent="0.25">
      <c r="A3670" s="4" t="s">
        <v>81</v>
      </c>
      <c r="B3670" s="4" t="s">
        <v>23</v>
      </c>
      <c r="C3670" s="4" t="s">
        <v>34</v>
      </c>
      <c r="D3670" s="4">
        <v>2037</v>
      </c>
      <c r="E3670" s="4">
        <v>924.93570795072606</v>
      </c>
      <c r="F3670" s="4" t="s">
        <v>29</v>
      </c>
    </row>
    <row r="3671" spans="1:6" x14ac:dyDescent="0.25">
      <c r="A3671" s="4" t="s">
        <v>81</v>
      </c>
      <c r="B3671" s="4" t="s">
        <v>23</v>
      </c>
      <c r="C3671" s="4" t="s">
        <v>34</v>
      </c>
      <c r="D3671" s="4">
        <v>2038</v>
      </c>
      <c r="E3671" s="4">
        <v>887.10687674914595</v>
      </c>
      <c r="F3671" s="4" t="s">
        <v>29</v>
      </c>
    </row>
    <row r="3672" spans="1:6" x14ac:dyDescent="0.25">
      <c r="A3672" s="4" t="s">
        <v>81</v>
      </c>
      <c r="B3672" s="4" t="s">
        <v>23</v>
      </c>
      <c r="C3672" s="4" t="s">
        <v>34</v>
      </c>
      <c r="D3672" s="4">
        <v>2039</v>
      </c>
      <c r="E3672" s="4">
        <v>860.49367044667144</v>
      </c>
      <c r="F3672" s="4" t="s">
        <v>29</v>
      </c>
    </row>
    <row r="3673" spans="1:6" x14ac:dyDescent="0.25">
      <c r="A3673" s="4" t="s">
        <v>81</v>
      </c>
      <c r="B3673" s="4" t="s">
        <v>23</v>
      </c>
      <c r="C3673" s="4" t="s">
        <v>34</v>
      </c>
      <c r="D3673" s="4">
        <v>2040</v>
      </c>
      <c r="E3673" s="4">
        <v>825.0511932840293</v>
      </c>
      <c r="F3673" s="4" t="s">
        <v>29</v>
      </c>
    </row>
    <row r="3674" spans="1:6" x14ac:dyDescent="0.25">
      <c r="A3674" s="4" t="s">
        <v>82</v>
      </c>
      <c r="B3674" s="4" t="s">
        <v>1</v>
      </c>
      <c r="C3674" s="4" t="s">
        <v>34</v>
      </c>
      <c r="D3674" s="4">
        <v>2005</v>
      </c>
      <c r="E3674" s="4">
        <v>0</v>
      </c>
      <c r="F3674" s="4" t="s">
        <v>29</v>
      </c>
    </row>
    <row r="3675" spans="1:6" x14ac:dyDescent="0.25">
      <c r="A3675" s="4" t="s">
        <v>82</v>
      </c>
      <c r="B3675" s="4" t="s">
        <v>1</v>
      </c>
      <c r="C3675" s="4" t="s">
        <v>34</v>
      </c>
      <c r="D3675" s="4">
        <v>2006</v>
      </c>
      <c r="E3675" s="4">
        <v>0</v>
      </c>
      <c r="F3675" s="4" t="s">
        <v>29</v>
      </c>
    </row>
    <row r="3676" spans="1:6" x14ac:dyDescent="0.25">
      <c r="A3676" s="4" t="s">
        <v>82</v>
      </c>
      <c r="B3676" s="4" t="s">
        <v>1</v>
      </c>
      <c r="C3676" s="4" t="s">
        <v>34</v>
      </c>
      <c r="D3676" s="4">
        <v>2007</v>
      </c>
      <c r="E3676" s="4">
        <v>0</v>
      </c>
      <c r="F3676" s="4" t="s">
        <v>29</v>
      </c>
    </row>
    <row r="3677" spans="1:6" x14ac:dyDescent="0.25">
      <c r="A3677" s="4" t="s">
        <v>82</v>
      </c>
      <c r="B3677" s="4" t="s">
        <v>1</v>
      </c>
      <c r="C3677" s="4" t="s">
        <v>34</v>
      </c>
      <c r="D3677" s="4">
        <v>2008</v>
      </c>
      <c r="E3677" s="4">
        <v>0</v>
      </c>
      <c r="F3677" s="4" t="s">
        <v>29</v>
      </c>
    </row>
    <row r="3678" spans="1:6" x14ac:dyDescent="0.25">
      <c r="A3678" s="4" t="s">
        <v>82</v>
      </c>
      <c r="B3678" s="4" t="s">
        <v>1</v>
      </c>
      <c r="C3678" s="4" t="s">
        <v>34</v>
      </c>
      <c r="D3678" s="4">
        <v>2009</v>
      </c>
      <c r="E3678" s="4">
        <v>0</v>
      </c>
      <c r="F3678" s="4" t="s">
        <v>29</v>
      </c>
    </row>
    <row r="3679" spans="1:6" x14ac:dyDescent="0.25">
      <c r="A3679" s="4" t="s">
        <v>82</v>
      </c>
      <c r="B3679" s="4" t="s">
        <v>1</v>
      </c>
      <c r="C3679" s="4" t="s">
        <v>34</v>
      </c>
      <c r="D3679" s="4">
        <v>2010</v>
      </c>
      <c r="E3679" s="4">
        <v>0</v>
      </c>
      <c r="F3679" s="4" t="s">
        <v>29</v>
      </c>
    </row>
    <row r="3680" spans="1:6" x14ac:dyDescent="0.25">
      <c r="A3680" s="4" t="s">
        <v>82</v>
      </c>
      <c r="B3680" s="4" t="s">
        <v>1</v>
      </c>
      <c r="C3680" s="4" t="s">
        <v>34</v>
      </c>
      <c r="D3680" s="4">
        <v>2011</v>
      </c>
      <c r="E3680" s="4">
        <v>0</v>
      </c>
      <c r="F3680" s="4" t="s">
        <v>29</v>
      </c>
    </row>
    <row r="3681" spans="1:6" x14ac:dyDescent="0.25">
      <c r="A3681" s="4" t="s">
        <v>82</v>
      </c>
      <c r="B3681" s="4" t="s">
        <v>1</v>
      </c>
      <c r="C3681" s="4" t="s">
        <v>34</v>
      </c>
      <c r="D3681" s="4">
        <v>2012</v>
      </c>
      <c r="E3681" s="4">
        <v>0</v>
      </c>
      <c r="F3681" s="4" t="s">
        <v>29</v>
      </c>
    </row>
    <row r="3682" spans="1:6" x14ac:dyDescent="0.25">
      <c r="A3682" s="4" t="s">
        <v>82</v>
      </c>
      <c r="B3682" s="4" t="s">
        <v>1</v>
      </c>
      <c r="C3682" s="4" t="s">
        <v>34</v>
      </c>
      <c r="D3682" s="4">
        <v>2013</v>
      </c>
      <c r="E3682" s="4">
        <v>0</v>
      </c>
      <c r="F3682" s="4" t="s">
        <v>29</v>
      </c>
    </row>
    <row r="3683" spans="1:6" x14ac:dyDescent="0.25">
      <c r="A3683" s="4" t="s">
        <v>82</v>
      </c>
      <c r="B3683" s="4" t="s">
        <v>1</v>
      </c>
      <c r="C3683" s="4" t="s">
        <v>34</v>
      </c>
      <c r="D3683" s="4">
        <v>2014</v>
      </c>
      <c r="E3683" s="4">
        <v>0</v>
      </c>
      <c r="F3683" s="4" t="s">
        <v>29</v>
      </c>
    </row>
    <row r="3684" spans="1:6" x14ac:dyDescent="0.25">
      <c r="A3684" s="4" t="s">
        <v>82</v>
      </c>
      <c r="B3684" s="4" t="s">
        <v>1</v>
      </c>
      <c r="C3684" s="4" t="s">
        <v>34</v>
      </c>
      <c r="D3684" s="4">
        <v>2015</v>
      </c>
      <c r="E3684" s="4">
        <v>0</v>
      </c>
      <c r="F3684" s="4" t="s">
        <v>29</v>
      </c>
    </row>
    <row r="3685" spans="1:6" x14ac:dyDescent="0.25">
      <c r="A3685" s="4" t="s">
        <v>82</v>
      </c>
      <c r="B3685" s="4" t="s">
        <v>1</v>
      </c>
      <c r="C3685" s="4" t="s">
        <v>34</v>
      </c>
      <c r="D3685" s="4">
        <v>2016</v>
      </c>
      <c r="E3685" s="4">
        <v>0</v>
      </c>
      <c r="F3685" s="4" t="s">
        <v>29</v>
      </c>
    </row>
    <row r="3686" spans="1:6" x14ac:dyDescent="0.25">
      <c r="A3686" s="4" t="s">
        <v>82</v>
      </c>
      <c r="B3686" s="4" t="s">
        <v>1</v>
      </c>
      <c r="C3686" s="4" t="s">
        <v>34</v>
      </c>
      <c r="D3686" s="4">
        <v>2017</v>
      </c>
      <c r="E3686" s="4">
        <v>0</v>
      </c>
      <c r="F3686" s="4" t="s">
        <v>29</v>
      </c>
    </row>
    <row r="3687" spans="1:6" x14ac:dyDescent="0.25">
      <c r="A3687" s="4" t="s">
        <v>82</v>
      </c>
      <c r="B3687" s="4" t="s">
        <v>1</v>
      </c>
      <c r="C3687" s="4" t="s">
        <v>34</v>
      </c>
      <c r="D3687" s="4">
        <v>2018</v>
      </c>
      <c r="E3687" s="4">
        <v>0</v>
      </c>
      <c r="F3687" s="4" t="s">
        <v>29</v>
      </c>
    </row>
    <row r="3688" spans="1:6" x14ac:dyDescent="0.25">
      <c r="A3688" s="4" t="s">
        <v>82</v>
      </c>
      <c r="B3688" s="4" t="s">
        <v>1</v>
      </c>
      <c r="C3688" s="4" t="s">
        <v>34</v>
      </c>
      <c r="D3688" s="4">
        <v>2019</v>
      </c>
      <c r="E3688" s="4">
        <v>0</v>
      </c>
      <c r="F3688" s="4" t="s">
        <v>29</v>
      </c>
    </row>
    <row r="3689" spans="1:6" x14ac:dyDescent="0.25">
      <c r="A3689" s="4" t="s">
        <v>82</v>
      </c>
      <c r="B3689" s="4" t="s">
        <v>1</v>
      </c>
      <c r="C3689" s="4" t="s">
        <v>34</v>
      </c>
      <c r="D3689" s="4">
        <v>2020</v>
      </c>
      <c r="E3689" s="4">
        <v>0</v>
      </c>
      <c r="F3689" s="4" t="s">
        <v>29</v>
      </c>
    </row>
    <row r="3690" spans="1:6" x14ac:dyDescent="0.25">
      <c r="A3690" s="4" t="s">
        <v>82</v>
      </c>
      <c r="B3690" s="4" t="s">
        <v>1</v>
      </c>
      <c r="C3690" s="4" t="s">
        <v>34</v>
      </c>
      <c r="D3690" s="4">
        <v>2021</v>
      </c>
      <c r="E3690" s="4">
        <v>0</v>
      </c>
      <c r="F3690" s="4" t="s">
        <v>29</v>
      </c>
    </row>
    <row r="3691" spans="1:6" x14ac:dyDescent="0.25">
      <c r="A3691" s="4" t="s">
        <v>82</v>
      </c>
      <c r="B3691" s="4" t="s">
        <v>1</v>
      </c>
      <c r="C3691" s="4" t="s">
        <v>34</v>
      </c>
      <c r="D3691" s="4">
        <v>2022</v>
      </c>
      <c r="E3691" s="4">
        <v>0</v>
      </c>
      <c r="F3691" s="4" t="s">
        <v>29</v>
      </c>
    </row>
    <row r="3692" spans="1:6" x14ac:dyDescent="0.25">
      <c r="A3692" s="4" t="s">
        <v>82</v>
      </c>
      <c r="B3692" s="4" t="s">
        <v>1</v>
      </c>
      <c r="C3692" s="4" t="s">
        <v>34</v>
      </c>
      <c r="D3692" s="4">
        <v>2023</v>
      </c>
      <c r="E3692" s="4">
        <v>0</v>
      </c>
      <c r="F3692" s="4" t="s">
        <v>29</v>
      </c>
    </row>
    <row r="3693" spans="1:6" x14ac:dyDescent="0.25">
      <c r="A3693" s="4" t="s">
        <v>82</v>
      </c>
      <c r="B3693" s="4" t="s">
        <v>1</v>
      </c>
      <c r="C3693" s="4" t="s">
        <v>34</v>
      </c>
      <c r="D3693" s="4">
        <v>2024</v>
      </c>
      <c r="E3693" s="4">
        <v>0</v>
      </c>
      <c r="F3693" s="4" t="s">
        <v>29</v>
      </c>
    </row>
    <row r="3694" spans="1:6" x14ac:dyDescent="0.25">
      <c r="A3694" s="4" t="s">
        <v>82</v>
      </c>
      <c r="B3694" s="4" t="s">
        <v>1</v>
      </c>
      <c r="C3694" s="4" t="s">
        <v>34</v>
      </c>
      <c r="D3694" s="4">
        <v>2025</v>
      </c>
      <c r="E3694" s="4">
        <v>0</v>
      </c>
      <c r="F3694" s="4" t="s">
        <v>29</v>
      </c>
    </row>
    <row r="3695" spans="1:6" x14ac:dyDescent="0.25">
      <c r="A3695" s="4" t="s">
        <v>82</v>
      </c>
      <c r="B3695" s="4" t="s">
        <v>1</v>
      </c>
      <c r="C3695" s="4" t="s">
        <v>34</v>
      </c>
      <c r="D3695" s="4">
        <v>2026</v>
      </c>
      <c r="E3695" s="4">
        <v>0</v>
      </c>
      <c r="F3695" s="4" t="s">
        <v>29</v>
      </c>
    </row>
    <row r="3696" spans="1:6" x14ac:dyDescent="0.25">
      <c r="A3696" s="4" t="s">
        <v>82</v>
      </c>
      <c r="B3696" s="4" t="s">
        <v>1</v>
      </c>
      <c r="C3696" s="4" t="s">
        <v>34</v>
      </c>
      <c r="D3696" s="4">
        <v>2027</v>
      </c>
      <c r="E3696" s="4">
        <v>0</v>
      </c>
      <c r="F3696" s="4" t="s">
        <v>29</v>
      </c>
    </row>
    <row r="3697" spans="1:6" x14ac:dyDescent="0.25">
      <c r="A3697" s="4" t="s">
        <v>82</v>
      </c>
      <c r="B3697" s="4" t="s">
        <v>1</v>
      </c>
      <c r="C3697" s="4" t="s">
        <v>34</v>
      </c>
      <c r="D3697" s="4">
        <v>2028</v>
      </c>
      <c r="E3697" s="4">
        <v>0</v>
      </c>
      <c r="F3697" s="4" t="s">
        <v>29</v>
      </c>
    </row>
    <row r="3698" spans="1:6" x14ac:dyDescent="0.25">
      <c r="A3698" s="4" t="s">
        <v>82</v>
      </c>
      <c r="B3698" s="4" t="s">
        <v>1</v>
      </c>
      <c r="C3698" s="4" t="s">
        <v>34</v>
      </c>
      <c r="D3698" s="4">
        <v>2029</v>
      </c>
      <c r="E3698" s="4">
        <v>0</v>
      </c>
      <c r="F3698" s="4" t="s">
        <v>29</v>
      </c>
    </row>
    <row r="3699" spans="1:6" x14ac:dyDescent="0.25">
      <c r="A3699" s="4" t="s">
        <v>82</v>
      </c>
      <c r="B3699" s="4" t="s">
        <v>1</v>
      </c>
      <c r="C3699" s="4" t="s">
        <v>34</v>
      </c>
      <c r="D3699" s="4">
        <v>2030</v>
      </c>
      <c r="E3699" s="4">
        <v>0</v>
      </c>
      <c r="F3699" s="4" t="s">
        <v>29</v>
      </c>
    </row>
    <row r="3700" spans="1:6" x14ac:dyDescent="0.25">
      <c r="A3700" s="4" t="s">
        <v>82</v>
      </c>
      <c r="B3700" s="4" t="s">
        <v>1</v>
      </c>
      <c r="C3700" s="4" t="s">
        <v>34</v>
      </c>
      <c r="D3700" s="4">
        <v>2031</v>
      </c>
      <c r="E3700" s="4">
        <v>0</v>
      </c>
      <c r="F3700" s="4" t="s">
        <v>29</v>
      </c>
    </row>
    <row r="3701" spans="1:6" x14ac:dyDescent="0.25">
      <c r="A3701" s="4" t="s">
        <v>82</v>
      </c>
      <c r="B3701" s="4" t="s">
        <v>1</v>
      </c>
      <c r="C3701" s="4" t="s">
        <v>34</v>
      </c>
      <c r="D3701" s="4">
        <v>2032</v>
      </c>
      <c r="E3701" s="4">
        <v>0</v>
      </c>
      <c r="F3701" s="4" t="s">
        <v>29</v>
      </c>
    </row>
    <row r="3702" spans="1:6" x14ac:dyDescent="0.25">
      <c r="A3702" s="4" t="s">
        <v>82</v>
      </c>
      <c r="B3702" s="4" t="s">
        <v>1</v>
      </c>
      <c r="C3702" s="4" t="s">
        <v>34</v>
      </c>
      <c r="D3702" s="4">
        <v>2033</v>
      </c>
      <c r="E3702" s="4">
        <v>0</v>
      </c>
      <c r="F3702" s="4" t="s">
        <v>29</v>
      </c>
    </row>
    <row r="3703" spans="1:6" x14ac:dyDescent="0.25">
      <c r="A3703" s="4" t="s">
        <v>82</v>
      </c>
      <c r="B3703" s="4" t="s">
        <v>1</v>
      </c>
      <c r="C3703" s="4" t="s">
        <v>34</v>
      </c>
      <c r="D3703" s="4">
        <v>2034</v>
      </c>
      <c r="E3703" s="4">
        <v>0</v>
      </c>
      <c r="F3703" s="4" t="s">
        <v>29</v>
      </c>
    </row>
    <row r="3704" spans="1:6" x14ac:dyDescent="0.25">
      <c r="A3704" s="4" t="s">
        <v>82</v>
      </c>
      <c r="B3704" s="4" t="s">
        <v>1</v>
      </c>
      <c r="C3704" s="4" t="s">
        <v>34</v>
      </c>
      <c r="D3704" s="4">
        <v>2035</v>
      </c>
      <c r="E3704" s="4">
        <v>0</v>
      </c>
      <c r="F3704" s="4" t="s">
        <v>29</v>
      </c>
    </row>
    <row r="3705" spans="1:6" x14ac:dyDescent="0.25">
      <c r="A3705" s="4" t="s">
        <v>82</v>
      </c>
      <c r="B3705" s="4" t="s">
        <v>1</v>
      </c>
      <c r="C3705" s="4" t="s">
        <v>34</v>
      </c>
      <c r="D3705" s="4">
        <v>2036</v>
      </c>
      <c r="E3705" s="4">
        <v>0</v>
      </c>
      <c r="F3705" s="4" t="s">
        <v>29</v>
      </c>
    </row>
    <row r="3706" spans="1:6" x14ac:dyDescent="0.25">
      <c r="A3706" s="4" t="s">
        <v>82</v>
      </c>
      <c r="B3706" s="4" t="s">
        <v>1</v>
      </c>
      <c r="C3706" s="4" t="s">
        <v>34</v>
      </c>
      <c r="D3706" s="4">
        <v>2037</v>
      </c>
      <c r="E3706" s="4">
        <v>0</v>
      </c>
      <c r="F3706" s="4" t="s">
        <v>29</v>
      </c>
    </row>
    <row r="3707" spans="1:6" x14ac:dyDescent="0.25">
      <c r="A3707" s="4" t="s">
        <v>82</v>
      </c>
      <c r="B3707" s="4" t="s">
        <v>1</v>
      </c>
      <c r="C3707" s="4" t="s">
        <v>34</v>
      </c>
      <c r="D3707" s="4">
        <v>2038</v>
      </c>
      <c r="E3707" s="4">
        <v>0</v>
      </c>
      <c r="F3707" s="4" t="s">
        <v>29</v>
      </c>
    </row>
    <row r="3708" spans="1:6" x14ac:dyDescent="0.25">
      <c r="A3708" s="4" t="s">
        <v>82</v>
      </c>
      <c r="B3708" s="4" t="s">
        <v>1</v>
      </c>
      <c r="C3708" s="4" t="s">
        <v>34</v>
      </c>
      <c r="D3708" s="4">
        <v>2039</v>
      </c>
      <c r="E3708" s="4">
        <v>0</v>
      </c>
      <c r="F3708" s="4" t="s">
        <v>29</v>
      </c>
    </row>
    <row r="3709" spans="1:6" x14ac:dyDescent="0.25">
      <c r="A3709" s="4" t="s">
        <v>82</v>
      </c>
      <c r="B3709" s="4" t="s">
        <v>1</v>
      </c>
      <c r="C3709" s="4" t="s">
        <v>34</v>
      </c>
      <c r="D3709" s="4">
        <v>2040</v>
      </c>
      <c r="E3709" s="4">
        <v>0</v>
      </c>
      <c r="F3709" s="4" t="s">
        <v>29</v>
      </c>
    </row>
    <row r="3710" spans="1:6" x14ac:dyDescent="0.25">
      <c r="A3710" s="4" t="s">
        <v>82</v>
      </c>
      <c r="B3710" s="4" t="s">
        <v>2</v>
      </c>
      <c r="C3710" s="4" t="s">
        <v>34</v>
      </c>
      <c r="D3710" s="4">
        <v>2005</v>
      </c>
      <c r="E3710" s="4">
        <v>0</v>
      </c>
      <c r="F3710" s="4" t="s">
        <v>29</v>
      </c>
    </row>
    <row r="3711" spans="1:6" x14ac:dyDescent="0.25">
      <c r="A3711" s="4" t="s">
        <v>82</v>
      </c>
      <c r="B3711" s="4" t="s">
        <v>2</v>
      </c>
      <c r="C3711" s="4" t="s">
        <v>34</v>
      </c>
      <c r="D3711" s="4">
        <v>2006</v>
      </c>
      <c r="E3711" s="4">
        <v>0</v>
      </c>
      <c r="F3711" s="4" t="s">
        <v>29</v>
      </c>
    </row>
    <row r="3712" spans="1:6" x14ac:dyDescent="0.25">
      <c r="A3712" s="4" t="s">
        <v>82</v>
      </c>
      <c r="B3712" s="4" t="s">
        <v>2</v>
      </c>
      <c r="C3712" s="4" t="s">
        <v>34</v>
      </c>
      <c r="D3712" s="4">
        <v>2007</v>
      </c>
      <c r="E3712" s="4">
        <v>0</v>
      </c>
      <c r="F3712" s="4" t="s">
        <v>29</v>
      </c>
    </row>
    <row r="3713" spans="1:6" x14ac:dyDescent="0.25">
      <c r="A3713" s="4" t="s">
        <v>82</v>
      </c>
      <c r="B3713" s="4" t="s">
        <v>2</v>
      </c>
      <c r="C3713" s="4" t="s">
        <v>34</v>
      </c>
      <c r="D3713" s="4">
        <v>2008</v>
      </c>
      <c r="E3713" s="4">
        <v>0</v>
      </c>
      <c r="F3713" s="4" t="s">
        <v>29</v>
      </c>
    </row>
    <row r="3714" spans="1:6" x14ac:dyDescent="0.25">
      <c r="A3714" s="4" t="s">
        <v>82</v>
      </c>
      <c r="B3714" s="4" t="s">
        <v>2</v>
      </c>
      <c r="C3714" s="4" t="s">
        <v>34</v>
      </c>
      <c r="D3714" s="4">
        <v>2009</v>
      </c>
      <c r="E3714" s="4">
        <v>0</v>
      </c>
      <c r="F3714" s="4" t="s">
        <v>29</v>
      </c>
    </row>
    <row r="3715" spans="1:6" x14ac:dyDescent="0.25">
      <c r="A3715" s="4" t="s">
        <v>82</v>
      </c>
      <c r="B3715" s="4" t="s">
        <v>2</v>
      </c>
      <c r="C3715" s="4" t="s">
        <v>34</v>
      </c>
      <c r="D3715" s="4">
        <v>2010</v>
      </c>
      <c r="E3715" s="4">
        <v>0</v>
      </c>
      <c r="F3715" s="4" t="s">
        <v>29</v>
      </c>
    </row>
    <row r="3716" spans="1:6" x14ac:dyDescent="0.25">
      <c r="A3716" s="4" t="s">
        <v>82</v>
      </c>
      <c r="B3716" s="4" t="s">
        <v>2</v>
      </c>
      <c r="C3716" s="4" t="s">
        <v>34</v>
      </c>
      <c r="D3716" s="4">
        <v>2011</v>
      </c>
      <c r="E3716" s="4">
        <v>0</v>
      </c>
      <c r="F3716" s="4" t="s">
        <v>29</v>
      </c>
    </row>
    <row r="3717" spans="1:6" x14ac:dyDescent="0.25">
      <c r="A3717" s="4" t="s">
        <v>82</v>
      </c>
      <c r="B3717" s="4" t="s">
        <v>2</v>
      </c>
      <c r="C3717" s="4" t="s">
        <v>34</v>
      </c>
      <c r="D3717" s="4">
        <v>2012</v>
      </c>
      <c r="E3717" s="4">
        <v>0</v>
      </c>
      <c r="F3717" s="4" t="s">
        <v>29</v>
      </c>
    </row>
    <row r="3718" spans="1:6" x14ac:dyDescent="0.25">
      <c r="A3718" s="4" t="s">
        <v>82</v>
      </c>
      <c r="B3718" s="4" t="s">
        <v>2</v>
      </c>
      <c r="C3718" s="4" t="s">
        <v>34</v>
      </c>
      <c r="D3718" s="4">
        <v>2013</v>
      </c>
      <c r="E3718" s="4">
        <v>0</v>
      </c>
      <c r="F3718" s="4" t="s">
        <v>29</v>
      </c>
    </row>
    <row r="3719" spans="1:6" x14ac:dyDescent="0.25">
      <c r="A3719" s="4" t="s">
        <v>82</v>
      </c>
      <c r="B3719" s="4" t="s">
        <v>2</v>
      </c>
      <c r="C3719" s="4" t="s">
        <v>34</v>
      </c>
      <c r="D3719" s="4">
        <v>2014</v>
      </c>
      <c r="E3719" s="4">
        <v>0</v>
      </c>
      <c r="F3719" s="4" t="s">
        <v>29</v>
      </c>
    </row>
    <row r="3720" spans="1:6" x14ac:dyDescent="0.25">
      <c r="A3720" s="4" t="s">
        <v>82</v>
      </c>
      <c r="B3720" s="4" t="s">
        <v>2</v>
      </c>
      <c r="C3720" s="4" t="s">
        <v>34</v>
      </c>
      <c r="D3720" s="4">
        <v>2015</v>
      </c>
      <c r="E3720" s="4">
        <v>0</v>
      </c>
      <c r="F3720" s="4" t="s">
        <v>29</v>
      </c>
    </row>
    <row r="3721" spans="1:6" x14ac:dyDescent="0.25">
      <c r="A3721" s="4" t="s">
        <v>82</v>
      </c>
      <c r="B3721" s="4" t="s">
        <v>2</v>
      </c>
      <c r="C3721" s="4" t="s">
        <v>34</v>
      </c>
      <c r="D3721" s="4">
        <v>2016</v>
      </c>
      <c r="E3721" s="4">
        <v>0</v>
      </c>
      <c r="F3721" s="4" t="s">
        <v>29</v>
      </c>
    </row>
    <row r="3722" spans="1:6" x14ac:dyDescent="0.25">
      <c r="A3722" s="4" t="s">
        <v>82</v>
      </c>
      <c r="B3722" s="4" t="s">
        <v>2</v>
      </c>
      <c r="C3722" s="4" t="s">
        <v>34</v>
      </c>
      <c r="D3722" s="4">
        <v>2017</v>
      </c>
      <c r="E3722" s="4">
        <v>0</v>
      </c>
      <c r="F3722" s="4" t="s">
        <v>29</v>
      </c>
    </row>
    <row r="3723" spans="1:6" x14ac:dyDescent="0.25">
      <c r="A3723" s="4" t="s">
        <v>82</v>
      </c>
      <c r="B3723" s="4" t="s">
        <v>2</v>
      </c>
      <c r="C3723" s="4" t="s">
        <v>34</v>
      </c>
      <c r="D3723" s="4">
        <v>2018</v>
      </c>
      <c r="E3723" s="4">
        <v>0</v>
      </c>
      <c r="F3723" s="4" t="s">
        <v>29</v>
      </c>
    </row>
    <row r="3724" spans="1:6" x14ac:dyDescent="0.25">
      <c r="A3724" s="4" t="s">
        <v>82</v>
      </c>
      <c r="B3724" s="4" t="s">
        <v>2</v>
      </c>
      <c r="C3724" s="4" t="s">
        <v>34</v>
      </c>
      <c r="D3724" s="4">
        <v>2019</v>
      </c>
      <c r="E3724" s="4">
        <v>0</v>
      </c>
      <c r="F3724" s="4" t="s">
        <v>29</v>
      </c>
    </row>
    <row r="3725" spans="1:6" x14ac:dyDescent="0.25">
      <c r="A3725" s="4" t="s">
        <v>82</v>
      </c>
      <c r="B3725" s="4" t="s">
        <v>2</v>
      </c>
      <c r="C3725" s="4" t="s">
        <v>34</v>
      </c>
      <c r="D3725" s="4">
        <v>2020</v>
      </c>
      <c r="E3725" s="4">
        <v>0</v>
      </c>
      <c r="F3725" s="4" t="s">
        <v>29</v>
      </c>
    </row>
    <row r="3726" spans="1:6" x14ac:dyDescent="0.25">
      <c r="A3726" s="4" t="s">
        <v>82</v>
      </c>
      <c r="B3726" s="4" t="s">
        <v>2</v>
      </c>
      <c r="C3726" s="4" t="s">
        <v>34</v>
      </c>
      <c r="D3726" s="4">
        <v>2021</v>
      </c>
      <c r="E3726" s="4">
        <v>0</v>
      </c>
      <c r="F3726" s="4" t="s">
        <v>29</v>
      </c>
    </row>
    <row r="3727" spans="1:6" x14ac:dyDescent="0.25">
      <c r="A3727" s="4" t="s">
        <v>82</v>
      </c>
      <c r="B3727" s="4" t="s">
        <v>2</v>
      </c>
      <c r="C3727" s="4" t="s">
        <v>34</v>
      </c>
      <c r="D3727" s="4">
        <v>2022</v>
      </c>
      <c r="E3727" s="4">
        <v>0</v>
      </c>
      <c r="F3727" s="4" t="s">
        <v>29</v>
      </c>
    </row>
    <row r="3728" spans="1:6" x14ac:dyDescent="0.25">
      <c r="A3728" s="4" t="s">
        <v>82</v>
      </c>
      <c r="B3728" s="4" t="s">
        <v>2</v>
      </c>
      <c r="C3728" s="4" t="s">
        <v>34</v>
      </c>
      <c r="D3728" s="4">
        <v>2023</v>
      </c>
      <c r="E3728" s="4">
        <v>0</v>
      </c>
      <c r="F3728" s="4" t="s">
        <v>29</v>
      </c>
    </row>
    <row r="3729" spans="1:6" x14ac:dyDescent="0.25">
      <c r="A3729" s="4" t="s">
        <v>82</v>
      </c>
      <c r="B3729" s="4" t="s">
        <v>2</v>
      </c>
      <c r="C3729" s="4" t="s">
        <v>34</v>
      </c>
      <c r="D3729" s="4">
        <v>2024</v>
      </c>
      <c r="E3729" s="4">
        <v>0</v>
      </c>
      <c r="F3729" s="4" t="s">
        <v>29</v>
      </c>
    </row>
    <row r="3730" spans="1:6" x14ac:dyDescent="0.25">
      <c r="A3730" s="4" t="s">
        <v>82</v>
      </c>
      <c r="B3730" s="4" t="s">
        <v>2</v>
      </c>
      <c r="C3730" s="4" t="s">
        <v>34</v>
      </c>
      <c r="D3730" s="4">
        <v>2025</v>
      </c>
      <c r="E3730" s="4">
        <v>0</v>
      </c>
      <c r="F3730" s="4" t="s">
        <v>29</v>
      </c>
    </row>
    <row r="3731" spans="1:6" x14ac:dyDescent="0.25">
      <c r="A3731" s="4" t="s">
        <v>82</v>
      </c>
      <c r="B3731" s="4" t="s">
        <v>2</v>
      </c>
      <c r="C3731" s="4" t="s">
        <v>34</v>
      </c>
      <c r="D3731" s="4">
        <v>2026</v>
      </c>
      <c r="E3731" s="4">
        <v>0</v>
      </c>
      <c r="F3731" s="4" t="s">
        <v>29</v>
      </c>
    </row>
    <row r="3732" spans="1:6" x14ac:dyDescent="0.25">
      <c r="A3732" s="4" t="s">
        <v>82</v>
      </c>
      <c r="B3732" s="4" t="s">
        <v>2</v>
      </c>
      <c r="C3732" s="4" t="s">
        <v>34</v>
      </c>
      <c r="D3732" s="4">
        <v>2027</v>
      </c>
      <c r="E3732" s="4">
        <v>0</v>
      </c>
      <c r="F3732" s="4" t="s">
        <v>29</v>
      </c>
    </row>
    <row r="3733" spans="1:6" x14ac:dyDescent="0.25">
      <c r="A3733" s="4" t="s">
        <v>82</v>
      </c>
      <c r="B3733" s="4" t="s">
        <v>2</v>
      </c>
      <c r="C3733" s="4" t="s">
        <v>34</v>
      </c>
      <c r="D3733" s="4">
        <v>2028</v>
      </c>
      <c r="E3733" s="4">
        <v>0</v>
      </c>
      <c r="F3733" s="4" t="s">
        <v>29</v>
      </c>
    </row>
    <row r="3734" spans="1:6" x14ac:dyDescent="0.25">
      <c r="A3734" s="4" t="s">
        <v>82</v>
      </c>
      <c r="B3734" s="4" t="s">
        <v>2</v>
      </c>
      <c r="C3734" s="4" t="s">
        <v>34</v>
      </c>
      <c r="D3734" s="4">
        <v>2029</v>
      </c>
      <c r="E3734" s="4">
        <v>0</v>
      </c>
      <c r="F3734" s="4" t="s">
        <v>29</v>
      </c>
    </row>
    <row r="3735" spans="1:6" x14ac:dyDescent="0.25">
      <c r="A3735" s="4" t="s">
        <v>82</v>
      </c>
      <c r="B3735" s="4" t="s">
        <v>2</v>
      </c>
      <c r="C3735" s="4" t="s">
        <v>34</v>
      </c>
      <c r="D3735" s="4">
        <v>2030</v>
      </c>
      <c r="E3735" s="4">
        <v>0</v>
      </c>
      <c r="F3735" s="4" t="s">
        <v>29</v>
      </c>
    </row>
    <row r="3736" spans="1:6" x14ac:dyDescent="0.25">
      <c r="A3736" s="4" t="s">
        <v>82</v>
      </c>
      <c r="B3736" s="4" t="s">
        <v>2</v>
      </c>
      <c r="C3736" s="4" t="s">
        <v>34</v>
      </c>
      <c r="D3736" s="4">
        <v>2031</v>
      </c>
      <c r="E3736" s="4">
        <v>0</v>
      </c>
      <c r="F3736" s="4" t="s">
        <v>29</v>
      </c>
    </row>
    <row r="3737" spans="1:6" x14ac:dyDescent="0.25">
      <c r="A3737" s="4" t="s">
        <v>82</v>
      </c>
      <c r="B3737" s="4" t="s">
        <v>2</v>
      </c>
      <c r="C3737" s="4" t="s">
        <v>34</v>
      </c>
      <c r="D3737" s="4">
        <v>2032</v>
      </c>
      <c r="E3737" s="4">
        <v>0</v>
      </c>
      <c r="F3737" s="4" t="s">
        <v>29</v>
      </c>
    </row>
    <row r="3738" spans="1:6" x14ac:dyDescent="0.25">
      <c r="A3738" s="4" t="s">
        <v>82</v>
      </c>
      <c r="B3738" s="4" t="s">
        <v>2</v>
      </c>
      <c r="C3738" s="4" t="s">
        <v>34</v>
      </c>
      <c r="D3738" s="4">
        <v>2033</v>
      </c>
      <c r="E3738" s="4">
        <v>0</v>
      </c>
      <c r="F3738" s="4" t="s">
        <v>29</v>
      </c>
    </row>
    <row r="3739" spans="1:6" x14ac:dyDescent="0.25">
      <c r="A3739" s="4" t="s">
        <v>82</v>
      </c>
      <c r="B3739" s="4" t="s">
        <v>2</v>
      </c>
      <c r="C3739" s="4" t="s">
        <v>34</v>
      </c>
      <c r="D3739" s="4">
        <v>2034</v>
      </c>
      <c r="E3739" s="4">
        <v>0</v>
      </c>
      <c r="F3739" s="4" t="s">
        <v>29</v>
      </c>
    </row>
    <row r="3740" spans="1:6" x14ac:dyDescent="0.25">
      <c r="A3740" s="4" t="s">
        <v>82</v>
      </c>
      <c r="B3740" s="4" t="s">
        <v>2</v>
      </c>
      <c r="C3740" s="4" t="s">
        <v>34</v>
      </c>
      <c r="D3740" s="4">
        <v>2035</v>
      </c>
      <c r="E3740" s="4">
        <v>0</v>
      </c>
      <c r="F3740" s="4" t="s">
        <v>29</v>
      </c>
    </row>
    <row r="3741" spans="1:6" x14ac:dyDescent="0.25">
      <c r="A3741" s="4" t="s">
        <v>82</v>
      </c>
      <c r="B3741" s="4" t="s">
        <v>2</v>
      </c>
      <c r="C3741" s="4" t="s">
        <v>34</v>
      </c>
      <c r="D3741" s="4">
        <v>2036</v>
      </c>
      <c r="E3741" s="4">
        <v>0</v>
      </c>
      <c r="F3741" s="4" t="s">
        <v>29</v>
      </c>
    </row>
    <row r="3742" spans="1:6" x14ac:dyDescent="0.25">
      <c r="A3742" s="4" t="s">
        <v>82</v>
      </c>
      <c r="B3742" s="4" t="s">
        <v>2</v>
      </c>
      <c r="C3742" s="4" t="s">
        <v>34</v>
      </c>
      <c r="D3742" s="4">
        <v>2037</v>
      </c>
      <c r="E3742" s="4">
        <v>0</v>
      </c>
      <c r="F3742" s="4" t="s">
        <v>29</v>
      </c>
    </row>
    <row r="3743" spans="1:6" x14ac:dyDescent="0.25">
      <c r="A3743" s="4" t="s">
        <v>82</v>
      </c>
      <c r="B3743" s="4" t="s">
        <v>2</v>
      </c>
      <c r="C3743" s="4" t="s">
        <v>34</v>
      </c>
      <c r="D3743" s="4">
        <v>2038</v>
      </c>
      <c r="E3743" s="4">
        <v>0</v>
      </c>
      <c r="F3743" s="4" t="s">
        <v>29</v>
      </c>
    </row>
    <row r="3744" spans="1:6" x14ac:dyDescent="0.25">
      <c r="A3744" s="4" t="s">
        <v>82</v>
      </c>
      <c r="B3744" s="4" t="s">
        <v>2</v>
      </c>
      <c r="C3744" s="4" t="s">
        <v>34</v>
      </c>
      <c r="D3744" s="4">
        <v>2039</v>
      </c>
      <c r="E3744" s="4">
        <v>0</v>
      </c>
      <c r="F3744" s="4" t="s">
        <v>29</v>
      </c>
    </row>
    <row r="3745" spans="1:6" x14ac:dyDescent="0.25">
      <c r="A3745" s="4" t="s">
        <v>82</v>
      </c>
      <c r="B3745" s="4" t="s">
        <v>2</v>
      </c>
      <c r="C3745" s="4" t="s">
        <v>34</v>
      </c>
      <c r="D3745" s="4">
        <v>2040</v>
      </c>
      <c r="E3745" s="4">
        <v>0</v>
      </c>
      <c r="F3745" s="4" t="s">
        <v>29</v>
      </c>
    </row>
    <row r="3746" spans="1:6" x14ac:dyDescent="0.25">
      <c r="A3746" s="4" t="s">
        <v>82</v>
      </c>
      <c r="B3746" s="4" t="s">
        <v>3</v>
      </c>
      <c r="C3746" s="4" t="s">
        <v>34</v>
      </c>
      <c r="D3746" s="4">
        <v>2005</v>
      </c>
      <c r="E3746" s="4">
        <v>0</v>
      </c>
      <c r="F3746" s="4" t="s">
        <v>29</v>
      </c>
    </row>
    <row r="3747" spans="1:6" x14ac:dyDescent="0.25">
      <c r="A3747" s="4" t="s">
        <v>82</v>
      </c>
      <c r="B3747" s="4" t="s">
        <v>3</v>
      </c>
      <c r="C3747" s="4" t="s">
        <v>34</v>
      </c>
      <c r="D3747" s="4">
        <v>2006</v>
      </c>
      <c r="E3747" s="4">
        <v>0</v>
      </c>
      <c r="F3747" s="4" t="s">
        <v>29</v>
      </c>
    </row>
    <row r="3748" spans="1:6" x14ac:dyDescent="0.25">
      <c r="A3748" s="4" t="s">
        <v>82</v>
      </c>
      <c r="B3748" s="4" t="s">
        <v>3</v>
      </c>
      <c r="C3748" s="4" t="s">
        <v>34</v>
      </c>
      <c r="D3748" s="4">
        <v>2007</v>
      </c>
      <c r="E3748" s="4">
        <v>0</v>
      </c>
      <c r="F3748" s="4" t="s">
        <v>29</v>
      </c>
    </row>
    <row r="3749" spans="1:6" x14ac:dyDescent="0.25">
      <c r="A3749" s="4" t="s">
        <v>82</v>
      </c>
      <c r="B3749" s="4" t="s">
        <v>3</v>
      </c>
      <c r="C3749" s="4" t="s">
        <v>34</v>
      </c>
      <c r="D3749" s="4">
        <v>2008</v>
      </c>
      <c r="E3749" s="4">
        <v>0</v>
      </c>
      <c r="F3749" s="4" t="s">
        <v>29</v>
      </c>
    </row>
    <row r="3750" spans="1:6" x14ac:dyDescent="0.25">
      <c r="A3750" s="4" t="s">
        <v>82</v>
      </c>
      <c r="B3750" s="4" t="s">
        <v>3</v>
      </c>
      <c r="C3750" s="4" t="s">
        <v>34</v>
      </c>
      <c r="D3750" s="4">
        <v>2009</v>
      </c>
      <c r="E3750" s="4">
        <v>0</v>
      </c>
      <c r="F3750" s="4" t="s">
        <v>29</v>
      </c>
    </row>
    <row r="3751" spans="1:6" x14ac:dyDescent="0.25">
      <c r="A3751" s="4" t="s">
        <v>82</v>
      </c>
      <c r="B3751" s="4" t="s">
        <v>3</v>
      </c>
      <c r="C3751" s="4" t="s">
        <v>34</v>
      </c>
      <c r="D3751" s="4">
        <v>2010</v>
      </c>
      <c r="E3751" s="4">
        <v>0</v>
      </c>
      <c r="F3751" s="4" t="s">
        <v>29</v>
      </c>
    </row>
    <row r="3752" spans="1:6" x14ac:dyDescent="0.25">
      <c r="A3752" s="4" t="s">
        <v>82</v>
      </c>
      <c r="B3752" s="4" t="s">
        <v>3</v>
      </c>
      <c r="C3752" s="4" t="s">
        <v>34</v>
      </c>
      <c r="D3752" s="4">
        <v>2011</v>
      </c>
      <c r="E3752" s="4">
        <v>0</v>
      </c>
      <c r="F3752" s="4" t="s">
        <v>29</v>
      </c>
    </row>
    <row r="3753" spans="1:6" x14ac:dyDescent="0.25">
      <c r="A3753" s="4" t="s">
        <v>82</v>
      </c>
      <c r="B3753" s="4" t="s">
        <v>3</v>
      </c>
      <c r="C3753" s="4" t="s">
        <v>34</v>
      </c>
      <c r="D3753" s="4">
        <v>2012</v>
      </c>
      <c r="E3753" s="4">
        <v>0</v>
      </c>
      <c r="F3753" s="4" t="s">
        <v>29</v>
      </c>
    </row>
    <row r="3754" spans="1:6" x14ac:dyDescent="0.25">
      <c r="A3754" s="4" t="s">
        <v>82</v>
      </c>
      <c r="B3754" s="4" t="s">
        <v>3</v>
      </c>
      <c r="C3754" s="4" t="s">
        <v>34</v>
      </c>
      <c r="D3754" s="4">
        <v>2013</v>
      </c>
      <c r="E3754" s="4">
        <v>0</v>
      </c>
      <c r="F3754" s="4" t="s">
        <v>29</v>
      </c>
    </row>
    <row r="3755" spans="1:6" x14ac:dyDescent="0.25">
      <c r="A3755" s="4" t="s">
        <v>82</v>
      </c>
      <c r="B3755" s="4" t="s">
        <v>3</v>
      </c>
      <c r="C3755" s="4" t="s">
        <v>34</v>
      </c>
      <c r="D3755" s="4">
        <v>2014</v>
      </c>
      <c r="E3755" s="4">
        <v>0</v>
      </c>
      <c r="F3755" s="4" t="s">
        <v>29</v>
      </c>
    </row>
    <row r="3756" spans="1:6" x14ac:dyDescent="0.25">
      <c r="A3756" s="4" t="s">
        <v>82</v>
      </c>
      <c r="B3756" s="4" t="s">
        <v>3</v>
      </c>
      <c r="C3756" s="4" t="s">
        <v>34</v>
      </c>
      <c r="D3756" s="4">
        <v>2015</v>
      </c>
      <c r="E3756" s="4">
        <v>0</v>
      </c>
      <c r="F3756" s="4" t="s">
        <v>29</v>
      </c>
    </row>
    <row r="3757" spans="1:6" x14ac:dyDescent="0.25">
      <c r="A3757" s="4" t="s">
        <v>82</v>
      </c>
      <c r="B3757" s="4" t="s">
        <v>3</v>
      </c>
      <c r="C3757" s="4" t="s">
        <v>34</v>
      </c>
      <c r="D3757" s="4">
        <v>2016</v>
      </c>
      <c r="E3757" s="4">
        <v>0</v>
      </c>
      <c r="F3757" s="4" t="s">
        <v>29</v>
      </c>
    </row>
    <row r="3758" spans="1:6" x14ac:dyDescent="0.25">
      <c r="A3758" s="4" t="s">
        <v>82</v>
      </c>
      <c r="B3758" s="4" t="s">
        <v>3</v>
      </c>
      <c r="C3758" s="4" t="s">
        <v>34</v>
      </c>
      <c r="D3758" s="4">
        <v>2017</v>
      </c>
      <c r="E3758" s="4">
        <v>0</v>
      </c>
      <c r="F3758" s="4" t="s">
        <v>29</v>
      </c>
    </row>
    <row r="3759" spans="1:6" x14ac:dyDescent="0.25">
      <c r="A3759" s="4" t="s">
        <v>82</v>
      </c>
      <c r="B3759" s="4" t="s">
        <v>3</v>
      </c>
      <c r="C3759" s="4" t="s">
        <v>34</v>
      </c>
      <c r="D3759" s="4">
        <v>2018</v>
      </c>
      <c r="E3759" s="4">
        <v>0</v>
      </c>
      <c r="F3759" s="4" t="s">
        <v>29</v>
      </c>
    </row>
    <row r="3760" spans="1:6" x14ac:dyDescent="0.25">
      <c r="A3760" s="4" t="s">
        <v>82</v>
      </c>
      <c r="B3760" s="4" t="s">
        <v>3</v>
      </c>
      <c r="C3760" s="4" t="s">
        <v>34</v>
      </c>
      <c r="D3760" s="4">
        <v>2019</v>
      </c>
      <c r="E3760" s="4">
        <v>0</v>
      </c>
      <c r="F3760" s="4" t="s">
        <v>29</v>
      </c>
    </row>
    <row r="3761" spans="1:6" x14ac:dyDescent="0.25">
      <c r="A3761" s="4" t="s">
        <v>82</v>
      </c>
      <c r="B3761" s="4" t="s">
        <v>3</v>
      </c>
      <c r="C3761" s="4" t="s">
        <v>34</v>
      </c>
      <c r="D3761" s="4">
        <v>2020</v>
      </c>
      <c r="E3761" s="4">
        <v>0</v>
      </c>
      <c r="F3761" s="4" t="s">
        <v>29</v>
      </c>
    </row>
    <row r="3762" spans="1:6" x14ac:dyDescent="0.25">
      <c r="A3762" s="4" t="s">
        <v>82</v>
      </c>
      <c r="B3762" s="4" t="s">
        <v>3</v>
      </c>
      <c r="C3762" s="4" t="s">
        <v>34</v>
      </c>
      <c r="D3762" s="4">
        <v>2021</v>
      </c>
      <c r="E3762" s="4">
        <v>0</v>
      </c>
      <c r="F3762" s="4" t="s">
        <v>29</v>
      </c>
    </row>
    <row r="3763" spans="1:6" x14ac:dyDescent="0.25">
      <c r="A3763" s="4" t="s">
        <v>82</v>
      </c>
      <c r="B3763" s="4" t="s">
        <v>3</v>
      </c>
      <c r="C3763" s="4" t="s">
        <v>34</v>
      </c>
      <c r="D3763" s="4">
        <v>2022</v>
      </c>
      <c r="E3763" s="4">
        <v>0</v>
      </c>
      <c r="F3763" s="4" t="s">
        <v>29</v>
      </c>
    </row>
    <row r="3764" spans="1:6" x14ac:dyDescent="0.25">
      <c r="A3764" s="4" t="s">
        <v>82</v>
      </c>
      <c r="B3764" s="4" t="s">
        <v>3</v>
      </c>
      <c r="C3764" s="4" t="s">
        <v>34</v>
      </c>
      <c r="D3764" s="4">
        <v>2023</v>
      </c>
      <c r="E3764" s="4">
        <v>0</v>
      </c>
      <c r="F3764" s="4" t="s">
        <v>29</v>
      </c>
    </row>
    <row r="3765" spans="1:6" x14ac:dyDescent="0.25">
      <c r="A3765" s="4" t="s">
        <v>82</v>
      </c>
      <c r="B3765" s="4" t="s">
        <v>3</v>
      </c>
      <c r="C3765" s="4" t="s">
        <v>34</v>
      </c>
      <c r="D3765" s="4">
        <v>2024</v>
      </c>
      <c r="E3765" s="4">
        <v>0</v>
      </c>
      <c r="F3765" s="4" t="s">
        <v>29</v>
      </c>
    </row>
    <row r="3766" spans="1:6" x14ac:dyDescent="0.25">
      <c r="A3766" s="4" t="s">
        <v>82</v>
      </c>
      <c r="B3766" s="4" t="s">
        <v>3</v>
      </c>
      <c r="C3766" s="4" t="s">
        <v>34</v>
      </c>
      <c r="D3766" s="4">
        <v>2025</v>
      </c>
      <c r="E3766" s="4">
        <v>0</v>
      </c>
      <c r="F3766" s="4" t="s">
        <v>29</v>
      </c>
    </row>
    <row r="3767" spans="1:6" x14ac:dyDescent="0.25">
      <c r="A3767" s="4" t="s">
        <v>82</v>
      </c>
      <c r="B3767" s="4" t="s">
        <v>3</v>
      </c>
      <c r="C3767" s="4" t="s">
        <v>34</v>
      </c>
      <c r="D3767" s="4">
        <v>2026</v>
      </c>
      <c r="E3767" s="4">
        <v>0</v>
      </c>
      <c r="F3767" s="4" t="s">
        <v>29</v>
      </c>
    </row>
    <row r="3768" spans="1:6" x14ac:dyDescent="0.25">
      <c r="A3768" s="4" t="s">
        <v>82</v>
      </c>
      <c r="B3768" s="4" t="s">
        <v>3</v>
      </c>
      <c r="C3768" s="4" t="s">
        <v>34</v>
      </c>
      <c r="D3768" s="4">
        <v>2027</v>
      </c>
      <c r="E3768" s="4">
        <v>0</v>
      </c>
      <c r="F3768" s="4" t="s">
        <v>29</v>
      </c>
    </row>
    <row r="3769" spans="1:6" x14ac:dyDescent="0.25">
      <c r="A3769" s="4" t="s">
        <v>82</v>
      </c>
      <c r="B3769" s="4" t="s">
        <v>3</v>
      </c>
      <c r="C3769" s="4" t="s">
        <v>34</v>
      </c>
      <c r="D3769" s="4">
        <v>2028</v>
      </c>
      <c r="E3769" s="4">
        <v>0</v>
      </c>
      <c r="F3769" s="4" t="s">
        <v>29</v>
      </c>
    </row>
    <row r="3770" spans="1:6" x14ac:dyDescent="0.25">
      <c r="A3770" s="4" t="s">
        <v>82</v>
      </c>
      <c r="B3770" s="4" t="s">
        <v>3</v>
      </c>
      <c r="C3770" s="4" t="s">
        <v>34</v>
      </c>
      <c r="D3770" s="4">
        <v>2029</v>
      </c>
      <c r="E3770" s="4">
        <v>0</v>
      </c>
      <c r="F3770" s="4" t="s">
        <v>29</v>
      </c>
    </row>
    <row r="3771" spans="1:6" x14ac:dyDescent="0.25">
      <c r="A3771" s="4" t="s">
        <v>82</v>
      </c>
      <c r="B3771" s="4" t="s">
        <v>3</v>
      </c>
      <c r="C3771" s="4" t="s">
        <v>34</v>
      </c>
      <c r="D3771" s="4">
        <v>2030</v>
      </c>
      <c r="E3771" s="4">
        <v>0</v>
      </c>
      <c r="F3771" s="4" t="s">
        <v>29</v>
      </c>
    </row>
    <row r="3772" spans="1:6" x14ac:dyDescent="0.25">
      <c r="A3772" s="4" t="s">
        <v>82</v>
      </c>
      <c r="B3772" s="4" t="s">
        <v>3</v>
      </c>
      <c r="C3772" s="4" t="s">
        <v>34</v>
      </c>
      <c r="D3772" s="4">
        <v>2031</v>
      </c>
      <c r="E3772" s="4">
        <v>0</v>
      </c>
      <c r="F3772" s="4" t="s">
        <v>29</v>
      </c>
    </row>
    <row r="3773" spans="1:6" x14ac:dyDescent="0.25">
      <c r="A3773" s="4" t="s">
        <v>82</v>
      </c>
      <c r="B3773" s="4" t="s">
        <v>3</v>
      </c>
      <c r="C3773" s="4" t="s">
        <v>34</v>
      </c>
      <c r="D3773" s="4">
        <v>2032</v>
      </c>
      <c r="E3773" s="4">
        <v>0</v>
      </c>
      <c r="F3773" s="4" t="s">
        <v>29</v>
      </c>
    </row>
    <row r="3774" spans="1:6" x14ac:dyDescent="0.25">
      <c r="A3774" s="4" t="s">
        <v>82</v>
      </c>
      <c r="B3774" s="4" t="s">
        <v>3</v>
      </c>
      <c r="C3774" s="4" t="s">
        <v>34</v>
      </c>
      <c r="D3774" s="4">
        <v>2033</v>
      </c>
      <c r="E3774" s="4">
        <v>0</v>
      </c>
      <c r="F3774" s="4" t="s">
        <v>29</v>
      </c>
    </row>
    <row r="3775" spans="1:6" x14ac:dyDescent="0.25">
      <c r="A3775" s="4" t="s">
        <v>82</v>
      </c>
      <c r="B3775" s="4" t="s">
        <v>3</v>
      </c>
      <c r="C3775" s="4" t="s">
        <v>34</v>
      </c>
      <c r="D3775" s="4">
        <v>2034</v>
      </c>
      <c r="E3775" s="4">
        <v>0</v>
      </c>
      <c r="F3775" s="4" t="s">
        <v>29</v>
      </c>
    </row>
    <row r="3776" spans="1:6" x14ac:dyDescent="0.25">
      <c r="A3776" s="4" t="s">
        <v>82</v>
      </c>
      <c r="B3776" s="4" t="s">
        <v>3</v>
      </c>
      <c r="C3776" s="4" t="s">
        <v>34</v>
      </c>
      <c r="D3776" s="4">
        <v>2035</v>
      </c>
      <c r="E3776" s="4">
        <v>0</v>
      </c>
      <c r="F3776" s="4" t="s">
        <v>29</v>
      </c>
    </row>
    <row r="3777" spans="1:6" x14ac:dyDescent="0.25">
      <c r="A3777" s="4" t="s">
        <v>82</v>
      </c>
      <c r="B3777" s="4" t="s">
        <v>3</v>
      </c>
      <c r="C3777" s="4" t="s">
        <v>34</v>
      </c>
      <c r="D3777" s="4">
        <v>2036</v>
      </c>
      <c r="E3777" s="4">
        <v>0</v>
      </c>
      <c r="F3777" s="4" t="s">
        <v>29</v>
      </c>
    </row>
    <row r="3778" spans="1:6" x14ac:dyDescent="0.25">
      <c r="A3778" s="4" t="s">
        <v>82</v>
      </c>
      <c r="B3778" s="4" t="s">
        <v>3</v>
      </c>
      <c r="C3778" s="4" t="s">
        <v>34</v>
      </c>
      <c r="D3778" s="4">
        <v>2037</v>
      </c>
      <c r="E3778" s="4">
        <v>0</v>
      </c>
      <c r="F3778" s="4" t="s">
        <v>29</v>
      </c>
    </row>
    <row r="3779" spans="1:6" x14ac:dyDescent="0.25">
      <c r="A3779" s="4" t="s">
        <v>82</v>
      </c>
      <c r="B3779" s="4" t="s">
        <v>3</v>
      </c>
      <c r="C3779" s="4" t="s">
        <v>34</v>
      </c>
      <c r="D3779" s="4">
        <v>2038</v>
      </c>
      <c r="E3779" s="4">
        <v>0</v>
      </c>
      <c r="F3779" s="4" t="s">
        <v>29</v>
      </c>
    </row>
    <row r="3780" spans="1:6" x14ac:dyDescent="0.25">
      <c r="A3780" s="4" t="s">
        <v>82</v>
      </c>
      <c r="B3780" s="4" t="s">
        <v>3</v>
      </c>
      <c r="C3780" s="4" t="s">
        <v>34</v>
      </c>
      <c r="D3780" s="4">
        <v>2039</v>
      </c>
      <c r="E3780" s="4">
        <v>0</v>
      </c>
      <c r="F3780" s="4" t="s">
        <v>29</v>
      </c>
    </row>
    <row r="3781" spans="1:6" x14ac:dyDescent="0.25">
      <c r="A3781" s="4" t="s">
        <v>82</v>
      </c>
      <c r="B3781" s="4" t="s">
        <v>3</v>
      </c>
      <c r="C3781" s="4" t="s">
        <v>34</v>
      </c>
      <c r="D3781" s="4">
        <v>2040</v>
      </c>
      <c r="E3781" s="4">
        <v>0</v>
      </c>
      <c r="F3781" s="4" t="s">
        <v>29</v>
      </c>
    </row>
    <row r="3782" spans="1:6" x14ac:dyDescent="0.25">
      <c r="A3782" s="4" t="s">
        <v>82</v>
      </c>
      <c r="B3782" s="4" t="s">
        <v>4</v>
      </c>
      <c r="C3782" s="4" t="s">
        <v>34</v>
      </c>
      <c r="D3782" s="4">
        <v>2005</v>
      </c>
      <c r="E3782" s="4">
        <v>0</v>
      </c>
      <c r="F3782" s="4" t="s">
        <v>29</v>
      </c>
    </row>
    <row r="3783" spans="1:6" x14ac:dyDescent="0.25">
      <c r="A3783" s="4" t="s">
        <v>82</v>
      </c>
      <c r="B3783" s="4" t="s">
        <v>4</v>
      </c>
      <c r="C3783" s="4" t="s">
        <v>34</v>
      </c>
      <c r="D3783" s="4">
        <v>2006</v>
      </c>
      <c r="E3783" s="4">
        <v>0</v>
      </c>
      <c r="F3783" s="4" t="s">
        <v>29</v>
      </c>
    </row>
    <row r="3784" spans="1:6" x14ac:dyDescent="0.25">
      <c r="A3784" s="4" t="s">
        <v>82</v>
      </c>
      <c r="B3784" s="4" t="s">
        <v>4</v>
      </c>
      <c r="C3784" s="4" t="s">
        <v>34</v>
      </c>
      <c r="D3784" s="4">
        <v>2007</v>
      </c>
      <c r="E3784" s="4">
        <v>0</v>
      </c>
      <c r="F3784" s="4" t="s">
        <v>29</v>
      </c>
    </row>
    <row r="3785" spans="1:6" x14ac:dyDescent="0.25">
      <c r="A3785" s="4" t="s">
        <v>82</v>
      </c>
      <c r="B3785" s="4" t="s">
        <v>4</v>
      </c>
      <c r="C3785" s="4" t="s">
        <v>34</v>
      </c>
      <c r="D3785" s="4">
        <v>2008</v>
      </c>
      <c r="E3785" s="4">
        <v>0</v>
      </c>
      <c r="F3785" s="4" t="s">
        <v>29</v>
      </c>
    </row>
    <row r="3786" spans="1:6" x14ac:dyDescent="0.25">
      <c r="A3786" s="4" t="s">
        <v>82</v>
      </c>
      <c r="B3786" s="4" t="s">
        <v>4</v>
      </c>
      <c r="C3786" s="4" t="s">
        <v>34</v>
      </c>
      <c r="D3786" s="4">
        <v>2009</v>
      </c>
      <c r="E3786" s="4">
        <v>0</v>
      </c>
      <c r="F3786" s="4" t="s">
        <v>29</v>
      </c>
    </row>
    <row r="3787" spans="1:6" x14ac:dyDescent="0.25">
      <c r="A3787" s="4" t="s">
        <v>82</v>
      </c>
      <c r="B3787" s="4" t="s">
        <v>4</v>
      </c>
      <c r="C3787" s="4" t="s">
        <v>34</v>
      </c>
      <c r="D3787" s="4">
        <v>2010</v>
      </c>
      <c r="E3787" s="4">
        <v>0</v>
      </c>
      <c r="F3787" s="4" t="s">
        <v>29</v>
      </c>
    </row>
    <row r="3788" spans="1:6" x14ac:dyDescent="0.25">
      <c r="A3788" s="4" t="s">
        <v>82</v>
      </c>
      <c r="B3788" s="4" t="s">
        <v>4</v>
      </c>
      <c r="C3788" s="4" t="s">
        <v>34</v>
      </c>
      <c r="D3788" s="4">
        <v>2011</v>
      </c>
      <c r="E3788" s="4">
        <v>0</v>
      </c>
      <c r="F3788" s="4" t="s">
        <v>29</v>
      </c>
    </row>
    <row r="3789" spans="1:6" x14ac:dyDescent="0.25">
      <c r="A3789" s="4" t="s">
        <v>82</v>
      </c>
      <c r="B3789" s="4" t="s">
        <v>4</v>
      </c>
      <c r="C3789" s="4" t="s">
        <v>34</v>
      </c>
      <c r="D3789" s="4">
        <v>2012</v>
      </c>
      <c r="E3789" s="4">
        <v>0</v>
      </c>
      <c r="F3789" s="4" t="s">
        <v>29</v>
      </c>
    </row>
    <row r="3790" spans="1:6" x14ac:dyDescent="0.25">
      <c r="A3790" s="4" t="s">
        <v>82</v>
      </c>
      <c r="B3790" s="4" t="s">
        <v>4</v>
      </c>
      <c r="C3790" s="4" t="s">
        <v>34</v>
      </c>
      <c r="D3790" s="4">
        <v>2013</v>
      </c>
      <c r="E3790" s="4">
        <v>0</v>
      </c>
      <c r="F3790" s="4" t="s">
        <v>29</v>
      </c>
    </row>
    <row r="3791" spans="1:6" x14ac:dyDescent="0.25">
      <c r="A3791" s="4" t="s">
        <v>82</v>
      </c>
      <c r="B3791" s="4" t="s">
        <v>4</v>
      </c>
      <c r="C3791" s="4" t="s">
        <v>34</v>
      </c>
      <c r="D3791" s="4">
        <v>2014</v>
      </c>
      <c r="E3791" s="4">
        <v>0</v>
      </c>
      <c r="F3791" s="4" t="s">
        <v>29</v>
      </c>
    </row>
    <row r="3792" spans="1:6" x14ac:dyDescent="0.25">
      <c r="A3792" s="4" t="s">
        <v>82</v>
      </c>
      <c r="B3792" s="4" t="s">
        <v>4</v>
      </c>
      <c r="C3792" s="4" t="s">
        <v>34</v>
      </c>
      <c r="D3792" s="4">
        <v>2015</v>
      </c>
      <c r="E3792" s="4">
        <v>0</v>
      </c>
      <c r="F3792" s="4" t="s">
        <v>29</v>
      </c>
    </row>
    <row r="3793" spans="1:6" x14ac:dyDescent="0.25">
      <c r="A3793" s="4" t="s">
        <v>82</v>
      </c>
      <c r="B3793" s="4" t="s">
        <v>4</v>
      </c>
      <c r="C3793" s="4" t="s">
        <v>34</v>
      </c>
      <c r="D3793" s="4">
        <v>2016</v>
      </c>
      <c r="E3793" s="4">
        <v>0</v>
      </c>
      <c r="F3793" s="4" t="s">
        <v>29</v>
      </c>
    </row>
    <row r="3794" spans="1:6" x14ac:dyDescent="0.25">
      <c r="A3794" s="4" t="s">
        <v>82</v>
      </c>
      <c r="B3794" s="4" t="s">
        <v>4</v>
      </c>
      <c r="C3794" s="4" t="s">
        <v>34</v>
      </c>
      <c r="D3794" s="4">
        <v>2017</v>
      </c>
      <c r="E3794" s="4">
        <v>0</v>
      </c>
      <c r="F3794" s="4" t="s">
        <v>29</v>
      </c>
    </row>
    <row r="3795" spans="1:6" x14ac:dyDescent="0.25">
      <c r="A3795" s="4" t="s">
        <v>82</v>
      </c>
      <c r="B3795" s="4" t="s">
        <v>4</v>
      </c>
      <c r="C3795" s="4" t="s">
        <v>34</v>
      </c>
      <c r="D3795" s="4">
        <v>2018</v>
      </c>
      <c r="E3795" s="4">
        <v>0</v>
      </c>
      <c r="F3795" s="4" t="s">
        <v>29</v>
      </c>
    </row>
    <row r="3796" spans="1:6" x14ac:dyDescent="0.25">
      <c r="A3796" s="4" t="s">
        <v>82</v>
      </c>
      <c r="B3796" s="4" t="s">
        <v>4</v>
      </c>
      <c r="C3796" s="4" t="s">
        <v>34</v>
      </c>
      <c r="D3796" s="4">
        <v>2019</v>
      </c>
      <c r="E3796" s="4">
        <v>0</v>
      </c>
      <c r="F3796" s="4" t="s">
        <v>29</v>
      </c>
    </row>
    <row r="3797" spans="1:6" x14ac:dyDescent="0.25">
      <c r="A3797" s="4" t="s">
        <v>82</v>
      </c>
      <c r="B3797" s="4" t="s">
        <v>4</v>
      </c>
      <c r="C3797" s="4" t="s">
        <v>34</v>
      </c>
      <c r="D3797" s="4">
        <v>2020</v>
      </c>
      <c r="E3797" s="4">
        <v>0</v>
      </c>
      <c r="F3797" s="4" t="s">
        <v>29</v>
      </c>
    </row>
    <row r="3798" spans="1:6" x14ac:dyDescent="0.25">
      <c r="A3798" s="4" t="s">
        <v>82</v>
      </c>
      <c r="B3798" s="4" t="s">
        <v>4</v>
      </c>
      <c r="C3798" s="4" t="s">
        <v>34</v>
      </c>
      <c r="D3798" s="4">
        <v>2021</v>
      </c>
      <c r="E3798" s="4">
        <v>0</v>
      </c>
      <c r="F3798" s="4" t="s">
        <v>29</v>
      </c>
    </row>
    <row r="3799" spans="1:6" x14ac:dyDescent="0.25">
      <c r="A3799" s="4" t="s">
        <v>82</v>
      </c>
      <c r="B3799" s="4" t="s">
        <v>4</v>
      </c>
      <c r="C3799" s="4" t="s">
        <v>34</v>
      </c>
      <c r="D3799" s="4">
        <v>2022</v>
      </c>
      <c r="E3799" s="4">
        <v>0</v>
      </c>
      <c r="F3799" s="4" t="s">
        <v>29</v>
      </c>
    </row>
    <row r="3800" spans="1:6" x14ac:dyDescent="0.25">
      <c r="A3800" s="4" t="s">
        <v>82</v>
      </c>
      <c r="B3800" s="4" t="s">
        <v>4</v>
      </c>
      <c r="C3800" s="4" t="s">
        <v>34</v>
      </c>
      <c r="D3800" s="4">
        <v>2023</v>
      </c>
      <c r="E3800" s="4">
        <v>0</v>
      </c>
      <c r="F3800" s="4" t="s">
        <v>29</v>
      </c>
    </row>
    <row r="3801" spans="1:6" x14ac:dyDescent="0.25">
      <c r="A3801" s="4" t="s">
        <v>82</v>
      </c>
      <c r="B3801" s="4" t="s">
        <v>4</v>
      </c>
      <c r="C3801" s="4" t="s">
        <v>34</v>
      </c>
      <c r="D3801" s="4">
        <v>2024</v>
      </c>
      <c r="E3801" s="4">
        <v>0</v>
      </c>
      <c r="F3801" s="4" t="s">
        <v>29</v>
      </c>
    </row>
    <row r="3802" spans="1:6" x14ac:dyDescent="0.25">
      <c r="A3802" s="4" t="s">
        <v>82</v>
      </c>
      <c r="B3802" s="4" t="s">
        <v>4</v>
      </c>
      <c r="C3802" s="4" t="s">
        <v>34</v>
      </c>
      <c r="D3802" s="4">
        <v>2025</v>
      </c>
      <c r="E3802" s="4">
        <v>0</v>
      </c>
      <c r="F3802" s="4" t="s">
        <v>29</v>
      </c>
    </row>
    <row r="3803" spans="1:6" x14ac:dyDescent="0.25">
      <c r="A3803" s="4" t="s">
        <v>82</v>
      </c>
      <c r="B3803" s="4" t="s">
        <v>4</v>
      </c>
      <c r="C3803" s="4" t="s">
        <v>34</v>
      </c>
      <c r="D3803" s="4">
        <v>2026</v>
      </c>
      <c r="E3803" s="4">
        <v>0</v>
      </c>
      <c r="F3803" s="4" t="s">
        <v>29</v>
      </c>
    </row>
    <row r="3804" spans="1:6" x14ac:dyDescent="0.25">
      <c r="A3804" s="4" t="s">
        <v>82</v>
      </c>
      <c r="B3804" s="4" t="s">
        <v>4</v>
      </c>
      <c r="C3804" s="4" t="s">
        <v>34</v>
      </c>
      <c r="D3804" s="4">
        <v>2027</v>
      </c>
      <c r="E3804" s="4">
        <v>0</v>
      </c>
      <c r="F3804" s="4" t="s">
        <v>29</v>
      </c>
    </row>
    <row r="3805" spans="1:6" x14ac:dyDescent="0.25">
      <c r="A3805" s="4" t="s">
        <v>82</v>
      </c>
      <c r="B3805" s="4" t="s">
        <v>4</v>
      </c>
      <c r="C3805" s="4" t="s">
        <v>34</v>
      </c>
      <c r="D3805" s="4">
        <v>2028</v>
      </c>
      <c r="E3805" s="4">
        <v>0</v>
      </c>
      <c r="F3805" s="4" t="s">
        <v>29</v>
      </c>
    </row>
    <row r="3806" spans="1:6" x14ac:dyDescent="0.25">
      <c r="A3806" s="4" t="s">
        <v>82</v>
      </c>
      <c r="B3806" s="4" t="s">
        <v>4</v>
      </c>
      <c r="C3806" s="4" t="s">
        <v>34</v>
      </c>
      <c r="D3806" s="4">
        <v>2029</v>
      </c>
      <c r="E3806" s="4">
        <v>0</v>
      </c>
      <c r="F3806" s="4" t="s">
        <v>29</v>
      </c>
    </row>
    <row r="3807" spans="1:6" x14ac:dyDescent="0.25">
      <c r="A3807" s="4" t="s">
        <v>82</v>
      </c>
      <c r="B3807" s="4" t="s">
        <v>4</v>
      </c>
      <c r="C3807" s="4" t="s">
        <v>34</v>
      </c>
      <c r="D3807" s="4">
        <v>2030</v>
      </c>
      <c r="E3807" s="4">
        <v>0</v>
      </c>
      <c r="F3807" s="4" t="s">
        <v>29</v>
      </c>
    </row>
    <row r="3808" spans="1:6" x14ac:dyDescent="0.25">
      <c r="A3808" s="4" t="s">
        <v>82</v>
      </c>
      <c r="B3808" s="4" t="s">
        <v>4</v>
      </c>
      <c r="C3808" s="4" t="s">
        <v>34</v>
      </c>
      <c r="D3808" s="4">
        <v>2031</v>
      </c>
      <c r="E3808" s="4">
        <v>0</v>
      </c>
      <c r="F3808" s="4" t="s">
        <v>29</v>
      </c>
    </row>
    <row r="3809" spans="1:6" x14ac:dyDescent="0.25">
      <c r="A3809" s="4" t="s">
        <v>82</v>
      </c>
      <c r="B3809" s="4" t="s">
        <v>4</v>
      </c>
      <c r="C3809" s="4" t="s">
        <v>34</v>
      </c>
      <c r="D3809" s="4">
        <v>2032</v>
      </c>
      <c r="E3809" s="4">
        <v>0</v>
      </c>
      <c r="F3809" s="4" t="s">
        <v>29</v>
      </c>
    </row>
    <row r="3810" spans="1:6" x14ac:dyDescent="0.25">
      <c r="A3810" s="4" t="s">
        <v>82</v>
      </c>
      <c r="B3810" s="4" t="s">
        <v>4</v>
      </c>
      <c r="C3810" s="4" t="s">
        <v>34</v>
      </c>
      <c r="D3810" s="4">
        <v>2033</v>
      </c>
      <c r="E3810" s="4">
        <v>0</v>
      </c>
      <c r="F3810" s="4" t="s">
        <v>29</v>
      </c>
    </row>
    <row r="3811" spans="1:6" x14ac:dyDescent="0.25">
      <c r="A3811" s="4" t="s">
        <v>82</v>
      </c>
      <c r="B3811" s="4" t="s">
        <v>4</v>
      </c>
      <c r="C3811" s="4" t="s">
        <v>34</v>
      </c>
      <c r="D3811" s="4">
        <v>2034</v>
      </c>
      <c r="E3811" s="4">
        <v>0</v>
      </c>
      <c r="F3811" s="4" t="s">
        <v>29</v>
      </c>
    </row>
    <row r="3812" spans="1:6" x14ac:dyDescent="0.25">
      <c r="A3812" s="4" t="s">
        <v>82</v>
      </c>
      <c r="B3812" s="4" t="s">
        <v>4</v>
      </c>
      <c r="C3812" s="4" t="s">
        <v>34</v>
      </c>
      <c r="D3812" s="4">
        <v>2035</v>
      </c>
      <c r="E3812" s="4">
        <v>0</v>
      </c>
      <c r="F3812" s="4" t="s">
        <v>29</v>
      </c>
    </row>
    <row r="3813" spans="1:6" x14ac:dyDescent="0.25">
      <c r="A3813" s="4" t="s">
        <v>82</v>
      </c>
      <c r="B3813" s="4" t="s">
        <v>4</v>
      </c>
      <c r="C3813" s="4" t="s">
        <v>34</v>
      </c>
      <c r="D3813" s="4">
        <v>2036</v>
      </c>
      <c r="E3813" s="4">
        <v>0</v>
      </c>
      <c r="F3813" s="4" t="s">
        <v>29</v>
      </c>
    </row>
    <row r="3814" spans="1:6" x14ac:dyDescent="0.25">
      <c r="A3814" s="4" t="s">
        <v>82</v>
      </c>
      <c r="B3814" s="4" t="s">
        <v>4</v>
      </c>
      <c r="C3814" s="4" t="s">
        <v>34</v>
      </c>
      <c r="D3814" s="4">
        <v>2037</v>
      </c>
      <c r="E3814" s="4">
        <v>0</v>
      </c>
      <c r="F3814" s="4" t="s">
        <v>29</v>
      </c>
    </row>
    <row r="3815" spans="1:6" x14ac:dyDescent="0.25">
      <c r="A3815" s="4" t="s">
        <v>82</v>
      </c>
      <c r="B3815" s="4" t="s">
        <v>4</v>
      </c>
      <c r="C3815" s="4" t="s">
        <v>34</v>
      </c>
      <c r="D3815" s="4">
        <v>2038</v>
      </c>
      <c r="E3815" s="4">
        <v>0</v>
      </c>
      <c r="F3815" s="4" t="s">
        <v>29</v>
      </c>
    </row>
    <row r="3816" spans="1:6" x14ac:dyDescent="0.25">
      <c r="A3816" s="4" t="s">
        <v>82</v>
      </c>
      <c r="B3816" s="4" t="s">
        <v>4</v>
      </c>
      <c r="C3816" s="4" t="s">
        <v>34</v>
      </c>
      <c r="D3816" s="4">
        <v>2039</v>
      </c>
      <c r="E3816" s="4">
        <v>0</v>
      </c>
      <c r="F3816" s="4" t="s">
        <v>29</v>
      </c>
    </row>
    <row r="3817" spans="1:6" x14ac:dyDescent="0.25">
      <c r="A3817" s="4" t="s">
        <v>82</v>
      </c>
      <c r="B3817" s="4" t="s">
        <v>4</v>
      </c>
      <c r="C3817" s="4" t="s">
        <v>34</v>
      </c>
      <c r="D3817" s="4">
        <v>2040</v>
      </c>
      <c r="E3817" s="4">
        <v>0</v>
      </c>
      <c r="F3817" s="4" t="s">
        <v>29</v>
      </c>
    </row>
    <row r="3818" spans="1:6" x14ac:dyDescent="0.25">
      <c r="A3818" s="4" t="s">
        <v>82</v>
      </c>
      <c r="B3818" s="4" t="s">
        <v>5</v>
      </c>
      <c r="C3818" s="4" t="s">
        <v>34</v>
      </c>
      <c r="D3818" s="4">
        <v>2005</v>
      </c>
      <c r="E3818" s="4">
        <v>0</v>
      </c>
      <c r="F3818" s="4" t="s">
        <v>29</v>
      </c>
    </row>
    <row r="3819" spans="1:6" x14ac:dyDescent="0.25">
      <c r="A3819" s="4" t="s">
        <v>82</v>
      </c>
      <c r="B3819" s="4" t="s">
        <v>5</v>
      </c>
      <c r="C3819" s="4" t="s">
        <v>34</v>
      </c>
      <c r="D3819" s="4">
        <v>2006</v>
      </c>
      <c r="E3819" s="4">
        <v>0</v>
      </c>
      <c r="F3819" s="4" t="s">
        <v>29</v>
      </c>
    </row>
    <row r="3820" spans="1:6" x14ac:dyDescent="0.25">
      <c r="A3820" s="4" t="s">
        <v>82</v>
      </c>
      <c r="B3820" s="4" t="s">
        <v>5</v>
      </c>
      <c r="C3820" s="4" t="s">
        <v>34</v>
      </c>
      <c r="D3820" s="4">
        <v>2007</v>
      </c>
      <c r="E3820" s="4">
        <v>0</v>
      </c>
      <c r="F3820" s="4" t="s">
        <v>29</v>
      </c>
    </row>
    <row r="3821" spans="1:6" x14ac:dyDescent="0.25">
      <c r="A3821" s="4" t="s">
        <v>82</v>
      </c>
      <c r="B3821" s="4" t="s">
        <v>5</v>
      </c>
      <c r="C3821" s="4" t="s">
        <v>34</v>
      </c>
      <c r="D3821" s="4">
        <v>2008</v>
      </c>
      <c r="E3821" s="4">
        <v>0</v>
      </c>
      <c r="F3821" s="4" t="s">
        <v>29</v>
      </c>
    </row>
    <row r="3822" spans="1:6" x14ac:dyDescent="0.25">
      <c r="A3822" s="4" t="s">
        <v>82</v>
      </c>
      <c r="B3822" s="4" t="s">
        <v>5</v>
      </c>
      <c r="C3822" s="4" t="s">
        <v>34</v>
      </c>
      <c r="D3822" s="4">
        <v>2009</v>
      </c>
      <c r="E3822" s="4">
        <v>0</v>
      </c>
      <c r="F3822" s="4" t="s">
        <v>29</v>
      </c>
    </row>
    <row r="3823" spans="1:6" x14ac:dyDescent="0.25">
      <c r="A3823" s="4" t="s">
        <v>82</v>
      </c>
      <c r="B3823" s="4" t="s">
        <v>5</v>
      </c>
      <c r="C3823" s="4" t="s">
        <v>34</v>
      </c>
      <c r="D3823" s="4">
        <v>2010</v>
      </c>
      <c r="E3823" s="4">
        <v>0</v>
      </c>
      <c r="F3823" s="4" t="s">
        <v>29</v>
      </c>
    </row>
    <row r="3824" spans="1:6" x14ac:dyDescent="0.25">
      <c r="A3824" s="4" t="s">
        <v>82</v>
      </c>
      <c r="B3824" s="4" t="s">
        <v>5</v>
      </c>
      <c r="C3824" s="4" t="s">
        <v>34</v>
      </c>
      <c r="D3824" s="4">
        <v>2011</v>
      </c>
      <c r="E3824" s="4">
        <v>0</v>
      </c>
      <c r="F3824" s="4" t="s">
        <v>29</v>
      </c>
    </row>
    <row r="3825" spans="1:6" x14ac:dyDescent="0.25">
      <c r="A3825" s="4" t="s">
        <v>82</v>
      </c>
      <c r="B3825" s="4" t="s">
        <v>5</v>
      </c>
      <c r="C3825" s="4" t="s">
        <v>34</v>
      </c>
      <c r="D3825" s="4">
        <v>2012</v>
      </c>
      <c r="E3825" s="4">
        <v>0</v>
      </c>
      <c r="F3825" s="4" t="s">
        <v>29</v>
      </c>
    </row>
    <row r="3826" spans="1:6" x14ac:dyDescent="0.25">
      <c r="A3826" s="4" t="s">
        <v>82</v>
      </c>
      <c r="B3826" s="4" t="s">
        <v>5</v>
      </c>
      <c r="C3826" s="4" t="s">
        <v>34</v>
      </c>
      <c r="D3826" s="4">
        <v>2013</v>
      </c>
      <c r="E3826" s="4">
        <v>0</v>
      </c>
      <c r="F3826" s="4" t="s">
        <v>29</v>
      </c>
    </row>
    <row r="3827" spans="1:6" x14ac:dyDescent="0.25">
      <c r="A3827" s="4" t="s">
        <v>82</v>
      </c>
      <c r="B3827" s="4" t="s">
        <v>5</v>
      </c>
      <c r="C3827" s="4" t="s">
        <v>34</v>
      </c>
      <c r="D3827" s="4">
        <v>2014</v>
      </c>
      <c r="E3827" s="4">
        <v>0</v>
      </c>
      <c r="F3827" s="4" t="s">
        <v>29</v>
      </c>
    </row>
    <row r="3828" spans="1:6" x14ac:dyDescent="0.25">
      <c r="A3828" s="4" t="s">
        <v>82</v>
      </c>
      <c r="B3828" s="4" t="s">
        <v>5</v>
      </c>
      <c r="C3828" s="4" t="s">
        <v>34</v>
      </c>
      <c r="D3828" s="4">
        <v>2015</v>
      </c>
      <c r="E3828" s="4">
        <v>0</v>
      </c>
      <c r="F3828" s="4" t="s">
        <v>29</v>
      </c>
    </row>
    <row r="3829" spans="1:6" x14ac:dyDescent="0.25">
      <c r="A3829" s="4" t="s">
        <v>82</v>
      </c>
      <c r="B3829" s="4" t="s">
        <v>5</v>
      </c>
      <c r="C3829" s="4" t="s">
        <v>34</v>
      </c>
      <c r="D3829" s="4">
        <v>2016</v>
      </c>
      <c r="E3829" s="4">
        <v>0</v>
      </c>
      <c r="F3829" s="4" t="s">
        <v>29</v>
      </c>
    </row>
    <row r="3830" spans="1:6" x14ac:dyDescent="0.25">
      <c r="A3830" s="4" t="s">
        <v>82</v>
      </c>
      <c r="B3830" s="4" t="s">
        <v>5</v>
      </c>
      <c r="C3830" s="4" t="s">
        <v>34</v>
      </c>
      <c r="D3830" s="4">
        <v>2017</v>
      </c>
      <c r="E3830" s="4">
        <v>0</v>
      </c>
      <c r="F3830" s="4" t="s">
        <v>29</v>
      </c>
    </row>
    <row r="3831" spans="1:6" x14ac:dyDescent="0.25">
      <c r="A3831" s="4" t="s">
        <v>82</v>
      </c>
      <c r="B3831" s="4" t="s">
        <v>5</v>
      </c>
      <c r="C3831" s="4" t="s">
        <v>34</v>
      </c>
      <c r="D3831" s="4">
        <v>2018</v>
      </c>
      <c r="E3831" s="4">
        <v>0</v>
      </c>
      <c r="F3831" s="4" t="s">
        <v>29</v>
      </c>
    </row>
    <row r="3832" spans="1:6" x14ac:dyDescent="0.25">
      <c r="A3832" s="4" t="s">
        <v>82</v>
      </c>
      <c r="B3832" s="4" t="s">
        <v>5</v>
      </c>
      <c r="C3832" s="4" t="s">
        <v>34</v>
      </c>
      <c r="D3832" s="4">
        <v>2019</v>
      </c>
      <c r="E3832" s="4">
        <v>0</v>
      </c>
      <c r="F3832" s="4" t="s">
        <v>29</v>
      </c>
    </row>
    <row r="3833" spans="1:6" x14ac:dyDescent="0.25">
      <c r="A3833" s="4" t="s">
        <v>82</v>
      </c>
      <c r="B3833" s="4" t="s">
        <v>5</v>
      </c>
      <c r="C3833" s="4" t="s">
        <v>34</v>
      </c>
      <c r="D3833" s="4">
        <v>2020</v>
      </c>
      <c r="E3833" s="4">
        <v>0</v>
      </c>
      <c r="F3833" s="4" t="s">
        <v>29</v>
      </c>
    </row>
    <row r="3834" spans="1:6" x14ac:dyDescent="0.25">
      <c r="A3834" s="4" t="s">
        <v>82</v>
      </c>
      <c r="B3834" s="4" t="s">
        <v>5</v>
      </c>
      <c r="C3834" s="4" t="s">
        <v>34</v>
      </c>
      <c r="D3834" s="4">
        <v>2021</v>
      </c>
      <c r="E3834" s="4">
        <v>0</v>
      </c>
      <c r="F3834" s="4" t="s">
        <v>29</v>
      </c>
    </row>
    <row r="3835" spans="1:6" x14ac:dyDescent="0.25">
      <c r="A3835" s="4" t="s">
        <v>82</v>
      </c>
      <c r="B3835" s="4" t="s">
        <v>5</v>
      </c>
      <c r="C3835" s="4" t="s">
        <v>34</v>
      </c>
      <c r="D3835" s="4">
        <v>2022</v>
      </c>
      <c r="E3835" s="4">
        <v>0</v>
      </c>
      <c r="F3835" s="4" t="s">
        <v>29</v>
      </c>
    </row>
    <row r="3836" spans="1:6" x14ac:dyDescent="0.25">
      <c r="A3836" s="4" t="s">
        <v>82</v>
      </c>
      <c r="B3836" s="4" t="s">
        <v>5</v>
      </c>
      <c r="C3836" s="4" t="s">
        <v>34</v>
      </c>
      <c r="D3836" s="4">
        <v>2023</v>
      </c>
      <c r="E3836" s="4">
        <v>0</v>
      </c>
      <c r="F3836" s="4" t="s">
        <v>29</v>
      </c>
    </row>
    <row r="3837" spans="1:6" x14ac:dyDescent="0.25">
      <c r="A3837" s="4" t="s">
        <v>82</v>
      </c>
      <c r="B3837" s="4" t="s">
        <v>5</v>
      </c>
      <c r="C3837" s="4" t="s">
        <v>34</v>
      </c>
      <c r="D3837" s="4">
        <v>2024</v>
      </c>
      <c r="E3837" s="4">
        <v>0</v>
      </c>
      <c r="F3837" s="4" t="s">
        <v>29</v>
      </c>
    </row>
    <row r="3838" spans="1:6" x14ac:dyDescent="0.25">
      <c r="A3838" s="4" t="s">
        <v>82</v>
      </c>
      <c r="B3838" s="4" t="s">
        <v>5</v>
      </c>
      <c r="C3838" s="4" t="s">
        <v>34</v>
      </c>
      <c r="D3838" s="4">
        <v>2025</v>
      </c>
      <c r="E3838" s="4">
        <v>0</v>
      </c>
      <c r="F3838" s="4" t="s">
        <v>29</v>
      </c>
    </row>
    <row r="3839" spans="1:6" x14ac:dyDescent="0.25">
      <c r="A3839" s="4" t="s">
        <v>82</v>
      </c>
      <c r="B3839" s="4" t="s">
        <v>5</v>
      </c>
      <c r="C3839" s="4" t="s">
        <v>34</v>
      </c>
      <c r="D3839" s="4">
        <v>2026</v>
      </c>
      <c r="E3839" s="4">
        <v>0</v>
      </c>
      <c r="F3839" s="4" t="s">
        <v>29</v>
      </c>
    </row>
    <row r="3840" spans="1:6" x14ac:dyDescent="0.25">
      <c r="A3840" s="4" t="s">
        <v>82</v>
      </c>
      <c r="B3840" s="4" t="s">
        <v>5</v>
      </c>
      <c r="C3840" s="4" t="s">
        <v>34</v>
      </c>
      <c r="D3840" s="4">
        <v>2027</v>
      </c>
      <c r="E3840" s="4">
        <v>0</v>
      </c>
      <c r="F3840" s="4" t="s">
        <v>29</v>
      </c>
    </row>
    <row r="3841" spans="1:6" x14ac:dyDescent="0.25">
      <c r="A3841" s="4" t="s">
        <v>82</v>
      </c>
      <c r="B3841" s="4" t="s">
        <v>5</v>
      </c>
      <c r="C3841" s="4" t="s">
        <v>34</v>
      </c>
      <c r="D3841" s="4">
        <v>2028</v>
      </c>
      <c r="E3841" s="4">
        <v>0</v>
      </c>
      <c r="F3841" s="4" t="s">
        <v>29</v>
      </c>
    </row>
    <row r="3842" spans="1:6" x14ac:dyDescent="0.25">
      <c r="A3842" s="4" t="s">
        <v>82</v>
      </c>
      <c r="B3842" s="4" t="s">
        <v>5</v>
      </c>
      <c r="C3842" s="4" t="s">
        <v>34</v>
      </c>
      <c r="D3842" s="4">
        <v>2029</v>
      </c>
      <c r="E3842" s="4">
        <v>0</v>
      </c>
      <c r="F3842" s="4" t="s">
        <v>29</v>
      </c>
    </row>
    <row r="3843" spans="1:6" x14ac:dyDescent="0.25">
      <c r="A3843" s="4" t="s">
        <v>82</v>
      </c>
      <c r="B3843" s="4" t="s">
        <v>5</v>
      </c>
      <c r="C3843" s="4" t="s">
        <v>34</v>
      </c>
      <c r="D3843" s="4">
        <v>2030</v>
      </c>
      <c r="E3843" s="4">
        <v>0</v>
      </c>
      <c r="F3843" s="4" t="s">
        <v>29</v>
      </c>
    </row>
    <row r="3844" spans="1:6" x14ac:dyDescent="0.25">
      <c r="A3844" s="4" t="s">
        <v>82</v>
      </c>
      <c r="B3844" s="4" t="s">
        <v>5</v>
      </c>
      <c r="C3844" s="4" t="s">
        <v>34</v>
      </c>
      <c r="D3844" s="4">
        <v>2031</v>
      </c>
      <c r="E3844" s="4">
        <v>0</v>
      </c>
      <c r="F3844" s="4" t="s">
        <v>29</v>
      </c>
    </row>
    <row r="3845" spans="1:6" x14ac:dyDescent="0.25">
      <c r="A3845" s="4" t="s">
        <v>82</v>
      </c>
      <c r="B3845" s="4" t="s">
        <v>5</v>
      </c>
      <c r="C3845" s="4" t="s">
        <v>34</v>
      </c>
      <c r="D3845" s="4">
        <v>2032</v>
      </c>
      <c r="E3845" s="4">
        <v>0</v>
      </c>
      <c r="F3845" s="4" t="s">
        <v>29</v>
      </c>
    </row>
    <row r="3846" spans="1:6" x14ac:dyDescent="0.25">
      <c r="A3846" s="4" t="s">
        <v>82</v>
      </c>
      <c r="B3846" s="4" t="s">
        <v>5</v>
      </c>
      <c r="C3846" s="4" t="s">
        <v>34</v>
      </c>
      <c r="D3846" s="4">
        <v>2033</v>
      </c>
      <c r="E3846" s="4">
        <v>0</v>
      </c>
      <c r="F3846" s="4" t="s">
        <v>29</v>
      </c>
    </row>
    <row r="3847" spans="1:6" x14ac:dyDescent="0.25">
      <c r="A3847" s="4" t="s">
        <v>82</v>
      </c>
      <c r="B3847" s="4" t="s">
        <v>5</v>
      </c>
      <c r="C3847" s="4" t="s">
        <v>34</v>
      </c>
      <c r="D3847" s="4">
        <v>2034</v>
      </c>
      <c r="E3847" s="4">
        <v>0</v>
      </c>
      <c r="F3847" s="4" t="s">
        <v>29</v>
      </c>
    </row>
    <row r="3848" spans="1:6" x14ac:dyDescent="0.25">
      <c r="A3848" s="4" t="s">
        <v>82</v>
      </c>
      <c r="B3848" s="4" t="s">
        <v>5</v>
      </c>
      <c r="C3848" s="4" t="s">
        <v>34</v>
      </c>
      <c r="D3848" s="4">
        <v>2035</v>
      </c>
      <c r="E3848" s="4">
        <v>0</v>
      </c>
      <c r="F3848" s="4" t="s">
        <v>29</v>
      </c>
    </row>
    <row r="3849" spans="1:6" x14ac:dyDescent="0.25">
      <c r="A3849" s="4" t="s">
        <v>82</v>
      </c>
      <c r="B3849" s="4" t="s">
        <v>5</v>
      </c>
      <c r="C3849" s="4" t="s">
        <v>34</v>
      </c>
      <c r="D3849" s="4">
        <v>2036</v>
      </c>
      <c r="E3849" s="4">
        <v>0</v>
      </c>
      <c r="F3849" s="4" t="s">
        <v>29</v>
      </c>
    </row>
    <row r="3850" spans="1:6" x14ac:dyDescent="0.25">
      <c r="A3850" s="4" t="s">
        <v>82</v>
      </c>
      <c r="B3850" s="4" t="s">
        <v>5</v>
      </c>
      <c r="C3850" s="4" t="s">
        <v>34</v>
      </c>
      <c r="D3850" s="4">
        <v>2037</v>
      </c>
      <c r="E3850" s="4">
        <v>0</v>
      </c>
      <c r="F3850" s="4" t="s">
        <v>29</v>
      </c>
    </row>
    <row r="3851" spans="1:6" x14ac:dyDescent="0.25">
      <c r="A3851" s="4" t="s">
        <v>82</v>
      </c>
      <c r="B3851" s="4" t="s">
        <v>5</v>
      </c>
      <c r="C3851" s="4" t="s">
        <v>34</v>
      </c>
      <c r="D3851" s="4">
        <v>2038</v>
      </c>
      <c r="E3851" s="4">
        <v>0</v>
      </c>
      <c r="F3851" s="4" t="s">
        <v>29</v>
      </c>
    </row>
    <row r="3852" spans="1:6" x14ac:dyDescent="0.25">
      <c r="A3852" s="4" t="s">
        <v>82</v>
      </c>
      <c r="B3852" s="4" t="s">
        <v>5</v>
      </c>
      <c r="C3852" s="4" t="s">
        <v>34</v>
      </c>
      <c r="D3852" s="4">
        <v>2039</v>
      </c>
      <c r="E3852" s="4">
        <v>0</v>
      </c>
      <c r="F3852" s="4" t="s">
        <v>29</v>
      </c>
    </row>
    <row r="3853" spans="1:6" x14ac:dyDescent="0.25">
      <c r="A3853" s="4" t="s">
        <v>82</v>
      </c>
      <c r="B3853" s="4" t="s">
        <v>5</v>
      </c>
      <c r="C3853" s="4" t="s">
        <v>34</v>
      </c>
      <c r="D3853" s="4">
        <v>2040</v>
      </c>
      <c r="E3853" s="4">
        <v>0</v>
      </c>
      <c r="F3853" s="4" t="s">
        <v>29</v>
      </c>
    </row>
    <row r="3854" spans="1:6" x14ac:dyDescent="0.25">
      <c r="A3854" s="4" t="s">
        <v>82</v>
      </c>
      <c r="B3854" s="4" t="s">
        <v>6</v>
      </c>
      <c r="C3854" s="4" t="s">
        <v>34</v>
      </c>
      <c r="D3854" s="4">
        <v>2005</v>
      </c>
      <c r="E3854" s="4">
        <v>0</v>
      </c>
      <c r="F3854" s="4" t="s">
        <v>29</v>
      </c>
    </row>
    <row r="3855" spans="1:6" x14ac:dyDescent="0.25">
      <c r="A3855" s="4" t="s">
        <v>82</v>
      </c>
      <c r="B3855" s="4" t="s">
        <v>6</v>
      </c>
      <c r="C3855" s="4" t="s">
        <v>34</v>
      </c>
      <c r="D3855" s="4">
        <v>2006</v>
      </c>
      <c r="E3855" s="4">
        <v>0</v>
      </c>
      <c r="F3855" s="4" t="s">
        <v>29</v>
      </c>
    </row>
    <row r="3856" spans="1:6" x14ac:dyDescent="0.25">
      <c r="A3856" s="4" t="s">
        <v>82</v>
      </c>
      <c r="B3856" s="4" t="s">
        <v>6</v>
      </c>
      <c r="C3856" s="4" t="s">
        <v>34</v>
      </c>
      <c r="D3856" s="4">
        <v>2007</v>
      </c>
      <c r="E3856" s="4">
        <v>0</v>
      </c>
      <c r="F3856" s="4" t="s">
        <v>29</v>
      </c>
    </row>
    <row r="3857" spans="1:6" x14ac:dyDescent="0.25">
      <c r="A3857" s="4" t="s">
        <v>82</v>
      </c>
      <c r="B3857" s="4" t="s">
        <v>6</v>
      </c>
      <c r="C3857" s="4" t="s">
        <v>34</v>
      </c>
      <c r="D3857" s="4">
        <v>2008</v>
      </c>
      <c r="E3857" s="4">
        <v>0</v>
      </c>
      <c r="F3857" s="4" t="s">
        <v>29</v>
      </c>
    </row>
    <row r="3858" spans="1:6" x14ac:dyDescent="0.25">
      <c r="A3858" s="4" t="s">
        <v>82</v>
      </c>
      <c r="B3858" s="4" t="s">
        <v>6</v>
      </c>
      <c r="C3858" s="4" t="s">
        <v>34</v>
      </c>
      <c r="D3858" s="4">
        <v>2009</v>
      </c>
      <c r="E3858" s="4">
        <v>0</v>
      </c>
      <c r="F3858" s="4" t="s">
        <v>29</v>
      </c>
    </row>
    <row r="3859" spans="1:6" x14ac:dyDescent="0.25">
      <c r="A3859" s="4" t="s">
        <v>82</v>
      </c>
      <c r="B3859" s="4" t="s">
        <v>6</v>
      </c>
      <c r="C3859" s="4" t="s">
        <v>34</v>
      </c>
      <c r="D3859" s="4">
        <v>2010</v>
      </c>
      <c r="E3859" s="4">
        <v>0</v>
      </c>
      <c r="F3859" s="4" t="s">
        <v>29</v>
      </c>
    </row>
    <row r="3860" spans="1:6" x14ac:dyDescent="0.25">
      <c r="A3860" s="4" t="s">
        <v>82</v>
      </c>
      <c r="B3860" s="4" t="s">
        <v>6</v>
      </c>
      <c r="C3860" s="4" t="s">
        <v>34</v>
      </c>
      <c r="D3860" s="4">
        <v>2011</v>
      </c>
      <c r="E3860" s="4">
        <v>0</v>
      </c>
      <c r="F3860" s="4" t="s">
        <v>29</v>
      </c>
    </row>
    <row r="3861" spans="1:6" x14ac:dyDescent="0.25">
      <c r="A3861" s="4" t="s">
        <v>82</v>
      </c>
      <c r="B3861" s="4" t="s">
        <v>6</v>
      </c>
      <c r="C3861" s="4" t="s">
        <v>34</v>
      </c>
      <c r="D3861" s="4">
        <v>2012</v>
      </c>
      <c r="E3861" s="4">
        <v>0</v>
      </c>
      <c r="F3861" s="4" t="s">
        <v>29</v>
      </c>
    </row>
    <row r="3862" spans="1:6" x14ac:dyDescent="0.25">
      <c r="A3862" s="4" t="s">
        <v>82</v>
      </c>
      <c r="B3862" s="4" t="s">
        <v>6</v>
      </c>
      <c r="C3862" s="4" t="s">
        <v>34</v>
      </c>
      <c r="D3862" s="4">
        <v>2013</v>
      </c>
      <c r="E3862" s="4">
        <v>0</v>
      </c>
      <c r="F3862" s="4" t="s">
        <v>29</v>
      </c>
    </row>
    <row r="3863" spans="1:6" x14ac:dyDescent="0.25">
      <c r="A3863" s="4" t="s">
        <v>82</v>
      </c>
      <c r="B3863" s="4" t="s">
        <v>6</v>
      </c>
      <c r="C3863" s="4" t="s">
        <v>34</v>
      </c>
      <c r="D3863" s="4">
        <v>2014</v>
      </c>
      <c r="E3863" s="4">
        <v>0</v>
      </c>
      <c r="F3863" s="4" t="s">
        <v>29</v>
      </c>
    </row>
    <row r="3864" spans="1:6" x14ac:dyDescent="0.25">
      <c r="A3864" s="4" t="s">
        <v>82</v>
      </c>
      <c r="B3864" s="4" t="s">
        <v>6</v>
      </c>
      <c r="C3864" s="4" t="s">
        <v>34</v>
      </c>
      <c r="D3864" s="4">
        <v>2015</v>
      </c>
      <c r="E3864" s="4">
        <v>0</v>
      </c>
      <c r="F3864" s="4" t="s">
        <v>29</v>
      </c>
    </row>
    <row r="3865" spans="1:6" x14ac:dyDescent="0.25">
      <c r="A3865" s="4" t="s">
        <v>82</v>
      </c>
      <c r="B3865" s="4" t="s">
        <v>6</v>
      </c>
      <c r="C3865" s="4" t="s">
        <v>34</v>
      </c>
      <c r="D3865" s="4">
        <v>2016</v>
      </c>
      <c r="E3865" s="4">
        <v>0</v>
      </c>
      <c r="F3865" s="4" t="s">
        <v>29</v>
      </c>
    </row>
    <row r="3866" spans="1:6" x14ac:dyDescent="0.25">
      <c r="A3866" s="4" t="s">
        <v>82</v>
      </c>
      <c r="B3866" s="4" t="s">
        <v>6</v>
      </c>
      <c r="C3866" s="4" t="s">
        <v>34</v>
      </c>
      <c r="D3866" s="4">
        <v>2017</v>
      </c>
      <c r="E3866" s="4">
        <v>0</v>
      </c>
      <c r="F3866" s="4" t="s">
        <v>29</v>
      </c>
    </row>
    <row r="3867" spans="1:6" x14ac:dyDescent="0.25">
      <c r="A3867" s="4" t="s">
        <v>82</v>
      </c>
      <c r="B3867" s="4" t="s">
        <v>6</v>
      </c>
      <c r="C3867" s="4" t="s">
        <v>34</v>
      </c>
      <c r="D3867" s="4">
        <v>2018</v>
      </c>
      <c r="E3867" s="4">
        <v>0</v>
      </c>
      <c r="F3867" s="4" t="s">
        <v>29</v>
      </c>
    </row>
    <row r="3868" spans="1:6" x14ac:dyDescent="0.25">
      <c r="A3868" s="4" t="s">
        <v>82</v>
      </c>
      <c r="B3868" s="4" t="s">
        <v>6</v>
      </c>
      <c r="C3868" s="4" t="s">
        <v>34</v>
      </c>
      <c r="D3868" s="4">
        <v>2019</v>
      </c>
      <c r="E3868" s="4">
        <v>0</v>
      </c>
      <c r="F3868" s="4" t="s">
        <v>29</v>
      </c>
    </row>
    <row r="3869" spans="1:6" x14ac:dyDescent="0.25">
      <c r="A3869" s="4" t="s">
        <v>82</v>
      </c>
      <c r="B3869" s="4" t="s">
        <v>6</v>
      </c>
      <c r="C3869" s="4" t="s">
        <v>34</v>
      </c>
      <c r="D3869" s="4">
        <v>2020</v>
      </c>
      <c r="E3869" s="4">
        <v>0</v>
      </c>
      <c r="F3869" s="4" t="s">
        <v>29</v>
      </c>
    </row>
    <row r="3870" spans="1:6" x14ac:dyDescent="0.25">
      <c r="A3870" s="4" t="s">
        <v>82</v>
      </c>
      <c r="B3870" s="4" t="s">
        <v>6</v>
      </c>
      <c r="C3870" s="4" t="s">
        <v>34</v>
      </c>
      <c r="D3870" s="4">
        <v>2021</v>
      </c>
      <c r="E3870" s="4">
        <v>0</v>
      </c>
      <c r="F3870" s="4" t="s">
        <v>29</v>
      </c>
    </row>
    <row r="3871" spans="1:6" x14ac:dyDescent="0.25">
      <c r="A3871" s="4" t="s">
        <v>82</v>
      </c>
      <c r="B3871" s="4" t="s">
        <v>6</v>
      </c>
      <c r="C3871" s="4" t="s">
        <v>34</v>
      </c>
      <c r="D3871" s="4">
        <v>2022</v>
      </c>
      <c r="E3871" s="4">
        <v>0</v>
      </c>
      <c r="F3871" s="4" t="s">
        <v>29</v>
      </c>
    </row>
    <row r="3872" spans="1:6" x14ac:dyDescent="0.25">
      <c r="A3872" s="4" t="s">
        <v>82</v>
      </c>
      <c r="B3872" s="4" t="s">
        <v>6</v>
      </c>
      <c r="C3872" s="4" t="s">
        <v>34</v>
      </c>
      <c r="D3872" s="4">
        <v>2023</v>
      </c>
      <c r="E3872" s="4">
        <v>0</v>
      </c>
      <c r="F3872" s="4" t="s">
        <v>29</v>
      </c>
    </row>
    <row r="3873" spans="1:6" x14ac:dyDescent="0.25">
      <c r="A3873" s="4" t="s">
        <v>82</v>
      </c>
      <c r="B3873" s="4" t="s">
        <v>6</v>
      </c>
      <c r="C3873" s="4" t="s">
        <v>34</v>
      </c>
      <c r="D3873" s="4">
        <v>2024</v>
      </c>
      <c r="E3873" s="4">
        <v>0</v>
      </c>
      <c r="F3873" s="4" t="s">
        <v>29</v>
      </c>
    </row>
    <row r="3874" spans="1:6" x14ac:dyDescent="0.25">
      <c r="A3874" s="4" t="s">
        <v>82</v>
      </c>
      <c r="B3874" s="4" t="s">
        <v>6</v>
      </c>
      <c r="C3874" s="4" t="s">
        <v>34</v>
      </c>
      <c r="D3874" s="4">
        <v>2025</v>
      </c>
      <c r="E3874" s="4">
        <v>0</v>
      </c>
      <c r="F3874" s="4" t="s">
        <v>29</v>
      </c>
    </row>
    <row r="3875" spans="1:6" x14ac:dyDescent="0.25">
      <c r="A3875" s="4" t="s">
        <v>82</v>
      </c>
      <c r="B3875" s="4" t="s">
        <v>6</v>
      </c>
      <c r="C3875" s="4" t="s">
        <v>34</v>
      </c>
      <c r="D3875" s="4">
        <v>2026</v>
      </c>
      <c r="E3875" s="4">
        <v>0</v>
      </c>
      <c r="F3875" s="4" t="s">
        <v>29</v>
      </c>
    </row>
    <row r="3876" spans="1:6" x14ac:dyDescent="0.25">
      <c r="A3876" s="4" t="s">
        <v>82</v>
      </c>
      <c r="B3876" s="4" t="s">
        <v>6</v>
      </c>
      <c r="C3876" s="4" t="s">
        <v>34</v>
      </c>
      <c r="D3876" s="4">
        <v>2027</v>
      </c>
      <c r="E3876" s="4">
        <v>0</v>
      </c>
      <c r="F3876" s="4" t="s">
        <v>29</v>
      </c>
    </row>
    <row r="3877" spans="1:6" x14ac:dyDescent="0.25">
      <c r="A3877" s="4" t="s">
        <v>82</v>
      </c>
      <c r="B3877" s="4" t="s">
        <v>6</v>
      </c>
      <c r="C3877" s="4" t="s">
        <v>34</v>
      </c>
      <c r="D3877" s="4">
        <v>2028</v>
      </c>
      <c r="E3877" s="4">
        <v>0</v>
      </c>
      <c r="F3877" s="4" t="s">
        <v>29</v>
      </c>
    </row>
    <row r="3878" spans="1:6" x14ac:dyDescent="0.25">
      <c r="A3878" s="4" t="s">
        <v>82</v>
      </c>
      <c r="B3878" s="4" t="s">
        <v>6</v>
      </c>
      <c r="C3878" s="4" t="s">
        <v>34</v>
      </c>
      <c r="D3878" s="4">
        <v>2029</v>
      </c>
      <c r="E3878" s="4">
        <v>0</v>
      </c>
      <c r="F3878" s="4" t="s">
        <v>29</v>
      </c>
    </row>
    <row r="3879" spans="1:6" x14ac:dyDescent="0.25">
      <c r="A3879" s="4" t="s">
        <v>82</v>
      </c>
      <c r="B3879" s="4" t="s">
        <v>6</v>
      </c>
      <c r="C3879" s="4" t="s">
        <v>34</v>
      </c>
      <c r="D3879" s="4">
        <v>2030</v>
      </c>
      <c r="E3879" s="4">
        <v>0</v>
      </c>
      <c r="F3879" s="4" t="s">
        <v>29</v>
      </c>
    </row>
    <row r="3880" spans="1:6" x14ac:dyDescent="0.25">
      <c r="A3880" s="4" t="s">
        <v>82</v>
      </c>
      <c r="B3880" s="4" t="s">
        <v>6</v>
      </c>
      <c r="C3880" s="4" t="s">
        <v>34</v>
      </c>
      <c r="D3880" s="4">
        <v>2031</v>
      </c>
      <c r="E3880" s="4">
        <v>0</v>
      </c>
      <c r="F3880" s="4" t="s">
        <v>29</v>
      </c>
    </row>
    <row r="3881" spans="1:6" x14ac:dyDescent="0.25">
      <c r="A3881" s="4" t="s">
        <v>82</v>
      </c>
      <c r="B3881" s="4" t="s">
        <v>6</v>
      </c>
      <c r="C3881" s="4" t="s">
        <v>34</v>
      </c>
      <c r="D3881" s="4">
        <v>2032</v>
      </c>
      <c r="E3881" s="4">
        <v>0</v>
      </c>
      <c r="F3881" s="4" t="s">
        <v>29</v>
      </c>
    </row>
    <row r="3882" spans="1:6" x14ac:dyDescent="0.25">
      <c r="A3882" s="4" t="s">
        <v>82</v>
      </c>
      <c r="B3882" s="4" t="s">
        <v>6</v>
      </c>
      <c r="C3882" s="4" t="s">
        <v>34</v>
      </c>
      <c r="D3882" s="4">
        <v>2033</v>
      </c>
      <c r="E3882" s="4">
        <v>0</v>
      </c>
      <c r="F3882" s="4" t="s">
        <v>29</v>
      </c>
    </row>
    <row r="3883" spans="1:6" x14ac:dyDescent="0.25">
      <c r="A3883" s="4" t="s">
        <v>82</v>
      </c>
      <c r="B3883" s="4" t="s">
        <v>6</v>
      </c>
      <c r="C3883" s="4" t="s">
        <v>34</v>
      </c>
      <c r="D3883" s="4">
        <v>2034</v>
      </c>
      <c r="E3883" s="4">
        <v>0</v>
      </c>
      <c r="F3883" s="4" t="s">
        <v>29</v>
      </c>
    </row>
    <row r="3884" spans="1:6" x14ac:dyDescent="0.25">
      <c r="A3884" s="4" t="s">
        <v>82</v>
      </c>
      <c r="B3884" s="4" t="s">
        <v>6</v>
      </c>
      <c r="C3884" s="4" t="s">
        <v>34</v>
      </c>
      <c r="D3884" s="4">
        <v>2035</v>
      </c>
      <c r="E3884" s="4">
        <v>0</v>
      </c>
      <c r="F3884" s="4" t="s">
        <v>29</v>
      </c>
    </row>
    <row r="3885" spans="1:6" x14ac:dyDescent="0.25">
      <c r="A3885" s="4" t="s">
        <v>82</v>
      </c>
      <c r="B3885" s="4" t="s">
        <v>6</v>
      </c>
      <c r="C3885" s="4" t="s">
        <v>34</v>
      </c>
      <c r="D3885" s="4">
        <v>2036</v>
      </c>
      <c r="E3885" s="4">
        <v>0</v>
      </c>
      <c r="F3885" s="4" t="s">
        <v>29</v>
      </c>
    </row>
    <row r="3886" spans="1:6" x14ac:dyDescent="0.25">
      <c r="A3886" s="4" t="s">
        <v>82</v>
      </c>
      <c r="B3886" s="4" t="s">
        <v>6</v>
      </c>
      <c r="C3886" s="4" t="s">
        <v>34</v>
      </c>
      <c r="D3886" s="4">
        <v>2037</v>
      </c>
      <c r="E3886" s="4">
        <v>0</v>
      </c>
      <c r="F3886" s="4" t="s">
        <v>29</v>
      </c>
    </row>
    <row r="3887" spans="1:6" x14ac:dyDescent="0.25">
      <c r="A3887" s="4" t="s">
        <v>82</v>
      </c>
      <c r="B3887" s="4" t="s">
        <v>6</v>
      </c>
      <c r="C3887" s="4" t="s">
        <v>34</v>
      </c>
      <c r="D3887" s="4">
        <v>2038</v>
      </c>
      <c r="E3887" s="4">
        <v>0</v>
      </c>
      <c r="F3887" s="4" t="s">
        <v>29</v>
      </c>
    </row>
    <row r="3888" spans="1:6" x14ac:dyDescent="0.25">
      <c r="A3888" s="4" t="s">
        <v>82</v>
      </c>
      <c r="B3888" s="4" t="s">
        <v>6</v>
      </c>
      <c r="C3888" s="4" t="s">
        <v>34</v>
      </c>
      <c r="D3888" s="4">
        <v>2039</v>
      </c>
      <c r="E3888" s="4">
        <v>0</v>
      </c>
      <c r="F3888" s="4" t="s">
        <v>29</v>
      </c>
    </row>
    <row r="3889" spans="1:6" x14ac:dyDescent="0.25">
      <c r="A3889" s="4" t="s">
        <v>82</v>
      </c>
      <c r="B3889" s="4" t="s">
        <v>6</v>
      </c>
      <c r="C3889" s="4" t="s">
        <v>34</v>
      </c>
      <c r="D3889" s="4">
        <v>2040</v>
      </c>
      <c r="E3889" s="4">
        <v>0</v>
      </c>
      <c r="F3889" s="4" t="s">
        <v>29</v>
      </c>
    </row>
    <row r="3890" spans="1:6" x14ac:dyDescent="0.25">
      <c r="A3890" s="4" t="s">
        <v>82</v>
      </c>
      <c r="B3890" s="4" t="s">
        <v>23</v>
      </c>
      <c r="C3890" s="4" t="s">
        <v>34</v>
      </c>
      <c r="D3890" s="4">
        <v>2005</v>
      </c>
      <c r="E3890" s="4">
        <v>0</v>
      </c>
      <c r="F3890" s="4" t="s">
        <v>29</v>
      </c>
    </row>
    <row r="3891" spans="1:6" x14ac:dyDescent="0.25">
      <c r="A3891" s="4" t="s">
        <v>82</v>
      </c>
      <c r="B3891" s="4" t="s">
        <v>23</v>
      </c>
      <c r="C3891" s="4" t="s">
        <v>34</v>
      </c>
      <c r="D3891" s="4">
        <v>2006</v>
      </c>
      <c r="E3891" s="4">
        <v>0</v>
      </c>
      <c r="F3891" s="4" t="s">
        <v>29</v>
      </c>
    </row>
    <row r="3892" spans="1:6" x14ac:dyDescent="0.25">
      <c r="A3892" s="4" t="s">
        <v>82</v>
      </c>
      <c r="B3892" s="4" t="s">
        <v>23</v>
      </c>
      <c r="C3892" s="4" t="s">
        <v>34</v>
      </c>
      <c r="D3892" s="4">
        <v>2007</v>
      </c>
      <c r="E3892" s="4">
        <v>0</v>
      </c>
      <c r="F3892" s="4" t="s">
        <v>29</v>
      </c>
    </row>
    <row r="3893" spans="1:6" x14ac:dyDescent="0.25">
      <c r="A3893" s="4" t="s">
        <v>82</v>
      </c>
      <c r="B3893" s="4" t="s">
        <v>23</v>
      </c>
      <c r="C3893" s="4" t="s">
        <v>34</v>
      </c>
      <c r="D3893" s="4">
        <v>2008</v>
      </c>
      <c r="E3893" s="4">
        <v>0</v>
      </c>
      <c r="F3893" s="4" t="s">
        <v>29</v>
      </c>
    </row>
    <row r="3894" spans="1:6" x14ac:dyDescent="0.25">
      <c r="A3894" s="4" t="s">
        <v>82</v>
      </c>
      <c r="B3894" s="4" t="s">
        <v>23</v>
      </c>
      <c r="C3894" s="4" t="s">
        <v>34</v>
      </c>
      <c r="D3894" s="4">
        <v>2009</v>
      </c>
      <c r="E3894" s="4">
        <v>0</v>
      </c>
      <c r="F3894" s="4" t="s">
        <v>29</v>
      </c>
    </row>
    <row r="3895" spans="1:6" x14ac:dyDescent="0.25">
      <c r="A3895" s="4" t="s">
        <v>82</v>
      </c>
      <c r="B3895" s="4" t="s">
        <v>23</v>
      </c>
      <c r="C3895" s="4" t="s">
        <v>34</v>
      </c>
      <c r="D3895" s="4">
        <v>2010</v>
      </c>
      <c r="E3895" s="4">
        <v>0</v>
      </c>
      <c r="F3895" s="4" t="s">
        <v>29</v>
      </c>
    </row>
    <row r="3896" spans="1:6" x14ac:dyDescent="0.25">
      <c r="A3896" s="4" t="s">
        <v>82</v>
      </c>
      <c r="B3896" s="4" t="s">
        <v>23</v>
      </c>
      <c r="C3896" s="4" t="s">
        <v>34</v>
      </c>
      <c r="D3896" s="4">
        <v>2011</v>
      </c>
      <c r="E3896" s="4">
        <v>0</v>
      </c>
      <c r="F3896" s="4" t="s">
        <v>29</v>
      </c>
    </row>
    <row r="3897" spans="1:6" x14ac:dyDescent="0.25">
      <c r="A3897" s="4" t="s">
        <v>82</v>
      </c>
      <c r="B3897" s="4" t="s">
        <v>23</v>
      </c>
      <c r="C3897" s="4" t="s">
        <v>34</v>
      </c>
      <c r="D3897" s="4">
        <v>2012</v>
      </c>
      <c r="E3897" s="4">
        <v>0</v>
      </c>
      <c r="F3897" s="4" t="s">
        <v>29</v>
      </c>
    </row>
    <row r="3898" spans="1:6" x14ac:dyDescent="0.25">
      <c r="A3898" s="4" t="s">
        <v>82</v>
      </c>
      <c r="B3898" s="4" t="s">
        <v>23</v>
      </c>
      <c r="C3898" s="4" t="s">
        <v>34</v>
      </c>
      <c r="D3898" s="4">
        <v>2013</v>
      </c>
      <c r="E3898" s="4">
        <v>0</v>
      </c>
      <c r="F3898" s="4" t="s">
        <v>29</v>
      </c>
    </row>
    <row r="3899" spans="1:6" x14ac:dyDescent="0.25">
      <c r="A3899" s="4" t="s">
        <v>82</v>
      </c>
      <c r="B3899" s="4" t="s">
        <v>23</v>
      </c>
      <c r="C3899" s="4" t="s">
        <v>34</v>
      </c>
      <c r="D3899" s="4">
        <v>2014</v>
      </c>
      <c r="E3899" s="4">
        <v>0</v>
      </c>
      <c r="F3899" s="4" t="s">
        <v>29</v>
      </c>
    </row>
    <row r="3900" spans="1:6" x14ac:dyDescent="0.25">
      <c r="A3900" s="4" t="s">
        <v>82</v>
      </c>
      <c r="B3900" s="4" t="s">
        <v>23</v>
      </c>
      <c r="C3900" s="4" t="s">
        <v>34</v>
      </c>
      <c r="D3900" s="4">
        <v>2015</v>
      </c>
      <c r="E3900" s="4">
        <v>0</v>
      </c>
      <c r="F3900" s="4" t="s">
        <v>29</v>
      </c>
    </row>
    <row r="3901" spans="1:6" x14ac:dyDescent="0.25">
      <c r="A3901" s="4" t="s">
        <v>82</v>
      </c>
      <c r="B3901" s="4" t="s">
        <v>23</v>
      </c>
      <c r="C3901" s="4" t="s">
        <v>34</v>
      </c>
      <c r="D3901" s="4">
        <v>2016</v>
      </c>
      <c r="E3901" s="4">
        <v>0</v>
      </c>
      <c r="F3901" s="4" t="s">
        <v>29</v>
      </c>
    </row>
    <row r="3902" spans="1:6" x14ac:dyDescent="0.25">
      <c r="A3902" s="4" t="s">
        <v>82</v>
      </c>
      <c r="B3902" s="4" t="s">
        <v>23</v>
      </c>
      <c r="C3902" s="4" t="s">
        <v>34</v>
      </c>
      <c r="D3902" s="4">
        <v>2017</v>
      </c>
      <c r="E3902" s="4">
        <v>0</v>
      </c>
      <c r="F3902" s="4" t="s">
        <v>29</v>
      </c>
    </row>
    <row r="3903" spans="1:6" x14ac:dyDescent="0.25">
      <c r="A3903" s="4" t="s">
        <v>82</v>
      </c>
      <c r="B3903" s="4" t="s">
        <v>23</v>
      </c>
      <c r="C3903" s="4" t="s">
        <v>34</v>
      </c>
      <c r="D3903" s="4">
        <v>2018</v>
      </c>
      <c r="E3903" s="4">
        <v>0</v>
      </c>
      <c r="F3903" s="4" t="s">
        <v>29</v>
      </c>
    </row>
    <row r="3904" spans="1:6" x14ac:dyDescent="0.25">
      <c r="A3904" s="4" t="s">
        <v>82</v>
      </c>
      <c r="B3904" s="4" t="s">
        <v>23</v>
      </c>
      <c r="C3904" s="4" t="s">
        <v>34</v>
      </c>
      <c r="D3904" s="4">
        <v>2019</v>
      </c>
      <c r="E3904" s="4">
        <v>0</v>
      </c>
      <c r="F3904" s="4" t="s">
        <v>29</v>
      </c>
    </row>
    <row r="3905" spans="1:6" x14ac:dyDescent="0.25">
      <c r="A3905" s="4" t="s">
        <v>82</v>
      </c>
      <c r="B3905" s="4" t="s">
        <v>23</v>
      </c>
      <c r="C3905" s="4" t="s">
        <v>34</v>
      </c>
      <c r="D3905" s="4">
        <v>2020</v>
      </c>
      <c r="E3905" s="4">
        <v>0</v>
      </c>
      <c r="F3905" s="4" t="s">
        <v>29</v>
      </c>
    </row>
    <row r="3906" spans="1:6" x14ac:dyDescent="0.25">
      <c r="A3906" s="4" t="s">
        <v>82</v>
      </c>
      <c r="B3906" s="4" t="s">
        <v>23</v>
      </c>
      <c r="C3906" s="4" t="s">
        <v>34</v>
      </c>
      <c r="D3906" s="4">
        <v>2021</v>
      </c>
      <c r="E3906" s="4">
        <v>0</v>
      </c>
      <c r="F3906" s="4" t="s">
        <v>29</v>
      </c>
    </row>
    <row r="3907" spans="1:6" x14ac:dyDescent="0.25">
      <c r="A3907" s="4" t="s">
        <v>82</v>
      </c>
      <c r="B3907" s="4" t="s">
        <v>23</v>
      </c>
      <c r="C3907" s="4" t="s">
        <v>34</v>
      </c>
      <c r="D3907" s="4">
        <v>2022</v>
      </c>
      <c r="E3907" s="4">
        <v>0</v>
      </c>
      <c r="F3907" s="4" t="s">
        <v>29</v>
      </c>
    </row>
    <row r="3908" spans="1:6" x14ac:dyDescent="0.25">
      <c r="A3908" s="4" t="s">
        <v>82</v>
      </c>
      <c r="B3908" s="4" t="s">
        <v>23</v>
      </c>
      <c r="C3908" s="4" t="s">
        <v>34</v>
      </c>
      <c r="D3908" s="4">
        <v>2023</v>
      </c>
      <c r="E3908" s="4">
        <v>0</v>
      </c>
      <c r="F3908" s="4" t="s">
        <v>29</v>
      </c>
    </row>
    <row r="3909" spans="1:6" x14ac:dyDescent="0.25">
      <c r="A3909" s="4" t="s">
        <v>82</v>
      </c>
      <c r="B3909" s="4" t="s">
        <v>23</v>
      </c>
      <c r="C3909" s="4" t="s">
        <v>34</v>
      </c>
      <c r="D3909" s="4">
        <v>2024</v>
      </c>
      <c r="E3909" s="4">
        <v>0</v>
      </c>
      <c r="F3909" s="4" t="s">
        <v>29</v>
      </c>
    </row>
    <row r="3910" spans="1:6" x14ac:dyDescent="0.25">
      <c r="A3910" s="4" t="s">
        <v>82</v>
      </c>
      <c r="B3910" s="4" t="s">
        <v>23</v>
      </c>
      <c r="C3910" s="4" t="s">
        <v>34</v>
      </c>
      <c r="D3910" s="4">
        <v>2025</v>
      </c>
      <c r="E3910" s="4">
        <v>0</v>
      </c>
      <c r="F3910" s="4" t="s">
        <v>29</v>
      </c>
    </row>
    <row r="3911" spans="1:6" x14ac:dyDescent="0.25">
      <c r="A3911" s="4" t="s">
        <v>82</v>
      </c>
      <c r="B3911" s="4" t="s">
        <v>23</v>
      </c>
      <c r="C3911" s="4" t="s">
        <v>34</v>
      </c>
      <c r="D3911" s="4">
        <v>2026</v>
      </c>
      <c r="E3911" s="4">
        <v>0</v>
      </c>
      <c r="F3911" s="4" t="s">
        <v>29</v>
      </c>
    </row>
    <row r="3912" spans="1:6" x14ac:dyDescent="0.25">
      <c r="A3912" s="4" t="s">
        <v>82</v>
      </c>
      <c r="B3912" s="4" t="s">
        <v>23</v>
      </c>
      <c r="C3912" s="4" t="s">
        <v>34</v>
      </c>
      <c r="D3912" s="4">
        <v>2027</v>
      </c>
      <c r="E3912" s="4">
        <v>0</v>
      </c>
      <c r="F3912" s="4" t="s">
        <v>29</v>
      </c>
    </row>
    <row r="3913" spans="1:6" x14ac:dyDescent="0.25">
      <c r="A3913" s="4" t="s">
        <v>82</v>
      </c>
      <c r="B3913" s="4" t="s">
        <v>23</v>
      </c>
      <c r="C3913" s="4" t="s">
        <v>34</v>
      </c>
      <c r="D3913" s="4">
        <v>2028</v>
      </c>
      <c r="E3913" s="4">
        <v>0</v>
      </c>
      <c r="F3913" s="4" t="s">
        <v>29</v>
      </c>
    </row>
    <row r="3914" spans="1:6" x14ac:dyDescent="0.25">
      <c r="A3914" s="4" t="s">
        <v>82</v>
      </c>
      <c r="B3914" s="4" t="s">
        <v>23</v>
      </c>
      <c r="C3914" s="4" t="s">
        <v>34</v>
      </c>
      <c r="D3914" s="4">
        <v>2029</v>
      </c>
      <c r="E3914" s="4">
        <v>0</v>
      </c>
      <c r="F3914" s="4" t="s">
        <v>29</v>
      </c>
    </row>
    <row r="3915" spans="1:6" x14ac:dyDescent="0.25">
      <c r="A3915" s="4" t="s">
        <v>82</v>
      </c>
      <c r="B3915" s="4" t="s">
        <v>23</v>
      </c>
      <c r="C3915" s="4" t="s">
        <v>34</v>
      </c>
      <c r="D3915" s="4">
        <v>2030</v>
      </c>
      <c r="E3915" s="4">
        <v>0</v>
      </c>
      <c r="F3915" s="4" t="s">
        <v>29</v>
      </c>
    </row>
    <row r="3916" spans="1:6" x14ac:dyDescent="0.25">
      <c r="A3916" s="4" t="s">
        <v>82</v>
      </c>
      <c r="B3916" s="4" t="s">
        <v>23</v>
      </c>
      <c r="C3916" s="4" t="s">
        <v>34</v>
      </c>
      <c r="D3916" s="4">
        <v>2031</v>
      </c>
      <c r="E3916" s="4">
        <v>0</v>
      </c>
      <c r="F3916" s="4" t="s">
        <v>29</v>
      </c>
    </row>
    <row r="3917" spans="1:6" x14ac:dyDescent="0.25">
      <c r="A3917" s="4" t="s">
        <v>82</v>
      </c>
      <c r="B3917" s="4" t="s">
        <v>23</v>
      </c>
      <c r="C3917" s="4" t="s">
        <v>34</v>
      </c>
      <c r="D3917" s="4">
        <v>2032</v>
      </c>
      <c r="E3917" s="4">
        <v>0</v>
      </c>
      <c r="F3917" s="4" t="s">
        <v>29</v>
      </c>
    </row>
    <row r="3918" spans="1:6" x14ac:dyDescent="0.25">
      <c r="A3918" s="4" t="s">
        <v>82</v>
      </c>
      <c r="B3918" s="4" t="s">
        <v>23</v>
      </c>
      <c r="C3918" s="4" t="s">
        <v>34</v>
      </c>
      <c r="D3918" s="4">
        <v>2033</v>
      </c>
      <c r="E3918" s="4">
        <v>0</v>
      </c>
      <c r="F3918" s="4" t="s">
        <v>29</v>
      </c>
    </row>
    <row r="3919" spans="1:6" x14ac:dyDescent="0.25">
      <c r="A3919" s="4" t="s">
        <v>82</v>
      </c>
      <c r="B3919" s="4" t="s">
        <v>23</v>
      </c>
      <c r="C3919" s="4" t="s">
        <v>34</v>
      </c>
      <c r="D3919" s="4">
        <v>2034</v>
      </c>
      <c r="E3919" s="4">
        <v>0</v>
      </c>
      <c r="F3919" s="4" t="s">
        <v>29</v>
      </c>
    </row>
    <row r="3920" spans="1:6" x14ac:dyDescent="0.25">
      <c r="A3920" s="4" t="s">
        <v>82</v>
      </c>
      <c r="B3920" s="4" t="s">
        <v>23</v>
      </c>
      <c r="C3920" s="4" t="s">
        <v>34</v>
      </c>
      <c r="D3920" s="4">
        <v>2035</v>
      </c>
      <c r="E3920" s="4">
        <v>0</v>
      </c>
      <c r="F3920" s="4" t="s">
        <v>29</v>
      </c>
    </row>
    <row r="3921" spans="1:6" x14ac:dyDescent="0.25">
      <c r="A3921" s="4" t="s">
        <v>82</v>
      </c>
      <c r="B3921" s="4" t="s">
        <v>23</v>
      </c>
      <c r="C3921" s="4" t="s">
        <v>34</v>
      </c>
      <c r="D3921" s="4">
        <v>2036</v>
      </c>
      <c r="E3921" s="4">
        <v>0</v>
      </c>
      <c r="F3921" s="4" t="s">
        <v>29</v>
      </c>
    </row>
    <row r="3922" spans="1:6" x14ac:dyDescent="0.25">
      <c r="A3922" s="4" t="s">
        <v>82</v>
      </c>
      <c r="B3922" s="4" t="s">
        <v>23</v>
      </c>
      <c r="C3922" s="4" t="s">
        <v>34</v>
      </c>
      <c r="D3922" s="4">
        <v>2037</v>
      </c>
      <c r="E3922" s="4">
        <v>0</v>
      </c>
      <c r="F3922" s="4" t="s">
        <v>29</v>
      </c>
    </row>
    <row r="3923" spans="1:6" x14ac:dyDescent="0.25">
      <c r="A3923" s="4" t="s">
        <v>82</v>
      </c>
      <c r="B3923" s="4" t="s">
        <v>23</v>
      </c>
      <c r="C3923" s="4" t="s">
        <v>34</v>
      </c>
      <c r="D3923" s="4">
        <v>2038</v>
      </c>
      <c r="E3923" s="4">
        <v>0</v>
      </c>
      <c r="F3923" s="4" t="s">
        <v>29</v>
      </c>
    </row>
    <row r="3924" spans="1:6" x14ac:dyDescent="0.25">
      <c r="A3924" s="4" t="s">
        <v>82</v>
      </c>
      <c r="B3924" s="4" t="s">
        <v>23</v>
      </c>
      <c r="C3924" s="4" t="s">
        <v>34</v>
      </c>
      <c r="D3924" s="4">
        <v>2039</v>
      </c>
      <c r="E3924" s="4">
        <v>0</v>
      </c>
      <c r="F3924" s="4" t="s">
        <v>29</v>
      </c>
    </row>
    <row r="3925" spans="1:6" x14ac:dyDescent="0.25">
      <c r="A3925" s="4" t="s">
        <v>82</v>
      </c>
      <c r="B3925" s="4" t="s">
        <v>23</v>
      </c>
      <c r="C3925" s="4" t="s">
        <v>34</v>
      </c>
      <c r="D3925" s="4">
        <v>2040</v>
      </c>
      <c r="E3925" s="4">
        <v>0</v>
      </c>
      <c r="F3925" s="4" t="s">
        <v>29</v>
      </c>
    </row>
    <row r="3926" spans="1:6" x14ac:dyDescent="0.25">
      <c r="A3926" s="4" t="s">
        <v>83</v>
      </c>
      <c r="B3926" s="4" t="s">
        <v>1</v>
      </c>
      <c r="C3926" s="4" t="s">
        <v>34</v>
      </c>
      <c r="D3926" s="4">
        <v>2005</v>
      </c>
      <c r="E3926" s="4">
        <v>0</v>
      </c>
      <c r="F3926" s="4" t="s">
        <v>29</v>
      </c>
    </row>
    <row r="3927" spans="1:6" x14ac:dyDescent="0.25">
      <c r="A3927" s="4" t="s">
        <v>83</v>
      </c>
      <c r="B3927" s="4" t="s">
        <v>1</v>
      </c>
      <c r="C3927" s="4" t="s">
        <v>34</v>
      </c>
      <c r="D3927" s="4">
        <v>2006</v>
      </c>
      <c r="E3927" s="4">
        <v>0</v>
      </c>
      <c r="F3927" s="4" t="s">
        <v>29</v>
      </c>
    </row>
    <row r="3928" spans="1:6" x14ac:dyDescent="0.25">
      <c r="A3928" s="4" t="s">
        <v>83</v>
      </c>
      <c r="B3928" s="4" t="s">
        <v>1</v>
      </c>
      <c r="C3928" s="4" t="s">
        <v>34</v>
      </c>
      <c r="D3928" s="4">
        <v>2007</v>
      </c>
      <c r="E3928" s="4">
        <v>0</v>
      </c>
      <c r="F3928" s="4" t="s">
        <v>29</v>
      </c>
    </row>
    <row r="3929" spans="1:6" x14ac:dyDescent="0.25">
      <c r="A3929" s="4" t="s">
        <v>83</v>
      </c>
      <c r="B3929" s="4" t="s">
        <v>1</v>
      </c>
      <c r="C3929" s="4" t="s">
        <v>34</v>
      </c>
      <c r="D3929" s="4">
        <v>2008</v>
      </c>
      <c r="E3929" s="4">
        <v>0</v>
      </c>
      <c r="F3929" s="4" t="s">
        <v>29</v>
      </c>
    </row>
    <row r="3930" spans="1:6" x14ac:dyDescent="0.25">
      <c r="A3930" s="4" t="s">
        <v>83</v>
      </c>
      <c r="B3930" s="4" t="s">
        <v>1</v>
      </c>
      <c r="C3930" s="4" t="s">
        <v>34</v>
      </c>
      <c r="D3930" s="4">
        <v>2009</v>
      </c>
      <c r="E3930" s="4">
        <v>0</v>
      </c>
      <c r="F3930" s="4" t="s">
        <v>29</v>
      </c>
    </row>
    <row r="3931" spans="1:6" x14ac:dyDescent="0.25">
      <c r="A3931" s="4" t="s">
        <v>83</v>
      </c>
      <c r="B3931" s="4" t="s">
        <v>1</v>
      </c>
      <c r="C3931" s="4" t="s">
        <v>34</v>
      </c>
      <c r="D3931" s="4">
        <v>2010</v>
      </c>
      <c r="E3931" s="4">
        <v>0</v>
      </c>
      <c r="F3931" s="4" t="s">
        <v>29</v>
      </c>
    </row>
    <row r="3932" spans="1:6" x14ac:dyDescent="0.25">
      <c r="A3932" s="4" t="s">
        <v>83</v>
      </c>
      <c r="B3932" s="4" t="s">
        <v>1</v>
      </c>
      <c r="C3932" s="4" t="s">
        <v>34</v>
      </c>
      <c r="D3932" s="4">
        <v>2011</v>
      </c>
      <c r="E3932" s="4">
        <v>0</v>
      </c>
      <c r="F3932" s="4" t="s">
        <v>29</v>
      </c>
    </row>
    <row r="3933" spans="1:6" x14ac:dyDescent="0.25">
      <c r="A3933" s="4" t="s">
        <v>83</v>
      </c>
      <c r="B3933" s="4" t="s">
        <v>1</v>
      </c>
      <c r="C3933" s="4" t="s">
        <v>34</v>
      </c>
      <c r="D3933" s="4">
        <v>2012</v>
      </c>
      <c r="E3933" s="4">
        <v>0</v>
      </c>
      <c r="F3933" s="4" t="s">
        <v>29</v>
      </c>
    </row>
    <row r="3934" spans="1:6" x14ac:dyDescent="0.25">
      <c r="A3934" s="4" t="s">
        <v>83</v>
      </c>
      <c r="B3934" s="4" t="s">
        <v>1</v>
      </c>
      <c r="C3934" s="4" t="s">
        <v>34</v>
      </c>
      <c r="D3934" s="4">
        <v>2013</v>
      </c>
      <c r="E3934" s="4">
        <v>0</v>
      </c>
      <c r="F3934" s="4" t="s">
        <v>29</v>
      </c>
    </row>
    <row r="3935" spans="1:6" x14ac:dyDescent="0.25">
      <c r="A3935" s="4" t="s">
        <v>83</v>
      </c>
      <c r="B3935" s="4" t="s">
        <v>1</v>
      </c>
      <c r="C3935" s="4" t="s">
        <v>34</v>
      </c>
      <c r="D3935" s="4">
        <v>2014</v>
      </c>
      <c r="E3935" s="4">
        <v>0</v>
      </c>
      <c r="F3935" s="4" t="s">
        <v>29</v>
      </c>
    </row>
    <row r="3936" spans="1:6" x14ac:dyDescent="0.25">
      <c r="A3936" s="4" t="s">
        <v>83</v>
      </c>
      <c r="B3936" s="4" t="s">
        <v>1</v>
      </c>
      <c r="C3936" s="4" t="s">
        <v>34</v>
      </c>
      <c r="D3936" s="4">
        <v>2015</v>
      </c>
      <c r="E3936" s="4">
        <v>0</v>
      </c>
      <c r="F3936" s="4" t="s">
        <v>29</v>
      </c>
    </row>
    <row r="3937" spans="1:6" x14ac:dyDescent="0.25">
      <c r="A3937" s="4" t="s">
        <v>83</v>
      </c>
      <c r="B3937" s="4" t="s">
        <v>1</v>
      </c>
      <c r="C3937" s="4" t="s">
        <v>34</v>
      </c>
      <c r="D3937" s="4">
        <v>2016</v>
      </c>
      <c r="E3937" s="4">
        <v>0</v>
      </c>
      <c r="F3937" s="4" t="s">
        <v>29</v>
      </c>
    </row>
    <row r="3938" spans="1:6" x14ac:dyDescent="0.25">
      <c r="A3938" s="4" t="s">
        <v>83</v>
      </c>
      <c r="B3938" s="4" t="s">
        <v>1</v>
      </c>
      <c r="C3938" s="4" t="s">
        <v>34</v>
      </c>
      <c r="D3938" s="4">
        <v>2017</v>
      </c>
      <c r="E3938" s="4">
        <v>0</v>
      </c>
      <c r="F3938" s="4" t="s">
        <v>29</v>
      </c>
    </row>
    <row r="3939" spans="1:6" x14ac:dyDescent="0.25">
      <c r="A3939" s="4" t="s">
        <v>83</v>
      </c>
      <c r="B3939" s="4" t="s">
        <v>1</v>
      </c>
      <c r="C3939" s="4" t="s">
        <v>34</v>
      </c>
      <c r="D3939" s="4">
        <v>2018</v>
      </c>
      <c r="E3939" s="4">
        <v>0</v>
      </c>
      <c r="F3939" s="4" t="s">
        <v>29</v>
      </c>
    </row>
    <row r="3940" spans="1:6" x14ac:dyDescent="0.25">
      <c r="A3940" s="4" t="s">
        <v>83</v>
      </c>
      <c r="B3940" s="4" t="s">
        <v>1</v>
      </c>
      <c r="C3940" s="4" t="s">
        <v>34</v>
      </c>
      <c r="D3940" s="4">
        <v>2019</v>
      </c>
      <c r="E3940" s="4">
        <v>0</v>
      </c>
      <c r="F3940" s="4" t="s">
        <v>29</v>
      </c>
    </row>
    <row r="3941" spans="1:6" x14ac:dyDescent="0.25">
      <c r="A3941" s="4" t="s">
        <v>83</v>
      </c>
      <c r="B3941" s="4" t="s">
        <v>1</v>
      </c>
      <c r="C3941" s="4" t="s">
        <v>34</v>
      </c>
      <c r="D3941" s="4">
        <v>2020</v>
      </c>
      <c r="E3941" s="4">
        <v>0</v>
      </c>
      <c r="F3941" s="4" t="s">
        <v>29</v>
      </c>
    </row>
    <row r="3942" spans="1:6" x14ac:dyDescent="0.25">
      <c r="A3942" s="4" t="s">
        <v>83</v>
      </c>
      <c r="B3942" s="4" t="s">
        <v>1</v>
      </c>
      <c r="C3942" s="4" t="s">
        <v>34</v>
      </c>
      <c r="D3942" s="4">
        <v>2021</v>
      </c>
      <c r="E3942" s="4">
        <v>0</v>
      </c>
      <c r="F3942" s="4" t="s">
        <v>29</v>
      </c>
    </row>
    <row r="3943" spans="1:6" x14ac:dyDescent="0.25">
      <c r="A3943" s="4" t="s">
        <v>83</v>
      </c>
      <c r="B3943" s="4" t="s">
        <v>1</v>
      </c>
      <c r="C3943" s="4" t="s">
        <v>34</v>
      </c>
      <c r="D3943" s="4">
        <v>2022</v>
      </c>
      <c r="E3943" s="4">
        <v>0</v>
      </c>
      <c r="F3943" s="4" t="s">
        <v>29</v>
      </c>
    </row>
    <row r="3944" spans="1:6" x14ac:dyDescent="0.25">
      <c r="A3944" s="4" t="s">
        <v>83</v>
      </c>
      <c r="B3944" s="4" t="s">
        <v>1</v>
      </c>
      <c r="C3944" s="4" t="s">
        <v>34</v>
      </c>
      <c r="D3944" s="4">
        <v>2023</v>
      </c>
      <c r="E3944" s="4">
        <v>0</v>
      </c>
      <c r="F3944" s="4" t="s">
        <v>29</v>
      </c>
    </row>
    <row r="3945" spans="1:6" x14ac:dyDescent="0.25">
      <c r="A3945" s="4" t="s">
        <v>83</v>
      </c>
      <c r="B3945" s="4" t="s">
        <v>1</v>
      </c>
      <c r="C3945" s="4" t="s">
        <v>34</v>
      </c>
      <c r="D3945" s="4">
        <v>2024</v>
      </c>
      <c r="E3945" s="4">
        <v>0</v>
      </c>
      <c r="F3945" s="4" t="s">
        <v>29</v>
      </c>
    </row>
    <row r="3946" spans="1:6" x14ac:dyDescent="0.25">
      <c r="A3946" s="4" t="s">
        <v>83</v>
      </c>
      <c r="B3946" s="4" t="s">
        <v>1</v>
      </c>
      <c r="C3946" s="4" t="s">
        <v>34</v>
      </c>
      <c r="D3946" s="4">
        <v>2025</v>
      </c>
      <c r="E3946" s="4">
        <v>0</v>
      </c>
      <c r="F3946" s="4" t="s">
        <v>29</v>
      </c>
    </row>
    <row r="3947" spans="1:6" x14ac:dyDescent="0.25">
      <c r="A3947" s="4" t="s">
        <v>83</v>
      </c>
      <c r="B3947" s="4" t="s">
        <v>1</v>
      </c>
      <c r="C3947" s="4" t="s">
        <v>34</v>
      </c>
      <c r="D3947" s="4">
        <v>2026</v>
      </c>
      <c r="E3947" s="4">
        <v>0</v>
      </c>
      <c r="F3947" s="4" t="s">
        <v>29</v>
      </c>
    </row>
    <row r="3948" spans="1:6" x14ac:dyDescent="0.25">
      <c r="A3948" s="4" t="s">
        <v>83</v>
      </c>
      <c r="B3948" s="4" t="s">
        <v>1</v>
      </c>
      <c r="C3948" s="4" t="s">
        <v>34</v>
      </c>
      <c r="D3948" s="4">
        <v>2027</v>
      </c>
      <c r="E3948" s="4">
        <v>0</v>
      </c>
      <c r="F3948" s="4" t="s">
        <v>29</v>
      </c>
    </row>
    <row r="3949" spans="1:6" x14ac:dyDescent="0.25">
      <c r="A3949" s="4" t="s">
        <v>83</v>
      </c>
      <c r="B3949" s="4" t="s">
        <v>1</v>
      </c>
      <c r="C3949" s="4" t="s">
        <v>34</v>
      </c>
      <c r="D3949" s="4">
        <v>2028</v>
      </c>
      <c r="E3949" s="4">
        <v>0</v>
      </c>
      <c r="F3949" s="4" t="s">
        <v>29</v>
      </c>
    </row>
    <row r="3950" spans="1:6" x14ac:dyDescent="0.25">
      <c r="A3950" s="4" t="s">
        <v>83</v>
      </c>
      <c r="B3950" s="4" t="s">
        <v>1</v>
      </c>
      <c r="C3950" s="4" t="s">
        <v>34</v>
      </c>
      <c r="D3950" s="4">
        <v>2029</v>
      </c>
      <c r="E3950" s="4">
        <v>0</v>
      </c>
      <c r="F3950" s="4" t="s">
        <v>29</v>
      </c>
    </row>
    <row r="3951" spans="1:6" x14ac:dyDescent="0.25">
      <c r="A3951" s="4" t="s">
        <v>83</v>
      </c>
      <c r="B3951" s="4" t="s">
        <v>1</v>
      </c>
      <c r="C3951" s="4" t="s">
        <v>34</v>
      </c>
      <c r="D3951" s="4">
        <v>2030</v>
      </c>
      <c r="E3951" s="4">
        <v>0</v>
      </c>
      <c r="F3951" s="4" t="s">
        <v>29</v>
      </c>
    </row>
    <row r="3952" spans="1:6" x14ac:dyDescent="0.25">
      <c r="A3952" s="4" t="s">
        <v>83</v>
      </c>
      <c r="B3952" s="4" t="s">
        <v>1</v>
      </c>
      <c r="C3952" s="4" t="s">
        <v>34</v>
      </c>
      <c r="D3952" s="4">
        <v>2031</v>
      </c>
      <c r="E3952" s="4">
        <v>0</v>
      </c>
      <c r="F3952" s="4" t="s">
        <v>29</v>
      </c>
    </row>
    <row r="3953" spans="1:6" x14ac:dyDescent="0.25">
      <c r="A3953" s="4" t="s">
        <v>83</v>
      </c>
      <c r="B3953" s="4" t="s">
        <v>1</v>
      </c>
      <c r="C3953" s="4" t="s">
        <v>34</v>
      </c>
      <c r="D3953" s="4">
        <v>2032</v>
      </c>
      <c r="E3953" s="4">
        <v>0</v>
      </c>
      <c r="F3953" s="4" t="s">
        <v>29</v>
      </c>
    </row>
    <row r="3954" spans="1:6" x14ac:dyDescent="0.25">
      <c r="A3954" s="4" t="s">
        <v>83</v>
      </c>
      <c r="B3954" s="4" t="s">
        <v>1</v>
      </c>
      <c r="C3954" s="4" t="s">
        <v>34</v>
      </c>
      <c r="D3954" s="4">
        <v>2033</v>
      </c>
      <c r="E3954" s="4">
        <v>0</v>
      </c>
      <c r="F3954" s="4" t="s">
        <v>29</v>
      </c>
    </row>
    <row r="3955" spans="1:6" x14ac:dyDescent="0.25">
      <c r="A3955" s="4" t="s">
        <v>83</v>
      </c>
      <c r="B3955" s="4" t="s">
        <v>1</v>
      </c>
      <c r="C3955" s="4" t="s">
        <v>34</v>
      </c>
      <c r="D3955" s="4">
        <v>2034</v>
      </c>
      <c r="E3955" s="4">
        <v>0</v>
      </c>
      <c r="F3955" s="4" t="s">
        <v>29</v>
      </c>
    </row>
    <row r="3956" spans="1:6" x14ac:dyDescent="0.25">
      <c r="A3956" s="4" t="s">
        <v>83</v>
      </c>
      <c r="B3956" s="4" t="s">
        <v>1</v>
      </c>
      <c r="C3956" s="4" t="s">
        <v>34</v>
      </c>
      <c r="D3956" s="4">
        <v>2035</v>
      </c>
      <c r="E3956" s="4">
        <v>0</v>
      </c>
      <c r="F3956" s="4" t="s">
        <v>29</v>
      </c>
    </row>
    <row r="3957" spans="1:6" x14ac:dyDescent="0.25">
      <c r="A3957" s="4" t="s">
        <v>83</v>
      </c>
      <c r="B3957" s="4" t="s">
        <v>1</v>
      </c>
      <c r="C3957" s="4" t="s">
        <v>34</v>
      </c>
      <c r="D3957" s="4">
        <v>2036</v>
      </c>
      <c r="E3957" s="4">
        <v>0</v>
      </c>
      <c r="F3957" s="4" t="s">
        <v>29</v>
      </c>
    </row>
    <row r="3958" spans="1:6" x14ac:dyDescent="0.25">
      <c r="A3958" s="4" t="s">
        <v>83</v>
      </c>
      <c r="B3958" s="4" t="s">
        <v>1</v>
      </c>
      <c r="C3958" s="4" t="s">
        <v>34</v>
      </c>
      <c r="D3958" s="4">
        <v>2037</v>
      </c>
      <c r="E3958" s="4">
        <v>0</v>
      </c>
      <c r="F3958" s="4" t="s">
        <v>29</v>
      </c>
    </row>
    <row r="3959" spans="1:6" x14ac:dyDescent="0.25">
      <c r="A3959" s="4" t="s">
        <v>83</v>
      </c>
      <c r="B3959" s="4" t="s">
        <v>1</v>
      </c>
      <c r="C3959" s="4" t="s">
        <v>34</v>
      </c>
      <c r="D3959" s="4">
        <v>2038</v>
      </c>
      <c r="E3959" s="4">
        <v>0</v>
      </c>
      <c r="F3959" s="4" t="s">
        <v>29</v>
      </c>
    </row>
    <row r="3960" spans="1:6" x14ac:dyDescent="0.25">
      <c r="A3960" s="4" t="s">
        <v>83</v>
      </c>
      <c r="B3960" s="4" t="s">
        <v>1</v>
      </c>
      <c r="C3960" s="4" t="s">
        <v>34</v>
      </c>
      <c r="D3960" s="4">
        <v>2039</v>
      </c>
      <c r="E3960" s="4">
        <v>0</v>
      </c>
      <c r="F3960" s="4" t="s">
        <v>29</v>
      </c>
    </row>
    <row r="3961" spans="1:6" x14ac:dyDescent="0.25">
      <c r="A3961" s="4" t="s">
        <v>83</v>
      </c>
      <c r="B3961" s="4" t="s">
        <v>1</v>
      </c>
      <c r="C3961" s="4" t="s">
        <v>34</v>
      </c>
      <c r="D3961" s="4">
        <v>2040</v>
      </c>
      <c r="E3961" s="4">
        <v>0</v>
      </c>
      <c r="F3961" s="4" t="s">
        <v>29</v>
      </c>
    </row>
    <row r="3962" spans="1:6" x14ac:dyDescent="0.25">
      <c r="A3962" s="4" t="s">
        <v>83</v>
      </c>
      <c r="B3962" s="4" t="s">
        <v>2</v>
      </c>
      <c r="C3962" s="4" t="s">
        <v>34</v>
      </c>
      <c r="D3962" s="4">
        <v>2005</v>
      </c>
      <c r="E3962" s="4">
        <v>0</v>
      </c>
      <c r="F3962" s="4" t="s">
        <v>29</v>
      </c>
    </row>
    <row r="3963" spans="1:6" x14ac:dyDescent="0.25">
      <c r="A3963" s="4" t="s">
        <v>83</v>
      </c>
      <c r="B3963" s="4" t="s">
        <v>2</v>
      </c>
      <c r="C3963" s="4" t="s">
        <v>34</v>
      </c>
      <c r="D3963" s="4">
        <v>2006</v>
      </c>
      <c r="E3963" s="4">
        <v>0</v>
      </c>
      <c r="F3963" s="4" t="s">
        <v>29</v>
      </c>
    </row>
    <row r="3964" spans="1:6" x14ac:dyDescent="0.25">
      <c r="A3964" s="4" t="s">
        <v>83</v>
      </c>
      <c r="B3964" s="4" t="s">
        <v>2</v>
      </c>
      <c r="C3964" s="4" t="s">
        <v>34</v>
      </c>
      <c r="D3964" s="4">
        <v>2007</v>
      </c>
      <c r="E3964" s="4">
        <v>0</v>
      </c>
      <c r="F3964" s="4" t="s">
        <v>29</v>
      </c>
    </row>
    <row r="3965" spans="1:6" x14ac:dyDescent="0.25">
      <c r="A3965" s="4" t="s">
        <v>83</v>
      </c>
      <c r="B3965" s="4" t="s">
        <v>2</v>
      </c>
      <c r="C3965" s="4" t="s">
        <v>34</v>
      </c>
      <c r="D3965" s="4">
        <v>2008</v>
      </c>
      <c r="E3965" s="4">
        <v>0</v>
      </c>
      <c r="F3965" s="4" t="s">
        <v>29</v>
      </c>
    </row>
    <row r="3966" spans="1:6" x14ac:dyDescent="0.25">
      <c r="A3966" s="4" t="s">
        <v>83</v>
      </c>
      <c r="B3966" s="4" t="s">
        <v>2</v>
      </c>
      <c r="C3966" s="4" t="s">
        <v>34</v>
      </c>
      <c r="D3966" s="4">
        <v>2009</v>
      </c>
      <c r="E3966" s="4">
        <v>0</v>
      </c>
      <c r="F3966" s="4" t="s">
        <v>29</v>
      </c>
    </row>
    <row r="3967" spans="1:6" x14ac:dyDescent="0.25">
      <c r="A3967" s="4" t="s">
        <v>83</v>
      </c>
      <c r="B3967" s="4" t="s">
        <v>2</v>
      </c>
      <c r="C3967" s="4" t="s">
        <v>34</v>
      </c>
      <c r="D3967" s="4">
        <v>2010</v>
      </c>
      <c r="E3967" s="4">
        <v>0</v>
      </c>
      <c r="F3967" s="4" t="s">
        <v>29</v>
      </c>
    </row>
    <row r="3968" spans="1:6" x14ac:dyDescent="0.25">
      <c r="A3968" s="4" t="s">
        <v>83</v>
      </c>
      <c r="B3968" s="4" t="s">
        <v>2</v>
      </c>
      <c r="C3968" s="4" t="s">
        <v>34</v>
      </c>
      <c r="D3968" s="4">
        <v>2011</v>
      </c>
      <c r="E3968" s="4">
        <v>0</v>
      </c>
      <c r="F3968" s="4" t="s">
        <v>29</v>
      </c>
    </row>
    <row r="3969" spans="1:6" x14ac:dyDescent="0.25">
      <c r="A3969" s="4" t="s">
        <v>83</v>
      </c>
      <c r="B3969" s="4" t="s">
        <v>2</v>
      </c>
      <c r="C3969" s="4" t="s">
        <v>34</v>
      </c>
      <c r="D3969" s="4">
        <v>2012</v>
      </c>
      <c r="E3969" s="4">
        <v>0</v>
      </c>
      <c r="F3969" s="4" t="s">
        <v>29</v>
      </c>
    </row>
    <row r="3970" spans="1:6" x14ac:dyDescent="0.25">
      <c r="A3970" s="4" t="s">
        <v>83</v>
      </c>
      <c r="B3970" s="4" t="s">
        <v>2</v>
      </c>
      <c r="C3970" s="4" t="s">
        <v>34</v>
      </c>
      <c r="D3970" s="4">
        <v>2013</v>
      </c>
      <c r="E3970" s="4">
        <v>0</v>
      </c>
      <c r="F3970" s="4" t="s">
        <v>29</v>
      </c>
    </row>
    <row r="3971" spans="1:6" x14ac:dyDescent="0.25">
      <c r="A3971" s="4" t="s">
        <v>83</v>
      </c>
      <c r="B3971" s="4" t="s">
        <v>2</v>
      </c>
      <c r="C3971" s="4" t="s">
        <v>34</v>
      </c>
      <c r="D3971" s="4">
        <v>2014</v>
      </c>
      <c r="E3971" s="4">
        <v>0</v>
      </c>
      <c r="F3971" s="4" t="s">
        <v>29</v>
      </c>
    </row>
    <row r="3972" spans="1:6" x14ac:dyDescent="0.25">
      <c r="A3972" s="4" t="s">
        <v>83</v>
      </c>
      <c r="B3972" s="4" t="s">
        <v>2</v>
      </c>
      <c r="C3972" s="4" t="s">
        <v>34</v>
      </c>
      <c r="D3972" s="4">
        <v>2015</v>
      </c>
      <c r="E3972" s="4">
        <v>0</v>
      </c>
      <c r="F3972" s="4" t="s">
        <v>29</v>
      </c>
    </row>
    <row r="3973" spans="1:6" x14ac:dyDescent="0.25">
      <c r="A3973" s="4" t="s">
        <v>83</v>
      </c>
      <c r="B3973" s="4" t="s">
        <v>2</v>
      </c>
      <c r="C3973" s="4" t="s">
        <v>34</v>
      </c>
      <c r="D3973" s="4">
        <v>2016</v>
      </c>
      <c r="E3973" s="4">
        <v>0</v>
      </c>
      <c r="F3973" s="4" t="s">
        <v>29</v>
      </c>
    </row>
    <row r="3974" spans="1:6" x14ac:dyDescent="0.25">
      <c r="A3974" s="4" t="s">
        <v>83</v>
      </c>
      <c r="B3974" s="4" t="s">
        <v>2</v>
      </c>
      <c r="C3974" s="4" t="s">
        <v>34</v>
      </c>
      <c r="D3974" s="4">
        <v>2017</v>
      </c>
      <c r="E3974" s="4">
        <v>0</v>
      </c>
      <c r="F3974" s="4" t="s">
        <v>29</v>
      </c>
    </row>
    <row r="3975" spans="1:6" x14ac:dyDescent="0.25">
      <c r="A3975" s="4" t="s">
        <v>83</v>
      </c>
      <c r="B3975" s="4" t="s">
        <v>2</v>
      </c>
      <c r="C3975" s="4" t="s">
        <v>34</v>
      </c>
      <c r="D3975" s="4">
        <v>2018</v>
      </c>
      <c r="E3975" s="4">
        <v>0</v>
      </c>
      <c r="F3975" s="4" t="s">
        <v>29</v>
      </c>
    </row>
    <row r="3976" spans="1:6" x14ac:dyDescent="0.25">
      <c r="A3976" s="4" t="s">
        <v>83</v>
      </c>
      <c r="B3976" s="4" t="s">
        <v>2</v>
      </c>
      <c r="C3976" s="4" t="s">
        <v>34</v>
      </c>
      <c r="D3976" s="4">
        <v>2019</v>
      </c>
      <c r="E3976" s="4">
        <v>0</v>
      </c>
      <c r="F3976" s="4" t="s">
        <v>29</v>
      </c>
    </row>
    <row r="3977" spans="1:6" x14ac:dyDescent="0.25">
      <c r="A3977" s="4" t="s">
        <v>83</v>
      </c>
      <c r="B3977" s="4" t="s">
        <v>2</v>
      </c>
      <c r="C3977" s="4" t="s">
        <v>34</v>
      </c>
      <c r="D3977" s="4">
        <v>2020</v>
      </c>
      <c r="E3977" s="4">
        <v>0</v>
      </c>
      <c r="F3977" s="4" t="s">
        <v>29</v>
      </c>
    </row>
    <row r="3978" spans="1:6" x14ac:dyDescent="0.25">
      <c r="A3978" s="4" t="s">
        <v>83</v>
      </c>
      <c r="B3978" s="4" t="s">
        <v>2</v>
      </c>
      <c r="C3978" s="4" t="s">
        <v>34</v>
      </c>
      <c r="D3978" s="4">
        <v>2021</v>
      </c>
      <c r="E3978" s="4">
        <v>0</v>
      </c>
      <c r="F3978" s="4" t="s">
        <v>29</v>
      </c>
    </row>
    <row r="3979" spans="1:6" x14ac:dyDescent="0.25">
      <c r="A3979" s="4" t="s">
        <v>83</v>
      </c>
      <c r="B3979" s="4" t="s">
        <v>2</v>
      </c>
      <c r="C3979" s="4" t="s">
        <v>34</v>
      </c>
      <c r="D3979" s="4">
        <v>2022</v>
      </c>
      <c r="E3979" s="4">
        <v>0</v>
      </c>
      <c r="F3979" s="4" t="s">
        <v>29</v>
      </c>
    </row>
    <row r="3980" spans="1:6" x14ac:dyDescent="0.25">
      <c r="A3980" s="4" t="s">
        <v>83</v>
      </c>
      <c r="B3980" s="4" t="s">
        <v>2</v>
      </c>
      <c r="C3980" s="4" t="s">
        <v>34</v>
      </c>
      <c r="D3980" s="4">
        <v>2023</v>
      </c>
      <c r="E3980" s="4">
        <v>0</v>
      </c>
      <c r="F3980" s="4" t="s">
        <v>29</v>
      </c>
    </row>
    <row r="3981" spans="1:6" x14ac:dyDescent="0.25">
      <c r="A3981" s="4" t="s">
        <v>83</v>
      </c>
      <c r="B3981" s="4" t="s">
        <v>2</v>
      </c>
      <c r="C3981" s="4" t="s">
        <v>34</v>
      </c>
      <c r="D3981" s="4">
        <v>2024</v>
      </c>
      <c r="E3981" s="4">
        <v>0</v>
      </c>
      <c r="F3981" s="4" t="s">
        <v>29</v>
      </c>
    </row>
    <row r="3982" spans="1:6" x14ac:dyDescent="0.25">
      <c r="A3982" s="4" t="s">
        <v>83</v>
      </c>
      <c r="B3982" s="4" t="s">
        <v>2</v>
      </c>
      <c r="C3982" s="4" t="s">
        <v>34</v>
      </c>
      <c r="D3982" s="4">
        <v>2025</v>
      </c>
      <c r="E3982" s="4">
        <v>0</v>
      </c>
      <c r="F3982" s="4" t="s">
        <v>29</v>
      </c>
    </row>
    <row r="3983" spans="1:6" x14ac:dyDescent="0.25">
      <c r="A3983" s="4" t="s">
        <v>83</v>
      </c>
      <c r="B3983" s="4" t="s">
        <v>2</v>
      </c>
      <c r="C3983" s="4" t="s">
        <v>34</v>
      </c>
      <c r="D3983" s="4">
        <v>2026</v>
      </c>
      <c r="E3983" s="4">
        <v>0</v>
      </c>
      <c r="F3983" s="4" t="s">
        <v>29</v>
      </c>
    </row>
    <row r="3984" spans="1:6" x14ac:dyDescent="0.25">
      <c r="A3984" s="4" t="s">
        <v>83</v>
      </c>
      <c r="B3984" s="4" t="s">
        <v>2</v>
      </c>
      <c r="C3984" s="4" t="s">
        <v>34</v>
      </c>
      <c r="D3984" s="4">
        <v>2027</v>
      </c>
      <c r="E3984" s="4">
        <v>0</v>
      </c>
      <c r="F3984" s="4" t="s">
        <v>29</v>
      </c>
    </row>
    <row r="3985" spans="1:6" x14ac:dyDescent="0.25">
      <c r="A3985" s="4" t="s">
        <v>83</v>
      </c>
      <c r="B3985" s="4" t="s">
        <v>2</v>
      </c>
      <c r="C3985" s="4" t="s">
        <v>34</v>
      </c>
      <c r="D3985" s="4">
        <v>2028</v>
      </c>
      <c r="E3985" s="4">
        <v>0</v>
      </c>
      <c r="F3985" s="4" t="s">
        <v>29</v>
      </c>
    </row>
    <row r="3986" spans="1:6" x14ac:dyDescent="0.25">
      <c r="A3986" s="4" t="s">
        <v>83</v>
      </c>
      <c r="B3986" s="4" t="s">
        <v>2</v>
      </c>
      <c r="C3986" s="4" t="s">
        <v>34</v>
      </c>
      <c r="D3986" s="4">
        <v>2029</v>
      </c>
      <c r="E3986" s="4">
        <v>0</v>
      </c>
      <c r="F3986" s="4" t="s">
        <v>29</v>
      </c>
    </row>
    <row r="3987" spans="1:6" x14ac:dyDescent="0.25">
      <c r="A3987" s="4" t="s">
        <v>83</v>
      </c>
      <c r="B3987" s="4" t="s">
        <v>2</v>
      </c>
      <c r="C3987" s="4" t="s">
        <v>34</v>
      </c>
      <c r="D3987" s="4">
        <v>2030</v>
      </c>
      <c r="E3987" s="4">
        <v>0</v>
      </c>
      <c r="F3987" s="4" t="s">
        <v>29</v>
      </c>
    </row>
    <row r="3988" spans="1:6" x14ac:dyDescent="0.25">
      <c r="A3988" s="4" t="s">
        <v>83</v>
      </c>
      <c r="B3988" s="4" t="s">
        <v>2</v>
      </c>
      <c r="C3988" s="4" t="s">
        <v>34</v>
      </c>
      <c r="D3988" s="4">
        <v>2031</v>
      </c>
      <c r="E3988" s="4">
        <v>0</v>
      </c>
      <c r="F3988" s="4" t="s">
        <v>29</v>
      </c>
    </row>
    <row r="3989" spans="1:6" x14ac:dyDescent="0.25">
      <c r="A3989" s="4" t="s">
        <v>83</v>
      </c>
      <c r="B3989" s="4" t="s">
        <v>2</v>
      </c>
      <c r="C3989" s="4" t="s">
        <v>34</v>
      </c>
      <c r="D3989" s="4">
        <v>2032</v>
      </c>
      <c r="E3989" s="4">
        <v>0</v>
      </c>
      <c r="F3989" s="4" t="s">
        <v>29</v>
      </c>
    </row>
    <row r="3990" spans="1:6" x14ac:dyDescent="0.25">
      <c r="A3990" s="4" t="s">
        <v>83</v>
      </c>
      <c r="B3990" s="4" t="s">
        <v>2</v>
      </c>
      <c r="C3990" s="4" t="s">
        <v>34</v>
      </c>
      <c r="D3990" s="4">
        <v>2033</v>
      </c>
      <c r="E3990" s="4">
        <v>0</v>
      </c>
      <c r="F3990" s="4" t="s">
        <v>29</v>
      </c>
    </row>
    <row r="3991" spans="1:6" x14ac:dyDescent="0.25">
      <c r="A3991" s="4" t="s">
        <v>83</v>
      </c>
      <c r="B3991" s="4" t="s">
        <v>2</v>
      </c>
      <c r="C3991" s="4" t="s">
        <v>34</v>
      </c>
      <c r="D3991" s="4">
        <v>2034</v>
      </c>
      <c r="E3991" s="4">
        <v>0</v>
      </c>
      <c r="F3991" s="4" t="s">
        <v>29</v>
      </c>
    </row>
    <row r="3992" spans="1:6" x14ac:dyDescent="0.25">
      <c r="A3992" s="4" t="s">
        <v>83</v>
      </c>
      <c r="B3992" s="4" t="s">
        <v>2</v>
      </c>
      <c r="C3992" s="4" t="s">
        <v>34</v>
      </c>
      <c r="D3992" s="4">
        <v>2035</v>
      </c>
      <c r="E3992" s="4">
        <v>0</v>
      </c>
      <c r="F3992" s="4" t="s">
        <v>29</v>
      </c>
    </row>
    <row r="3993" spans="1:6" x14ac:dyDescent="0.25">
      <c r="A3993" s="4" t="s">
        <v>83</v>
      </c>
      <c r="B3993" s="4" t="s">
        <v>2</v>
      </c>
      <c r="C3993" s="4" t="s">
        <v>34</v>
      </c>
      <c r="D3993" s="4">
        <v>2036</v>
      </c>
      <c r="E3993" s="4">
        <v>0</v>
      </c>
      <c r="F3993" s="4" t="s">
        <v>29</v>
      </c>
    </row>
    <row r="3994" spans="1:6" x14ac:dyDescent="0.25">
      <c r="A3994" s="4" t="s">
        <v>83</v>
      </c>
      <c r="B3994" s="4" t="s">
        <v>2</v>
      </c>
      <c r="C3994" s="4" t="s">
        <v>34</v>
      </c>
      <c r="D3994" s="4">
        <v>2037</v>
      </c>
      <c r="E3994" s="4">
        <v>0</v>
      </c>
      <c r="F3994" s="4" t="s">
        <v>29</v>
      </c>
    </row>
    <row r="3995" spans="1:6" x14ac:dyDescent="0.25">
      <c r="A3995" s="4" t="s">
        <v>83</v>
      </c>
      <c r="B3995" s="4" t="s">
        <v>2</v>
      </c>
      <c r="C3995" s="4" t="s">
        <v>34</v>
      </c>
      <c r="D3995" s="4">
        <v>2038</v>
      </c>
      <c r="E3995" s="4">
        <v>0</v>
      </c>
      <c r="F3995" s="4" t="s">
        <v>29</v>
      </c>
    </row>
    <row r="3996" spans="1:6" x14ac:dyDescent="0.25">
      <c r="A3996" s="4" t="s">
        <v>83</v>
      </c>
      <c r="B3996" s="4" t="s">
        <v>2</v>
      </c>
      <c r="C3996" s="4" t="s">
        <v>34</v>
      </c>
      <c r="D3996" s="4">
        <v>2039</v>
      </c>
      <c r="E3996" s="4">
        <v>0</v>
      </c>
      <c r="F3996" s="4" t="s">
        <v>29</v>
      </c>
    </row>
    <row r="3997" spans="1:6" x14ac:dyDescent="0.25">
      <c r="A3997" s="4" t="s">
        <v>83</v>
      </c>
      <c r="B3997" s="4" t="s">
        <v>2</v>
      </c>
      <c r="C3997" s="4" t="s">
        <v>34</v>
      </c>
      <c r="D3997" s="4">
        <v>2040</v>
      </c>
      <c r="E3997" s="4">
        <v>0</v>
      </c>
      <c r="F3997" s="4" t="s">
        <v>29</v>
      </c>
    </row>
    <row r="3998" spans="1:6" x14ac:dyDescent="0.25">
      <c r="A3998" s="4" t="s">
        <v>83</v>
      </c>
      <c r="B3998" s="4" t="s">
        <v>3</v>
      </c>
      <c r="C3998" s="4" t="s">
        <v>34</v>
      </c>
      <c r="D3998" s="4">
        <v>2005</v>
      </c>
      <c r="E3998" s="4">
        <v>0</v>
      </c>
      <c r="F3998" s="4" t="s">
        <v>29</v>
      </c>
    </row>
    <row r="3999" spans="1:6" x14ac:dyDescent="0.25">
      <c r="A3999" s="4" t="s">
        <v>83</v>
      </c>
      <c r="B3999" s="4" t="s">
        <v>3</v>
      </c>
      <c r="C3999" s="4" t="s">
        <v>34</v>
      </c>
      <c r="D3999" s="4">
        <v>2006</v>
      </c>
      <c r="E3999" s="4">
        <v>0</v>
      </c>
      <c r="F3999" s="4" t="s">
        <v>29</v>
      </c>
    </row>
    <row r="4000" spans="1:6" x14ac:dyDescent="0.25">
      <c r="A4000" s="4" t="s">
        <v>83</v>
      </c>
      <c r="B4000" s="4" t="s">
        <v>3</v>
      </c>
      <c r="C4000" s="4" t="s">
        <v>34</v>
      </c>
      <c r="D4000" s="4">
        <v>2007</v>
      </c>
      <c r="E4000" s="4">
        <v>0</v>
      </c>
      <c r="F4000" s="4" t="s">
        <v>29</v>
      </c>
    </row>
    <row r="4001" spans="1:6" x14ac:dyDescent="0.25">
      <c r="A4001" s="4" t="s">
        <v>83</v>
      </c>
      <c r="B4001" s="4" t="s">
        <v>3</v>
      </c>
      <c r="C4001" s="4" t="s">
        <v>34</v>
      </c>
      <c r="D4001" s="4">
        <v>2008</v>
      </c>
      <c r="E4001" s="4">
        <v>0</v>
      </c>
      <c r="F4001" s="4" t="s">
        <v>29</v>
      </c>
    </row>
    <row r="4002" spans="1:6" x14ac:dyDescent="0.25">
      <c r="A4002" s="4" t="s">
        <v>83</v>
      </c>
      <c r="B4002" s="4" t="s">
        <v>3</v>
      </c>
      <c r="C4002" s="4" t="s">
        <v>34</v>
      </c>
      <c r="D4002" s="4">
        <v>2009</v>
      </c>
      <c r="E4002" s="4">
        <v>0</v>
      </c>
      <c r="F4002" s="4" t="s">
        <v>29</v>
      </c>
    </row>
    <row r="4003" spans="1:6" x14ac:dyDescent="0.25">
      <c r="A4003" s="4" t="s">
        <v>83</v>
      </c>
      <c r="B4003" s="4" t="s">
        <v>3</v>
      </c>
      <c r="C4003" s="4" t="s">
        <v>34</v>
      </c>
      <c r="D4003" s="4">
        <v>2010</v>
      </c>
      <c r="E4003" s="4">
        <v>0</v>
      </c>
      <c r="F4003" s="4" t="s">
        <v>29</v>
      </c>
    </row>
    <row r="4004" spans="1:6" x14ac:dyDescent="0.25">
      <c r="A4004" s="4" t="s">
        <v>83</v>
      </c>
      <c r="B4004" s="4" t="s">
        <v>3</v>
      </c>
      <c r="C4004" s="4" t="s">
        <v>34</v>
      </c>
      <c r="D4004" s="4">
        <v>2011</v>
      </c>
      <c r="E4004" s="4">
        <v>0</v>
      </c>
      <c r="F4004" s="4" t="s">
        <v>29</v>
      </c>
    </row>
    <row r="4005" spans="1:6" x14ac:dyDescent="0.25">
      <c r="A4005" s="4" t="s">
        <v>83</v>
      </c>
      <c r="B4005" s="4" t="s">
        <v>3</v>
      </c>
      <c r="C4005" s="4" t="s">
        <v>34</v>
      </c>
      <c r="D4005" s="4">
        <v>2012</v>
      </c>
      <c r="E4005" s="4">
        <v>0</v>
      </c>
      <c r="F4005" s="4" t="s">
        <v>29</v>
      </c>
    </row>
    <row r="4006" spans="1:6" x14ac:dyDescent="0.25">
      <c r="A4006" s="4" t="s">
        <v>83</v>
      </c>
      <c r="B4006" s="4" t="s">
        <v>3</v>
      </c>
      <c r="C4006" s="4" t="s">
        <v>34</v>
      </c>
      <c r="D4006" s="4">
        <v>2013</v>
      </c>
      <c r="E4006" s="4">
        <v>0</v>
      </c>
      <c r="F4006" s="4" t="s">
        <v>29</v>
      </c>
    </row>
    <row r="4007" spans="1:6" x14ac:dyDescent="0.25">
      <c r="A4007" s="4" t="s">
        <v>83</v>
      </c>
      <c r="B4007" s="4" t="s">
        <v>3</v>
      </c>
      <c r="C4007" s="4" t="s">
        <v>34</v>
      </c>
      <c r="D4007" s="4">
        <v>2014</v>
      </c>
      <c r="E4007" s="4">
        <v>0</v>
      </c>
      <c r="F4007" s="4" t="s">
        <v>29</v>
      </c>
    </row>
    <row r="4008" spans="1:6" x14ac:dyDescent="0.25">
      <c r="A4008" s="4" t="s">
        <v>83</v>
      </c>
      <c r="B4008" s="4" t="s">
        <v>3</v>
      </c>
      <c r="C4008" s="4" t="s">
        <v>34</v>
      </c>
      <c r="D4008" s="4">
        <v>2015</v>
      </c>
      <c r="E4008" s="4">
        <v>0</v>
      </c>
      <c r="F4008" s="4" t="s">
        <v>29</v>
      </c>
    </row>
    <row r="4009" spans="1:6" x14ac:dyDescent="0.25">
      <c r="A4009" s="4" t="s">
        <v>83</v>
      </c>
      <c r="B4009" s="4" t="s">
        <v>3</v>
      </c>
      <c r="C4009" s="4" t="s">
        <v>34</v>
      </c>
      <c r="D4009" s="4">
        <v>2016</v>
      </c>
      <c r="E4009" s="4">
        <v>0</v>
      </c>
      <c r="F4009" s="4" t="s">
        <v>29</v>
      </c>
    </row>
    <row r="4010" spans="1:6" x14ac:dyDescent="0.25">
      <c r="A4010" s="4" t="s">
        <v>83</v>
      </c>
      <c r="B4010" s="4" t="s">
        <v>3</v>
      </c>
      <c r="C4010" s="4" t="s">
        <v>34</v>
      </c>
      <c r="D4010" s="4">
        <v>2017</v>
      </c>
      <c r="E4010" s="4">
        <v>0</v>
      </c>
      <c r="F4010" s="4" t="s">
        <v>29</v>
      </c>
    </row>
    <row r="4011" spans="1:6" x14ac:dyDescent="0.25">
      <c r="A4011" s="4" t="s">
        <v>83</v>
      </c>
      <c r="B4011" s="4" t="s">
        <v>3</v>
      </c>
      <c r="C4011" s="4" t="s">
        <v>34</v>
      </c>
      <c r="D4011" s="4">
        <v>2018</v>
      </c>
      <c r="E4011" s="4">
        <v>0</v>
      </c>
      <c r="F4011" s="4" t="s">
        <v>29</v>
      </c>
    </row>
    <row r="4012" spans="1:6" x14ac:dyDescent="0.25">
      <c r="A4012" s="4" t="s">
        <v>83</v>
      </c>
      <c r="B4012" s="4" t="s">
        <v>3</v>
      </c>
      <c r="C4012" s="4" t="s">
        <v>34</v>
      </c>
      <c r="D4012" s="4">
        <v>2019</v>
      </c>
      <c r="E4012" s="4">
        <v>0</v>
      </c>
      <c r="F4012" s="4" t="s">
        <v>29</v>
      </c>
    </row>
    <row r="4013" spans="1:6" x14ac:dyDescent="0.25">
      <c r="A4013" s="4" t="s">
        <v>83</v>
      </c>
      <c r="B4013" s="4" t="s">
        <v>3</v>
      </c>
      <c r="C4013" s="4" t="s">
        <v>34</v>
      </c>
      <c r="D4013" s="4">
        <v>2020</v>
      </c>
      <c r="E4013" s="4">
        <v>0</v>
      </c>
      <c r="F4013" s="4" t="s">
        <v>29</v>
      </c>
    </row>
    <row r="4014" spans="1:6" x14ac:dyDescent="0.25">
      <c r="A4014" s="4" t="s">
        <v>83</v>
      </c>
      <c r="B4014" s="4" t="s">
        <v>3</v>
      </c>
      <c r="C4014" s="4" t="s">
        <v>34</v>
      </c>
      <c r="D4014" s="4">
        <v>2021</v>
      </c>
      <c r="E4014" s="4">
        <v>0</v>
      </c>
      <c r="F4014" s="4" t="s">
        <v>29</v>
      </c>
    </row>
    <row r="4015" spans="1:6" x14ac:dyDescent="0.25">
      <c r="A4015" s="4" t="s">
        <v>83</v>
      </c>
      <c r="B4015" s="4" t="s">
        <v>3</v>
      </c>
      <c r="C4015" s="4" t="s">
        <v>34</v>
      </c>
      <c r="D4015" s="4">
        <v>2022</v>
      </c>
      <c r="E4015" s="4">
        <v>0</v>
      </c>
      <c r="F4015" s="4" t="s">
        <v>29</v>
      </c>
    </row>
    <row r="4016" spans="1:6" x14ac:dyDescent="0.25">
      <c r="A4016" s="4" t="s">
        <v>83</v>
      </c>
      <c r="B4016" s="4" t="s">
        <v>3</v>
      </c>
      <c r="C4016" s="4" t="s">
        <v>34</v>
      </c>
      <c r="D4016" s="4">
        <v>2023</v>
      </c>
      <c r="E4016" s="4">
        <v>0</v>
      </c>
      <c r="F4016" s="4" t="s">
        <v>29</v>
      </c>
    </row>
    <row r="4017" spans="1:6" x14ac:dyDescent="0.25">
      <c r="A4017" s="4" t="s">
        <v>83</v>
      </c>
      <c r="B4017" s="4" t="s">
        <v>3</v>
      </c>
      <c r="C4017" s="4" t="s">
        <v>34</v>
      </c>
      <c r="D4017" s="4">
        <v>2024</v>
      </c>
      <c r="E4017" s="4">
        <v>0</v>
      </c>
      <c r="F4017" s="4" t="s">
        <v>29</v>
      </c>
    </row>
    <row r="4018" spans="1:6" x14ac:dyDescent="0.25">
      <c r="A4018" s="4" t="s">
        <v>83</v>
      </c>
      <c r="B4018" s="4" t="s">
        <v>3</v>
      </c>
      <c r="C4018" s="4" t="s">
        <v>34</v>
      </c>
      <c r="D4018" s="4">
        <v>2025</v>
      </c>
      <c r="E4018" s="4">
        <v>0</v>
      </c>
      <c r="F4018" s="4" t="s">
        <v>29</v>
      </c>
    </row>
    <row r="4019" spans="1:6" x14ac:dyDescent="0.25">
      <c r="A4019" s="4" t="s">
        <v>83</v>
      </c>
      <c r="B4019" s="4" t="s">
        <v>3</v>
      </c>
      <c r="C4019" s="4" t="s">
        <v>34</v>
      </c>
      <c r="D4019" s="4">
        <v>2026</v>
      </c>
      <c r="E4019" s="4">
        <v>0</v>
      </c>
      <c r="F4019" s="4" t="s">
        <v>29</v>
      </c>
    </row>
    <row r="4020" spans="1:6" x14ac:dyDescent="0.25">
      <c r="A4020" s="4" t="s">
        <v>83</v>
      </c>
      <c r="B4020" s="4" t="s">
        <v>3</v>
      </c>
      <c r="C4020" s="4" t="s">
        <v>34</v>
      </c>
      <c r="D4020" s="4">
        <v>2027</v>
      </c>
      <c r="E4020" s="4">
        <v>0</v>
      </c>
      <c r="F4020" s="4" t="s">
        <v>29</v>
      </c>
    </row>
    <row r="4021" spans="1:6" x14ac:dyDescent="0.25">
      <c r="A4021" s="4" t="s">
        <v>83</v>
      </c>
      <c r="B4021" s="4" t="s">
        <v>3</v>
      </c>
      <c r="C4021" s="4" t="s">
        <v>34</v>
      </c>
      <c r="D4021" s="4">
        <v>2028</v>
      </c>
      <c r="E4021" s="4">
        <v>0</v>
      </c>
      <c r="F4021" s="4" t="s">
        <v>29</v>
      </c>
    </row>
    <row r="4022" spans="1:6" x14ac:dyDescent="0.25">
      <c r="A4022" s="4" t="s">
        <v>83</v>
      </c>
      <c r="B4022" s="4" t="s">
        <v>3</v>
      </c>
      <c r="C4022" s="4" t="s">
        <v>34</v>
      </c>
      <c r="D4022" s="4">
        <v>2029</v>
      </c>
      <c r="E4022" s="4">
        <v>0</v>
      </c>
      <c r="F4022" s="4" t="s">
        <v>29</v>
      </c>
    </row>
    <row r="4023" spans="1:6" x14ac:dyDescent="0.25">
      <c r="A4023" s="4" t="s">
        <v>83</v>
      </c>
      <c r="B4023" s="4" t="s">
        <v>3</v>
      </c>
      <c r="C4023" s="4" t="s">
        <v>34</v>
      </c>
      <c r="D4023" s="4">
        <v>2030</v>
      </c>
      <c r="E4023" s="4">
        <v>0</v>
      </c>
      <c r="F4023" s="4" t="s">
        <v>29</v>
      </c>
    </row>
    <row r="4024" spans="1:6" x14ac:dyDescent="0.25">
      <c r="A4024" s="4" t="s">
        <v>83</v>
      </c>
      <c r="B4024" s="4" t="s">
        <v>3</v>
      </c>
      <c r="C4024" s="4" t="s">
        <v>34</v>
      </c>
      <c r="D4024" s="4">
        <v>2031</v>
      </c>
      <c r="E4024" s="4">
        <v>0</v>
      </c>
      <c r="F4024" s="4" t="s">
        <v>29</v>
      </c>
    </row>
    <row r="4025" spans="1:6" x14ac:dyDescent="0.25">
      <c r="A4025" s="4" t="s">
        <v>83</v>
      </c>
      <c r="B4025" s="4" t="s">
        <v>3</v>
      </c>
      <c r="C4025" s="4" t="s">
        <v>34</v>
      </c>
      <c r="D4025" s="4">
        <v>2032</v>
      </c>
      <c r="E4025" s="4">
        <v>0</v>
      </c>
      <c r="F4025" s="4" t="s">
        <v>29</v>
      </c>
    </row>
    <row r="4026" spans="1:6" x14ac:dyDescent="0.25">
      <c r="A4026" s="4" t="s">
        <v>83</v>
      </c>
      <c r="B4026" s="4" t="s">
        <v>3</v>
      </c>
      <c r="C4026" s="4" t="s">
        <v>34</v>
      </c>
      <c r="D4026" s="4">
        <v>2033</v>
      </c>
      <c r="E4026" s="4">
        <v>0</v>
      </c>
      <c r="F4026" s="4" t="s">
        <v>29</v>
      </c>
    </row>
    <row r="4027" spans="1:6" x14ac:dyDescent="0.25">
      <c r="A4027" s="4" t="s">
        <v>83</v>
      </c>
      <c r="B4027" s="4" t="s">
        <v>3</v>
      </c>
      <c r="C4027" s="4" t="s">
        <v>34</v>
      </c>
      <c r="D4027" s="4">
        <v>2034</v>
      </c>
      <c r="E4027" s="4">
        <v>0</v>
      </c>
      <c r="F4027" s="4" t="s">
        <v>29</v>
      </c>
    </row>
    <row r="4028" spans="1:6" x14ac:dyDescent="0.25">
      <c r="A4028" s="4" t="s">
        <v>83</v>
      </c>
      <c r="B4028" s="4" t="s">
        <v>3</v>
      </c>
      <c r="C4028" s="4" t="s">
        <v>34</v>
      </c>
      <c r="D4028" s="4">
        <v>2035</v>
      </c>
      <c r="E4028" s="4">
        <v>0</v>
      </c>
      <c r="F4028" s="4" t="s">
        <v>29</v>
      </c>
    </row>
    <row r="4029" spans="1:6" x14ac:dyDescent="0.25">
      <c r="A4029" s="4" t="s">
        <v>83</v>
      </c>
      <c r="B4029" s="4" t="s">
        <v>3</v>
      </c>
      <c r="C4029" s="4" t="s">
        <v>34</v>
      </c>
      <c r="D4029" s="4">
        <v>2036</v>
      </c>
      <c r="E4029" s="4">
        <v>0</v>
      </c>
      <c r="F4029" s="4" t="s">
        <v>29</v>
      </c>
    </row>
    <row r="4030" spans="1:6" x14ac:dyDescent="0.25">
      <c r="A4030" s="4" t="s">
        <v>83</v>
      </c>
      <c r="B4030" s="4" t="s">
        <v>3</v>
      </c>
      <c r="C4030" s="4" t="s">
        <v>34</v>
      </c>
      <c r="D4030" s="4">
        <v>2037</v>
      </c>
      <c r="E4030" s="4">
        <v>0</v>
      </c>
      <c r="F4030" s="4" t="s">
        <v>29</v>
      </c>
    </row>
    <row r="4031" spans="1:6" x14ac:dyDescent="0.25">
      <c r="A4031" s="4" t="s">
        <v>83</v>
      </c>
      <c r="B4031" s="4" t="s">
        <v>3</v>
      </c>
      <c r="C4031" s="4" t="s">
        <v>34</v>
      </c>
      <c r="D4031" s="4">
        <v>2038</v>
      </c>
      <c r="E4031" s="4">
        <v>0</v>
      </c>
      <c r="F4031" s="4" t="s">
        <v>29</v>
      </c>
    </row>
    <row r="4032" spans="1:6" x14ac:dyDescent="0.25">
      <c r="A4032" s="4" t="s">
        <v>83</v>
      </c>
      <c r="B4032" s="4" t="s">
        <v>3</v>
      </c>
      <c r="C4032" s="4" t="s">
        <v>34</v>
      </c>
      <c r="D4032" s="4">
        <v>2039</v>
      </c>
      <c r="E4032" s="4">
        <v>0</v>
      </c>
      <c r="F4032" s="4" t="s">
        <v>29</v>
      </c>
    </row>
    <row r="4033" spans="1:6" x14ac:dyDescent="0.25">
      <c r="A4033" s="4" t="s">
        <v>83</v>
      </c>
      <c r="B4033" s="4" t="s">
        <v>3</v>
      </c>
      <c r="C4033" s="4" t="s">
        <v>34</v>
      </c>
      <c r="D4033" s="4">
        <v>2040</v>
      </c>
      <c r="E4033" s="4">
        <v>0</v>
      </c>
      <c r="F4033" s="4" t="s">
        <v>29</v>
      </c>
    </row>
    <row r="4034" spans="1:6" x14ac:dyDescent="0.25">
      <c r="A4034" s="4" t="s">
        <v>83</v>
      </c>
      <c r="B4034" s="4" t="s">
        <v>4</v>
      </c>
      <c r="C4034" s="4" t="s">
        <v>34</v>
      </c>
      <c r="D4034" s="4">
        <v>2005</v>
      </c>
      <c r="E4034" s="4">
        <v>0</v>
      </c>
      <c r="F4034" s="4" t="s">
        <v>29</v>
      </c>
    </row>
    <row r="4035" spans="1:6" x14ac:dyDescent="0.25">
      <c r="A4035" s="4" t="s">
        <v>83</v>
      </c>
      <c r="B4035" s="4" t="s">
        <v>4</v>
      </c>
      <c r="C4035" s="4" t="s">
        <v>34</v>
      </c>
      <c r="D4035" s="4">
        <v>2006</v>
      </c>
      <c r="E4035" s="4">
        <v>0</v>
      </c>
      <c r="F4035" s="4" t="s">
        <v>29</v>
      </c>
    </row>
    <row r="4036" spans="1:6" x14ac:dyDescent="0.25">
      <c r="A4036" s="4" t="s">
        <v>83</v>
      </c>
      <c r="B4036" s="4" t="s">
        <v>4</v>
      </c>
      <c r="C4036" s="4" t="s">
        <v>34</v>
      </c>
      <c r="D4036" s="4">
        <v>2007</v>
      </c>
      <c r="E4036" s="4">
        <v>0</v>
      </c>
      <c r="F4036" s="4" t="s">
        <v>29</v>
      </c>
    </row>
    <row r="4037" spans="1:6" x14ac:dyDescent="0.25">
      <c r="A4037" s="4" t="s">
        <v>83</v>
      </c>
      <c r="B4037" s="4" t="s">
        <v>4</v>
      </c>
      <c r="C4037" s="4" t="s">
        <v>34</v>
      </c>
      <c r="D4037" s="4">
        <v>2008</v>
      </c>
      <c r="E4037" s="4">
        <v>0</v>
      </c>
      <c r="F4037" s="4" t="s">
        <v>29</v>
      </c>
    </row>
    <row r="4038" spans="1:6" x14ac:dyDescent="0.25">
      <c r="A4038" s="4" t="s">
        <v>83</v>
      </c>
      <c r="B4038" s="4" t="s">
        <v>4</v>
      </c>
      <c r="C4038" s="4" t="s">
        <v>34</v>
      </c>
      <c r="D4038" s="4">
        <v>2009</v>
      </c>
      <c r="E4038" s="4">
        <v>0</v>
      </c>
      <c r="F4038" s="4" t="s">
        <v>29</v>
      </c>
    </row>
    <row r="4039" spans="1:6" x14ac:dyDescent="0.25">
      <c r="A4039" s="4" t="s">
        <v>83</v>
      </c>
      <c r="B4039" s="4" t="s">
        <v>4</v>
      </c>
      <c r="C4039" s="4" t="s">
        <v>34</v>
      </c>
      <c r="D4039" s="4">
        <v>2010</v>
      </c>
      <c r="E4039" s="4">
        <v>0</v>
      </c>
      <c r="F4039" s="4" t="s">
        <v>29</v>
      </c>
    </row>
    <row r="4040" spans="1:6" x14ac:dyDescent="0.25">
      <c r="A4040" s="4" t="s">
        <v>83</v>
      </c>
      <c r="B4040" s="4" t="s">
        <v>4</v>
      </c>
      <c r="C4040" s="4" t="s">
        <v>34</v>
      </c>
      <c r="D4040" s="4">
        <v>2011</v>
      </c>
      <c r="E4040" s="4">
        <v>0</v>
      </c>
      <c r="F4040" s="4" t="s">
        <v>29</v>
      </c>
    </row>
    <row r="4041" spans="1:6" x14ac:dyDescent="0.25">
      <c r="A4041" s="4" t="s">
        <v>83</v>
      </c>
      <c r="B4041" s="4" t="s">
        <v>4</v>
      </c>
      <c r="C4041" s="4" t="s">
        <v>34</v>
      </c>
      <c r="D4041" s="4">
        <v>2012</v>
      </c>
      <c r="E4041" s="4">
        <v>0</v>
      </c>
      <c r="F4041" s="4" t="s">
        <v>29</v>
      </c>
    </row>
    <row r="4042" spans="1:6" x14ac:dyDescent="0.25">
      <c r="A4042" s="4" t="s">
        <v>83</v>
      </c>
      <c r="B4042" s="4" t="s">
        <v>4</v>
      </c>
      <c r="C4042" s="4" t="s">
        <v>34</v>
      </c>
      <c r="D4042" s="4">
        <v>2013</v>
      </c>
      <c r="E4042" s="4">
        <v>0</v>
      </c>
      <c r="F4042" s="4" t="s">
        <v>29</v>
      </c>
    </row>
    <row r="4043" spans="1:6" x14ac:dyDescent="0.25">
      <c r="A4043" s="4" t="s">
        <v>83</v>
      </c>
      <c r="B4043" s="4" t="s">
        <v>4</v>
      </c>
      <c r="C4043" s="4" t="s">
        <v>34</v>
      </c>
      <c r="D4043" s="4">
        <v>2014</v>
      </c>
      <c r="E4043" s="4">
        <v>0</v>
      </c>
      <c r="F4043" s="4" t="s">
        <v>29</v>
      </c>
    </row>
    <row r="4044" spans="1:6" x14ac:dyDescent="0.25">
      <c r="A4044" s="4" t="s">
        <v>83</v>
      </c>
      <c r="B4044" s="4" t="s">
        <v>4</v>
      </c>
      <c r="C4044" s="4" t="s">
        <v>34</v>
      </c>
      <c r="D4044" s="4">
        <v>2015</v>
      </c>
      <c r="E4044" s="4">
        <v>0</v>
      </c>
      <c r="F4044" s="4" t="s">
        <v>29</v>
      </c>
    </row>
    <row r="4045" spans="1:6" x14ac:dyDescent="0.25">
      <c r="A4045" s="4" t="s">
        <v>83</v>
      </c>
      <c r="B4045" s="4" t="s">
        <v>4</v>
      </c>
      <c r="C4045" s="4" t="s">
        <v>34</v>
      </c>
      <c r="D4045" s="4">
        <v>2016</v>
      </c>
      <c r="E4045" s="4">
        <v>0</v>
      </c>
      <c r="F4045" s="4" t="s">
        <v>29</v>
      </c>
    </row>
    <row r="4046" spans="1:6" x14ac:dyDescent="0.25">
      <c r="A4046" s="4" t="s">
        <v>83</v>
      </c>
      <c r="B4046" s="4" t="s">
        <v>4</v>
      </c>
      <c r="C4046" s="4" t="s">
        <v>34</v>
      </c>
      <c r="D4046" s="4">
        <v>2017</v>
      </c>
      <c r="E4046" s="4">
        <v>0</v>
      </c>
      <c r="F4046" s="4" t="s">
        <v>29</v>
      </c>
    </row>
    <row r="4047" spans="1:6" x14ac:dyDescent="0.25">
      <c r="A4047" s="4" t="s">
        <v>83</v>
      </c>
      <c r="B4047" s="4" t="s">
        <v>4</v>
      </c>
      <c r="C4047" s="4" t="s">
        <v>34</v>
      </c>
      <c r="D4047" s="4">
        <v>2018</v>
      </c>
      <c r="E4047" s="4">
        <v>0</v>
      </c>
      <c r="F4047" s="4" t="s">
        <v>29</v>
      </c>
    </row>
    <row r="4048" spans="1:6" x14ac:dyDescent="0.25">
      <c r="A4048" s="4" t="s">
        <v>83</v>
      </c>
      <c r="B4048" s="4" t="s">
        <v>4</v>
      </c>
      <c r="C4048" s="4" t="s">
        <v>34</v>
      </c>
      <c r="D4048" s="4">
        <v>2019</v>
      </c>
      <c r="E4048" s="4">
        <v>0</v>
      </c>
      <c r="F4048" s="4" t="s">
        <v>29</v>
      </c>
    </row>
    <row r="4049" spans="1:6" x14ac:dyDescent="0.25">
      <c r="A4049" s="4" t="s">
        <v>83</v>
      </c>
      <c r="B4049" s="4" t="s">
        <v>4</v>
      </c>
      <c r="C4049" s="4" t="s">
        <v>34</v>
      </c>
      <c r="D4049" s="4">
        <v>2020</v>
      </c>
      <c r="E4049" s="4">
        <v>0</v>
      </c>
      <c r="F4049" s="4" t="s">
        <v>29</v>
      </c>
    </row>
    <row r="4050" spans="1:6" x14ac:dyDescent="0.25">
      <c r="A4050" s="4" t="s">
        <v>83</v>
      </c>
      <c r="B4050" s="4" t="s">
        <v>4</v>
      </c>
      <c r="C4050" s="4" t="s">
        <v>34</v>
      </c>
      <c r="D4050" s="4">
        <v>2021</v>
      </c>
      <c r="E4050" s="4">
        <v>0</v>
      </c>
      <c r="F4050" s="4" t="s">
        <v>29</v>
      </c>
    </row>
    <row r="4051" spans="1:6" x14ac:dyDescent="0.25">
      <c r="A4051" s="4" t="s">
        <v>83</v>
      </c>
      <c r="B4051" s="4" t="s">
        <v>4</v>
      </c>
      <c r="C4051" s="4" t="s">
        <v>34</v>
      </c>
      <c r="D4051" s="4">
        <v>2022</v>
      </c>
      <c r="E4051" s="4">
        <v>0</v>
      </c>
      <c r="F4051" s="4" t="s">
        <v>29</v>
      </c>
    </row>
    <row r="4052" spans="1:6" x14ac:dyDescent="0.25">
      <c r="A4052" s="4" t="s">
        <v>83</v>
      </c>
      <c r="B4052" s="4" t="s">
        <v>4</v>
      </c>
      <c r="C4052" s="4" t="s">
        <v>34</v>
      </c>
      <c r="D4052" s="4">
        <v>2023</v>
      </c>
      <c r="E4052" s="4">
        <v>0</v>
      </c>
      <c r="F4052" s="4" t="s">
        <v>29</v>
      </c>
    </row>
    <row r="4053" spans="1:6" x14ac:dyDescent="0.25">
      <c r="A4053" s="4" t="s">
        <v>83</v>
      </c>
      <c r="B4053" s="4" t="s">
        <v>4</v>
      </c>
      <c r="C4053" s="4" t="s">
        <v>34</v>
      </c>
      <c r="D4053" s="4">
        <v>2024</v>
      </c>
      <c r="E4053" s="4">
        <v>0</v>
      </c>
      <c r="F4053" s="4" t="s">
        <v>29</v>
      </c>
    </row>
    <row r="4054" spans="1:6" x14ac:dyDescent="0.25">
      <c r="A4054" s="4" t="s">
        <v>83</v>
      </c>
      <c r="B4054" s="4" t="s">
        <v>4</v>
      </c>
      <c r="C4054" s="4" t="s">
        <v>34</v>
      </c>
      <c r="D4054" s="4">
        <v>2025</v>
      </c>
      <c r="E4054" s="4">
        <v>0</v>
      </c>
      <c r="F4054" s="4" t="s">
        <v>29</v>
      </c>
    </row>
    <row r="4055" spans="1:6" x14ac:dyDescent="0.25">
      <c r="A4055" s="4" t="s">
        <v>83</v>
      </c>
      <c r="B4055" s="4" t="s">
        <v>4</v>
      </c>
      <c r="C4055" s="4" t="s">
        <v>34</v>
      </c>
      <c r="D4055" s="4">
        <v>2026</v>
      </c>
      <c r="E4055" s="4">
        <v>0</v>
      </c>
      <c r="F4055" s="4" t="s">
        <v>29</v>
      </c>
    </row>
    <row r="4056" spans="1:6" x14ac:dyDescent="0.25">
      <c r="A4056" s="4" t="s">
        <v>83</v>
      </c>
      <c r="B4056" s="4" t="s">
        <v>4</v>
      </c>
      <c r="C4056" s="4" t="s">
        <v>34</v>
      </c>
      <c r="D4056" s="4">
        <v>2027</v>
      </c>
      <c r="E4056" s="4">
        <v>0</v>
      </c>
      <c r="F4056" s="4" t="s">
        <v>29</v>
      </c>
    </row>
    <row r="4057" spans="1:6" x14ac:dyDescent="0.25">
      <c r="A4057" s="4" t="s">
        <v>83</v>
      </c>
      <c r="B4057" s="4" t="s">
        <v>4</v>
      </c>
      <c r="C4057" s="4" t="s">
        <v>34</v>
      </c>
      <c r="D4057" s="4">
        <v>2028</v>
      </c>
      <c r="E4057" s="4">
        <v>0</v>
      </c>
      <c r="F4057" s="4" t="s">
        <v>29</v>
      </c>
    </row>
    <row r="4058" spans="1:6" x14ac:dyDescent="0.25">
      <c r="A4058" s="4" t="s">
        <v>83</v>
      </c>
      <c r="B4058" s="4" t="s">
        <v>4</v>
      </c>
      <c r="C4058" s="4" t="s">
        <v>34</v>
      </c>
      <c r="D4058" s="4">
        <v>2029</v>
      </c>
      <c r="E4058" s="4">
        <v>0</v>
      </c>
      <c r="F4058" s="4" t="s">
        <v>29</v>
      </c>
    </row>
    <row r="4059" spans="1:6" x14ac:dyDescent="0.25">
      <c r="A4059" s="4" t="s">
        <v>83</v>
      </c>
      <c r="B4059" s="4" t="s">
        <v>4</v>
      </c>
      <c r="C4059" s="4" t="s">
        <v>34</v>
      </c>
      <c r="D4059" s="4">
        <v>2030</v>
      </c>
      <c r="E4059" s="4">
        <v>0</v>
      </c>
      <c r="F4059" s="4" t="s">
        <v>29</v>
      </c>
    </row>
    <row r="4060" spans="1:6" x14ac:dyDescent="0.25">
      <c r="A4060" s="4" t="s">
        <v>83</v>
      </c>
      <c r="B4060" s="4" t="s">
        <v>4</v>
      </c>
      <c r="C4060" s="4" t="s">
        <v>34</v>
      </c>
      <c r="D4060" s="4">
        <v>2031</v>
      </c>
      <c r="E4060" s="4">
        <v>0</v>
      </c>
      <c r="F4060" s="4" t="s">
        <v>29</v>
      </c>
    </row>
    <row r="4061" spans="1:6" x14ac:dyDescent="0.25">
      <c r="A4061" s="4" t="s">
        <v>83</v>
      </c>
      <c r="B4061" s="4" t="s">
        <v>4</v>
      </c>
      <c r="C4061" s="4" t="s">
        <v>34</v>
      </c>
      <c r="D4061" s="4">
        <v>2032</v>
      </c>
      <c r="E4061" s="4">
        <v>0</v>
      </c>
      <c r="F4061" s="4" t="s">
        <v>29</v>
      </c>
    </row>
    <row r="4062" spans="1:6" x14ac:dyDescent="0.25">
      <c r="A4062" s="4" t="s">
        <v>83</v>
      </c>
      <c r="B4062" s="4" t="s">
        <v>4</v>
      </c>
      <c r="C4062" s="4" t="s">
        <v>34</v>
      </c>
      <c r="D4062" s="4">
        <v>2033</v>
      </c>
      <c r="E4062" s="4">
        <v>0</v>
      </c>
      <c r="F4062" s="4" t="s">
        <v>29</v>
      </c>
    </row>
    <row r="4063" spans="1:6" x14ac:dyDescent="0.25">
      <c r="A4063" s="4" t="s">
        <v>83</v>
      </c>
      <c r="B4063" s="4" t="s">
        <v>4</v>
      </c>
      <c r="C4063" s="4" t="s">
        <v>34</v>
      </c>
      <c r="D4063" s="4">
        <v>2034</v>
      </c>
      <c r="E4063" s="4">
        <v>0</v>
      </c>
      <c r="F4063" s="4" t="s">
        <v>29</v>
      </c>
    </row>
    <row r="4064" spans="1:6" x14ac:dyDescent="0.25">
      <c r="A4064" s="4" t="s">
        <v>83</v>
      </c>
      <c r="B4064" s="4" t="s">
        <v>4</v>
      </c>
      <c r="C4064" s="4" t="s">
        <v>34</v>
      </c>
      <c r="D4064" s="4">
        <v>2035</v>
      </c>
      <c r="E4064" s="4">
        <v>0</v>
      </c>
      <c r="F4064" s="4" t="s">
        <v>29</v>
      </c>
    </row>
    <row r="4065" spans="1:6" x14ac:dyDescent="0.25">
      <c r="A4065" s="4" t="s">
        <v>83</v>
      </c>
      <c r="B4065" s="4" t="s">
        <v>4</v>
      </c>
      <c r="C4065" s="4" t="s">
        <v>34</v>
      </c>
      <c r="D4065" s="4">
        <v>2036</v>
      </c>
      <c r="E4065" s="4">
        <v>0</v>
      </c>
      <c r="F4065" s="4" t="s">
        <v>29</v>
      </c>
    </row>
    <row r="4066" spans="1:6" x14ac:dyDescent="0.25">
      <c r="A4066" s="4" t="s">
        <v>83</v>
      </c>
      <c r="B4066" s="4" t="s">
        <v>4</v>
      </c>
      <c r="C4066" s="4" t="s">
        <v>34</v>
      </c>
      <c r="D4066" s="4">
        <v>2037</v>
      </c>
      <c r="E4066" s="4">
        <v>0</v>
      </c>
      <c r="F4066" s="4" t="s">
        <v>29</v>
      </c>
    </row>
    <row r="4067" spans="1:6" x14ac:dyDescent="0.25">
      <c r="A4067" s="4" t="s">
        <v>83</v>
      </c>
      <c r="B4067" s="4" t="s">
        <v>4</v>
      </c>
      <c r="C4067" s="4" t="s">
        <v>34</v>
      </c>
      <c r="D4067" s="4">
        <v>2038</v>
      </c>
      <c r="E4067" s="4">
        <v>0</v>
      </c>
      <c r="F4067" s="4" t="s">
        <v>29</v>
      </c>
    </row>
    <row r="4068" spans="1:6" x14ac:dyDescent="0.25">
      <c r="A4068" s="4" t="s">
        <v>83</v>
      </c>
      <c r="B4068" s="4" t="s">
        <v>4</v>
      </c>
      <c r="C4068" s="4" t="s">
        <v>34</v>
      </c>
      <c r="D4068" s="4">
        <v>2039</v>
      </c>
      <c r="E4068" s="4">
        <v>0</v>
      </c>
      <c r="F4068" s="4" t="s">
        <v>29</v>
      </c>
    </row>
    <row r="4069" spans="1:6" x14ac:dyDescent="0.25">
      <c r="A4069" s="4" t="s">
        <v>83</v>
      </c>
      <c r="B4069" s="4" t="s">
        <v>4</v>
      </c>
      <c r="C4069" s="4" t="s">
        <v>34</v>
      </c>
      <c r="D4069" s="4">
        <v>2040</v>
      </c>
      <c r="E4069" s="4">
        <v>0</v>
      </c>
      <c r="F4069" s="4" t="s">
        <v>29</v>
      </c>
    </row>
    <row r="4070" spans="1:6" x14ac:dyDescent="0.25">
      <c r="A4070" s="4" t="s">
        <v>83</v>
      </c>
      <c r="B4070" s="4" t="s">
        <v>5</v>
      </c>
      <c r="C4070" s="4" t="s">
        <v>34</v>
      </c>
      <c r="D4070" s="4">
        <v>2005</v>
      </c>
      <c r="E4070" s="4">
        <v>0</v>
      </c>
      <c r="F4070" s="4" t="s">
        <v>29</v>
      </c>
    </row>
    <row r="4071" spans="1:6" x14ac:dyDescent="0.25">
      <c r="A4071" s="4" t="s">
        <v>83</v>
      </c>
      <c r="B4071" s="4" t="s">
        <v>5</v>
      </c>
      <c r="C4071" s="4" t="s">
        <v>34</v>
      </c>
      <c r="D4071" s="4">
        <v>2006</v>
      </c>
      <c r="E4071" s="4">
        <v>0</v>
      </c>
      <c r="F4071" s="4" t="s">
        <v>29</v>
      </c>
    </row>
    <row r="4072" spans="1:6" x14ac:dyDescent="0.25">
      <c r="A4072" s="4" t="s">
        <v>83</v>
      </c>
      <c r="B4072" s="4" t="s">
        <v>5</v>
      </c>
      <c r="C4072" s="4" t="s">
        <v>34</v>
      </c>
      <c r="D4072" s="4">
        <v>2007</v>
      </c>
      <c r="E4072" s="4">
        <v>0</v>
      </c>
      <c r="F4072" s="4" t="s">
        <v>29</v>
      </c>
    </row>
    <row r="4073" spans="1:6" x14ac:dyDescent="0.25">
      <c r="A4073" s="4" t="s">
        <v>83</v>
      </c>
      <c r="B4073" s="4" t="s">
        <v>5</v>
      </c>
      <c r="C4073" s="4" t="s">
        <v>34</v>
      </c>
      <c r="D4073" s="4">
        <v>2008</v>
      </c>
      <c r="E4073" s="4">
        <v>0</v>
      </c>
      <c r="F4073" s="4" t="s">
        <v>29</v>
      </c>
    </row>
    <row r="4074" spans="1:6" x14ac:dyDescent="0.25">
      <c r="A4074" s="4" t="s">
        <v>83</v>
      </c>
      <c r="B4074" s="4" t="s">
        <v>5</v>
      </c>
      <c r="C4074" s="4" t="s">
        <v>34</v>
      </c>
      <c r="D4074" s="4">
        <v>2009</v>
      </c>
      <c r="E4074" s="4">
        <v>0</v>
      </c>
      <c r="F4074" s="4" t="s">
        <v>29</v>
      </c>
    </row>
    <row r="4075" spans="1:6" x14ac:dyDescent="0.25">
      <c r="A4075" s="4" t="s">
        <v>83</v>
      </c>
      <c r="B4075" s="4" t="s">
        <v>5</v>
      </c>
      <c r="C4075" s="4" t="s">
        <v>34</v>
      </c>
      <c r="D4075" s="4">
        <v>2010</v>
      </c>
      <c r="E4075" s="4">
        <v>0</v>
      </c>
      <c r="F4075" s="4" t="s">
        <v>29</v>
      </c>
    </row>
    <row r="4076" spans="1:6" x14ac:dyDescent="0.25">
      <c r="A4076" s="4" t="s">
        <v>83</v>
      </c>
      <c r="B4076" s="4" t="s">
        <v>5</v>
      </c>
      <c r="C4076" s="4" t="s">
        <v>34</v>
      </c>
      <c r="D4076" s="4">
        <v>2011</v>
      </c>
      <c r="E4076" s="4">
        <v>0</v>
      </c>
      <c r="F4076" s="4" t="s">
        <v>29</v>
      </c>
    </row>
    <row r="4077" spans="1:6" x14ac:dyDescent="0.25">
      <c r="A4077" s="4" t="s">
        <v>83</v>
      </c>
      <c r="B4077" s="4" t="s">
        <v>5</v>
      </c>
      <c r="C4077" s="4" t="s">
        <v>34</v>
      </c>
      <c r="D4077" s="4">
        <v>2012</v>
      </c>
      <c r="E4077" s="4">
        <v>0</v>
      </c>
      <c r="F4077" s="4" t="s">
        <v>29</v>
      </c>
    </row>
    <row r="4078" spans="1:6" x14ac:dyDescent="0.25">
      <c r="A4078" s="4" t="s">
        <v>83</v>
      </c>
      <c r="B4078" s="4" t="s">
        <v>5</v>
      </c>
      <c r="C4078" s="4" t="s">
        <v>34</v>
      </c>
      <c r="D4078" s="4">
        <v>2013</v>
      </c>
      <c r="E4078" s="4">
        <v>0</v>
      </c>
      <c r="F4078" s="4" t="s">
        <v>29</v>
      </c>
    </row>
    <row r="4079" spans="1:6" x14ac:dyDescent="0.25">
      <c r="A4079" s="4" t="s">
        <v>83</v>
      </c>
      <c r="B4079" s="4" t="s">
        <v>5</v>
      </c>
      <c r="C4079" s="4" t="s">
        <v>34</v>
      </c>
      <c r="D4079" s="4">
        <v>2014</v>
      </c>
      <c r="E4079" s="4">
        <v>0</v>
      </c>
      <c r="F4079" s="4" t="s">
        <v>29</v>
      </c>
    </row>
    <row r="4080" spans="1:6" x14ac:dyDescent="0.25">
      <c r="A4080" s="4" t="s">
        <v>83</v>
      </c>
      <c r="B4080" s="4" t="s">
        <v>5</v>
      </c>
      <c r="C4080" s="4" t="s">
        <v>34</v>
      </c>
      <c r="D4080" s="4">
        <v>2015</v>
      </c>
      <c r="E4080" s="4">
        <v>0</v>
      </c>
      <c r="F4080" s="4" t="s">
        <v>29</v>
      </c>
    </row>
    <row r="4081" spans="1:6" x14ac:dyDescent="0.25">
      <c r="A4081" s="4" t="s">
        <v>83</v>
      </c>
      <c r="B4081" s="4" t="s">
        <v>5</v>
      </c>
      <c r="C4081" s="4" t="s">
        <v>34</v>
      </c>
      <c r="D4081" s="4">
        <v>2016</v>
      </c>
      <c r="E4081" s="4">
        <v>0</v>
      </c>
      <c r="F4081" s="4" t="s">
        <v>29</v>
      </c>
    </row>
    <row r="4082" spans="1:6" x14ac:dyDescent="0.25">
      <c r="A4082" s="4" t="s">
        <v>83</v>
      </c>
      <c r="B4082" s="4" t="s">
        <v>5</v>
      </c>
      <c r="C4082" s="4" t="s">
        <v>34</v>
      </c>
      <c r="D4082" s="4">
        <v>2017</v>
      </c>
      <c r="E4082" s="4">
        <v>0</v>
      </c>
      <c r="F4082" s="4" t="s">
        <v>29</v>
      </c>
    </row>
    <row r="4083" spans="1:6" x14ac:dyDescent="0.25">
      <c r="A4083" s="4" t="s">
        <v>83</v>
      </c>
      <c r="B4083" s="4" t="s">
        <v>5</v>
      </c>
      <c r="C4083" s="4" t="s">
        <v>34</v>
      </c>
      <c r="D4083" s="4">
        <v>2018</v>
      </c>
      <c r="E4083" s="4">
        <v>0</v>
      </c>
      <c r="F4083" s="4" t="s">
        <v>29</v>
      </c>
    </row>
    <row r="4084" spans="1:6" x14ac:dyDescent="0.25">
      <c r="A4084" s="4" t="s">
        <v>83</v>
      </c>
      <c r="B4084" s="4" t="s">
        <v>5</v>
      </c>
      <c r="C4084" s="4" t="s">
        <v>34</v>
      </c>
      <c r="D4084" s="4">
        <v>2019</v>
      </c>
      <c r="E4084" s="4">
        <v>0</v>
      </c>
      <c r="F4084" s="4" t="s">
        <v>29</v>
      </c>
    </row>
    <row r="4085" spans="1:6" x14ac:dyDescent="0.25">
      <c r="A4085" s="4" t="s">
        <v>83</v>
      </c>
      <c r="B4085" s="4" t="s">
        <v>5</v>
      </c>
      <c r="C4085" s="4" t="s">
        <v>34</v>
      </c>
      <c r="D4085" s="4">
        <v>2020</v>
      </c>
      <c r="E4085" s="4">
        <v>0</v>
      </c>
      <c r="F4085" s="4" t="s">
        <v>29</v>
      </c>
    </row>
    <row r="4086" spans="1:6" x14ac:dyDescent="0.25">
      <c r="A4086" s="4" t="s">
        <v>83</v>
      </c>
      <c r="B4086" s="4" t="s">
        <v>5</v>
      </c>
      <c r="C4086" s="4" t="s">
        <v>34</v>
      </c>
      <c r="D4086" s="4">
        <v>2021</v>
      </c>
      <c r="E4086" s="4">
        <v>0</v>
      </c>
      <c r="F4086" s="4" t="s">
        <v>29</v>
      </c>
    </row>
    <row r="4087" spans="1:6" x14ac:dyDescent="0.25">
      <c r="A4087" s="4" t="s">
        <v>83</v>
      </c>
      <c r="B4087" s="4" t="s">
        <v>5</v>
      </c>
      <c r="C4087" s="4" t="s">
        <v>34</v>
      </c>
      <c r="D4087" s="4">
        <v>2022</v>
      </c>
      <c r="E4087" s="4">
        <v>0</v>
      </c>
      <c r="F4087" s="4" t="s">
        <v>29</v>
      </c>
    </row>
    <row r="4088" spans="1:6" x14ac:dyDescent="0.25">
      <c r="A4088" s="4" t="s">
        <v>83</v>
      </c>
      <c r="B4088" s="4" t="s">
        <v>5</v>
      </c>
      <c r="C4088" s="4" t="s">
        <v>34</v>
      </c>
      <c r="D4088" s="4">
        <v>2023</v>
      </c>
      <c r="E4088" s="4">
        <v>0</v>
      </c>
      <c r="F4088" s="4" t="s">
        <v>29</v>
      </c>
    </row>
    <row r="4089" spans="1:6" x14ac:dyDescent="0.25">
      <c r="A4089" s="4" t="s">
        <v>83</v>
      </c>
      <c r="B4089" s="4" t="s">
        <v>5</v>
      </c>
      <c r="C4089" s="4" t="s">
        <v>34</v>
      </c>
      <c r="D4089" s="4">
        <v>2024</v>
      </c>
      <c r="E4089" s="4">
        <v>0</v>
      </c>
      <c r="F4089" s="4" t="s">
        <v>29</v>
      </c>
    </row>
    <row r="4090" spans="1:6" x14ac:dyDescent="0.25">
      <c r="A4090" s="4" t="s">
        <v>83</v>
      </c>
      <c r="B4090" s="4" t="s">
        <v>5</v>
      </c>
      <c r="C4090" s="4" t="s">
        <v>34</v>
      </c>
      <c r="D4090" s="4">
        <v>2025</v>
      </c>
      <c r="E4090" s="4">
        <v>0</v>
      </c>
      <c r="F4090" s="4" t="s">
        <v>29</v>
      </c>
    </row>
    <row r="4091" spans="1:6" x14ac:dyDescent="0.25">
      <c r="A4091" s="4" t="s">
        <v>83</v>
      </c>
      <c r="B4091" s="4" t="s">
        <v>5</v>
      </c>
      <c r="C4091" s="4" t="s">
        <v>34</v>
      </c>
      <c r="D4091" s="4">
        <v>2026</v>
      </c>
      <c r="E4091" s="4">
        <v>0</v>
      </c>
      <c r="F4091" s="4" t="s">
        <v>29</v>
      </c>
    </row>
    <row r="4092" spans="1:6" x14ac:dyDescent="0.25">
      <c r="A4092" s="4" t="s">
        <v>83</v>
      </c>
      <c r="B4092" s="4" t="s">
        <v>5</v>
      </c>
      <c r="C4092" s="4" t="s">
        <v>34</v>
      </c>
      <c r="D4092" s="4">
        <v>2027</v>
      </c>
      <c r="E4092" s="4">
        <v>0</v>
      </c>
      <c r="F4092" s="4" t="s">
        <v>29</v>
      </c>
    </row>
    <row r="4093" spans="1:6" x14ac:dyDescent="0.25">
      <c r="A4093" s="4" t="s">
        <v>83</v>
      </c>
      <c r="B4093" s="4" t="s">
        <v>5</v>
      </c>
      <c r="C4093" s="4" t="s">
        <v>34</v>
      </c>
      <c r="D4093" s="4">
        <v>2028</v>
      </c>
      <c r="E4093" s="4">
        <v>0</v>
      </c>
      <c r="F4093" s="4" t="s">
        <v>29</v>
      </c>
    </row>
    <row r="4094" spans="1:6" x14ac:dyDescent="0.25">
      <c r="A4094" s="4" t="s">
        <v>83</v>
      </c>
      <c r="B4094" s="4" t="s">
        <v>5</v>
      </c>
      <c r="C4094" s="4" t="s">
        <v>34</v>
      </c>
      <c r="D4094" s="4">
        <v>2029</v>
      </c>
      <c r="E4094" s="4">
        <v>0</v>
      </c>
      <c r="F4094" s="4" t="s">
        <v>29</v>
      </c>
    </row>
    <row r="4095" spans="1:6" x14ac:dyDescent="0.25">
      <c r="A4095" s="4" t="s">
        <v>83</v>
      </c>
      <c r="B4095" s="4" t="s">
        <v>5</v>
      </c>
      <c r="C4095" s="4" t="s">
        <v>34</v>
      </c>
      <c r="D4095" s="4">
        <v>2030</v>
      </c>
      <c r="E4095" s="4">
        <v>0</v>
      </c>
      <c r="F4095" s="4" t="s">
        <v>29</v>
      </c>
    </row>
    <row r="4096" spans="1:6" x14ac:dyDescent="0.25">
      <c r="A4096" s="4" t="s">
        <v>83</v>
      </c>
      <c r="B4096" s="4" t="s">
        <v>5</v>
      </c>
      <c r="C4096" s="4" t="s">
        <v>34</v>
      </c>
      <c r="D4096" s="4">
        <v>2031</v>
      </c>
      <c r="E4096" s="4">
        <v>0</v>
      </c>
      <c r="F4096" s="4" t="s">
        <v>29</v>
      </c>
    </row>
    <row r="4097" spans="1:6" x14ac:dyDescent="0.25">
      <c r="A4097" s="4" t="s">
        <v>83</v>
      </c>
      <c r="B4097" s="4" t="s">
        <v>5</v>
      </c>
      <c r="C4097" s="4" t="s">
        <v>34</v>
      </c>
      <c r="D4097" s="4">
        <v>2032</v>
      </c>
      <c r="E4097" s="4">
        <v>0</v>
      </c>
      <c r="F4097" s="4" t="s">
        <v>29</v>
      </c>
    </row>
    <row r="4098" spans="1:6" x14ac:dyDescent="0.25">
      <c r="A4098" s="4" t="s">
        <v>83</v>
      </c>
      <c r="B4098" s="4" t="s">
        <v>5</v>
      </c>
      <c r="C4098" s="4" t="s">
        <v>34</v>
      </c>
      <c r="D4098" s="4">
        <v>2033</v>
      </c>
      <c r="E4098" s="4">
        <v>0</v>
      </c>
      <c r="F4098" s="4" t="s">
        <v>29</v>
      </c>
    </row>
    <row r="4099" spans="1:6" x14ac:dyDescent="0.25">
      <c r="A4099" s="4" t="s">
        <v>83</v>
      </c>
      <c r="B4099" s="4" t="s">
        <v>5</v>
      </c>
      <c r="C4099" s="4" t="s">
        <v>34</v>
      </c>
      <c r="D4099" s="4">
        <v>2034</v>
      </c>
      <c r="E4099" s="4">
        <v>0</v>
      </c>
      <c r="F4099" s="4" t="s">
        <v>29</v>
      </c>
    </row>
    <row r="4100" spans="1:6" x14ac:dyDescent="0.25">
      <c r="A4100" s="4" t="s">
        <v>83</v>
      </c>
      <c r="B4100" s="4" t="s">
        <v>5</v>
      </c>
      <c r="C4100" s="4" t="s">
        <v>34</v>
      </c>
      <c r="D4100" s="4">
        <v>2035</v>
      </c>
      <c r="E4100" s="4">
        <v>0</v>
      </c>
      <c r="F4100" s="4" t="s">
        <v>29</v>
      </c>
    </row>
    <row r="4101" spans="1:6" x14ac:dyDescent="0.25">
      <c r="A4101" s="4" t="s">
        <v>83</v>
      </c>
      <c r="B4101" s="4" t="s">
        <v>5</v>
      </c>
      <c r="C4101" s="4" t="s">
        <v>34</v>
      </c>
      <c r="D4101" s="4">
        <v>2036</v>
      </c>
      <c r="E4101" s="4">
        <v>0</v>
      </c>
      <c r="F4101" s="4" t="s">
        <v>29</v>
      </c>
    </row>
    <row r="4102" spans="1:6" x14ac:dyDescent="0.25">
      <c r="A4102" s="4" t="s">
        <v>83</v>
      </c>
      <c r="B4102" s="4" t="s">
        <v>5</v>
      </c>
      <c r="C4102" s="4" t="s">
        <v>34</v>
      </c>
      <c r="D4102" s="4">
        <v>2037</v>
      </c>
      <c r="E4102" s="4">
        <v>0</v>
      </c>
      <c r="F4102" s="4" t="s">
        <v>29</v>
      </c>
    </row>
    <row r="4103" spans="1:6" x14ac:dyDescent="0.25">
      <c r="A4103" s="4" t="s">
        <v>83</v>
      </c>
      <c r="B4103" s="4" t="s">
        <v>5</v>
      </c>
      <c r="C4103" s="4" t="s">
        <v>34</v>
      </c>
      <c r="D4103" s="4">
        <v>2038</v>
      </c>
      <c r="E4103" s="4">
        <v>0</v>
      </c>
      <c r="F4103" s="4" t="s">
        <v>29</v>
      </c>
    </row>
    <row r="4104" spans="1:6" x14ac:dyDescent="0.25">
      <c r="A4104" s="4" t="s">
        <v>83</v>
      </c>
      <c r="B4104" s="4" t="s">
        <v>5</v>
      </c>
      <c r="C4104" s="4" t="s">
        <v>34</v>
      </c>
      <c r="D4104" s="4">
        <v>2039</v>
      </c>
      <c r="E4104" s="4">
        <v>0</v>
      </c>
      <c r="F4104" s="4" t="s">
        <v>29</v>
      </c>
    </row>
    <row r="4105" spans="1:6" x14ac:dyDescent="0.25">
      <c r="A4105" s="4" t="s">
        <v>83</v>
      </c>
      <c r="B4105" s="4" t="s">
        <v>5</v>
      </c>
      <c r="C4105" s="4" t="s">
        <v>34</v>
      </c>
      <c r="D4105" s="4">
        <v>2040</v>
      </c>
      <c r="E4105" s="4">
        <v>0</v>
      </c>
      <c r="F4105" s="4" t="s">
        <v>29</v>
      </c>
    </row>
    <row r="4106" spans="1:6" x14ac:dyDescent="0.25">
      <c r="A4106" s="4" t="s">
        <v>83</v>
      </c>
      <c r="B4106" s="4" t="s">
        <v>6</v>
      </c>
      <c r="C4106" s="4" t="s">
        <v>34</v>
      </c>
      <c r="D4106" s="4">
        <v>2005</v>
      </c>
      <c r="E4106" s="4">
        <v>0</v>
      </c>
      <c r="F4106" s="4" t="s">
        <v>29</v>
      </c>
    </row>
    <row r="4107" spans="1:6" x14ac:dyDescent="0.25">
      <c r="A4107" s="4" t="s">
        <v>83</v>
      </c>
      <c r="B4107" s="4" t="s">
        <v>6</v>
      </c>
      <c r="C4107" s="4" t="s">
        <v>34</v>
      </c>
      <c r="D4107" s="4">
        <v>2006</v>
      </c>
      <c r="E4107" s="4">
        <v>0</v>
      </c>
      <c r="F4107" s="4" t="s">
        <v>29</v>
      </c>
    </row>
    <row r="4108" spans="1:6" x14ac:dyDescent="0.25">
      <c r="A4108" s="4" t="s">
        <v>83</v>
      </c>
      <c r="B4108" s="4" t="s">
        <v>6</v>
      </c>
      <c r="C4108" s="4" t="s">
        <v>34</v>
      </c>
      <c r="D4108" s="4">
        <v>2007</v>
      </c>
      <c r="E4108" s="4">
        <v>0</v>
      </c>
      <c r="F4108" s="4" t="s">
        <v>29</v>
      </c>
    </row>
    <row r="4109" spans="1:6" x14ac:dyDescent="0.25">
      <c r="A4109" s="4" t="s">
        <v>83</v>
      </c>
      <c r="B4109" s="4" t="s">
        <v>6</v>
      </c>
      <c r="C4109" s="4" t="s">
        <v>34</v>
      </c>
      <c r="D4109" s="4">
        <v>2008</v>
      </c>
      <c r="E4109" s="4">
        <v>0</v>
      </c>
      <c r="F4109" s="4" t="s">
        <v>29</v>
      </c>
    </row>
    <row r="4110" spans="1:6" x14ac:dyDescent="0.25">
      <c r="A4110" s="4" t="s">
        <v>83</v>
      </c>
      <c r="B4110" s="4" t="s">
        <v>6</v>
      </c>
      <c r="C4110" s="4" t="s">
        <v>34</v>
      </c>
      <c r="D4110" s="4">
        <v>2009</v>
      </c>
      <c r="E4110" s="4">
        <v>0</v>
      </c>
      <c r="F4110" s="4" t="s">
        <v>29</v>
      </c>
    </row>
    <row r="4111" spans="1:6" x14ac:dyDescent="0.25">
      <c r="A4111" s="4" t="s">
        <v>83</v>
      </c>
      <c r="B4111" s="4" t="s">
        <v>6</v>
      </c>
      <c r="C4111" s="4" t="s">
        <v>34</v>
      </c>
      <c r="D4111" s="4">
        <v>2010</v>
      </c>
      <c r="E4111" s="4">
        <v>0</v>
      </c>
      <c r="F4111" s="4" t="s">
        <v>29</v>
      </c>
    </row>
    <row r="4112" spans="1:6" x14ac:dyDescent="0.25">
      <c r="A4112" s="4" t="s">
        <v>83</v>
      </c>
      <c r="B4112" s="4" t="s">
        <v>6</v>
      </c>
      <c r="C4112" s="4" t="s">
        <v>34</v>
      </c>
      <c r="D4112" s="4">
        <v>2011</v>
      </c>
      <c r="E4112" s="4">
        <v>0</v>
      </c>
      <c r="F4112" s="4" t="s">
        <v>29</v>
      </c>
    </row>
    <row r="4113" spans="1:6" x14ac:dyDescent="0.25">
      <c r="A4113" s="4" t="s">
        <v>83</v>
      </c>
      <c r="B4113" s="4" t="s">
        <v>6</v>
      </c>
      <c r="C4113" s="4" t="s">
        <v>34</v>
      </c>
      <c r="D4113" s="4">
        <v>2012</v>
      </c>
      <c r="E4113" s="4">
        <v>0</v>
      </c>
      <c r="F4113" s="4" t="s">
        <v>29</v>
      </c>
    </row>
    <row r="4114" spans="1:6" x14ac:dyDescent="0.25">
      <c r="A4114" s="4" t="s">
        <v>83</v>
      </c>
      <c r="B4114" s="4" t="s">
        <v>6</v>
      </c>
      <c r="C4114" s="4" t="s">
        <v>34</v>
      </c>
      <c r="D4114" s="4">
        <v>2013</v>
      </c>
      <c r="E4114" s="4">
        <v>0</v>
      </c>
      <c r="F4114" s="4" t="s">
        <v>29</v>
      </c>
    </row>
    <row r="4115" spans="1:6" x14ac:dyDescent="0.25">
      <c r="A4115" s="4" t="s">
        <v>83</v>
      </c>
      <c r="B4115" s="4" t="s">
        <v>6</v>
      </c>
      <c r="C4115" s="4" t="s">
        <v>34</v>
      </c>
      <c r="D4115" s="4">
        <v>2014</v>
      </c>
      <c r="E4115" s="4">
        <v>0</v>
      </c>
      <c r="F4115" s="4" t="s">
        <v>29</v>
      </c>
    </row>
    <row r="4116" spans="1:6" x14ac:dyDescent="0.25">
      <c r="A4116" s="4" t="s">
        <v>83</v>
      </c>
      <c r="B4116" s="4" t="s">
        <v>6</v>
      </c>
      <c r="C4116" s="4" t="s">
        <v>34</v>
      </c>
      <c r="D4116" s="4">
        <v>2015</v>
      </c>
      <c r="E4116" s="4">
        <v>0</v>
      </c>
      <c r="F4116" s="4" t="s">
        <v>29</v>
      </c>
    </row>
    <row r="4117" spans="1:6" x14ac:dyDescent="0.25">
      <c r="A4117" s="4" t="s">
        <v>83</v>
      </c>
      <c r="B4117" s="4" t="s">
        <v>6</v>
      </c>
      <c r="C4117" s="4" t="s">
        <v>34</v>
      </c>
      <c r="D4117" s="4">
        <v>2016</v>
      </c>
      <c r="E4117" s="4">
        <v>0</v>
      </c>
      <c r="F4117" s="4" t="s">
        <v>29</v>
      </c>
    </row>
    <row r="4118" spans="1:6" x14ac:dyDescent="0.25">
      <c r="A4118" s="4" t="s">
        <v>83</v>
      </c>
      <c r="B4118" s="4" t="s">
        <v>6</v>
      </c>
      <c r="C4118" s="4" t="s">
        <v>34</v>
      </c>
      <c r="D4118" s="4">
        <v>2017</v>
      </c>
      <c r="E4118" s="4">
        <v>0</v>
      </c>
      <c r="F4118" s="4" t="s">
        <v>29</v>
      </c>
    </row>
    <row r="4119" spans="1:6" x14ac:dyDescent="0.25">
      <c r="A4119" s="4" t="s">
        <v>83</v>
      </c>
      <c r="B4119" s="4" t="s">
        <v>6</v>
      </c>
      <c r="C4119" s="4" t="s">
        <v>34</v>
      </c>
      <c r="D4119" s="4">
        <v>2018</v>
      </c>
      <c r="E4119" s="4">
        <v>0</v>
      </c>
      <c r="F4119" s="4" t="s">
        <v>29</v>
      </c>
    </row>
    <row r="4120" spans="1:6" x14ac:dyDescent="0.25">
      <c r="A4120" s="4" t="s">
        <v>83</v>
      </c>
      <c r="B4120" s="4" t="s">
        <v>6</v>
      </c>
      <c r="C4120" s="4" t="s">
        <v>34</v>
      </c>
      <c r="D4120" s="4">
        <v>2019</v>
      </c>
      <c r="E4120" s="4">
        <v>0</v>
      </c>
      <c r="F4120" s="4" t="s">
        <v>29</v>
      </c>
    </row>
    <row r="4121" spans="1:6" x14ac:dyDescent="0.25">
      <c r="A4121" s="4" t="s">
        <v>83</v>
      </c>
      <c r="B4121" s="4" t="s">
        <v>6</v>
      </c>
      <c r="C4121" s="4" t="s">
        <v>34</v>
      </c>
      <c r="D4121" s="4">
        <v>2020</v>
      </c>
      <c r="E4121" s="4">
        <v>0</v>
      </c>
      <c r="F4121" s="4" t="s">
        <v>29</v>
      </c>
    </row>
    <row r="4122" spans="1:6" x14ac:dyDescent="0.25">
      <c r="A4122" s="4" t="s">
        <v>83</v>
      </c>
      <c r="B4122" s="4" t="s">
        <v>6</v>
      </c>
      <c r="C4122" s="4" t="s">
        <v>34</v>
      </c>
      <c r="D4122" s="4">
        <v>2021</v>
      </c>
      <c r="E4122" s="4">
        <v>0</v>
      </c>
      <c r="F4122" s="4" t="s">
        <v>29</v>
      </c>
    </row>
    <row r="4123" spans="1:6" x14ac:dyDescent="0.25">
      <c r="A4123" s="4" t="s">
        <v>83</v>
      </c>
      <c r="B4123" s="4" t="s">
        <v>6</v>
      </c>
      <c r="C4123" s="4" t="s">
        <v>34</v>
      </c>
      <c r="D4123" s="4">
        <v>2022</v>
      </c>
      <c r="E4123" s="4">
        <v>0</v>
      </c>
      <c r="F4123" s="4" t="s">
        <v>29</v>
      </c>
    </row>
    <row r="4124" spans="1:6" x14ac:dyDescent="0.25">
      <c r="A4124" s="4" t="s">
        <v>83</v>
      </c>
      <c r="B4124" s="4" t="s">
        <v>6</v>
      </c>
      <c r="C4124" s="4" t="s">
        <v>34</v>
      </c>
      <c r="D4124" s="4">
        <v>2023</v>
      </c>
      <c r="E4124" s="4">
        <v>0</v>
      </c>
      <c r="F4124" s="4" t="s">
        <v>29</v>
      </c>
    </row>
    <row r="4125" spans="1:6" x14ac:dyDescent="0.25">
      <c r="A4125" s="4" t="s">
        <v>83</v>
      </c>
      <c r="B4125" s="4" t="s">
        <v>6</v>
      </c>
      <c r="C4125" s="4" t="s">
        <v>34</v>
      </c>
      <c r="D4125" s="4">
        <v>2024</v>
      </c>
      <c r="E4125" s="4">
        <v>0</v>
      </c>
      <c r="F4125" s="4" t="s">
        <v>29</v>
      </c>
    </row>
    <row r="4126" spans="1:6" x14ac:dyDescent="0.25">
      <c r="A4126" s="4" t="s">
        <v>83</v>
      </c>
      <c r="B4126" s="4" t="s">
        <v>6</v>
      </c>
      <c r="C4126" s="4" t="s">
        <v>34</v>
      </c>
      <c r="D4126" s="4">
        <v>2025</v>
      </c>
      <c r="E4126" s="4">
        <v>0</v>
      </c>
      <c r="F4126" s="4" t="s">
        <v>29</v>
      </c>
    </row>
    <row r="4127" spans="1:6" x14ac:dyDescent="0.25">
      <c r="A4127" s="4" t="s">
        <v>83</v>
      </c>
      <c r="B4127" s="4" t="s">
        <v>6</v>
      </c>
      <c r="C4127" s="4" t="s">
        <v>34</v>
      </c>
      <c r="D4127" s="4">
        <v>2026</v>
      </c>
      <c r="E4127" s="4">
        <v>0</v>
      </c>
      <c r="F4127" s="4" t="s">
        <v>29</v>
      </c>
    </row>
    <row r="4128" spans="1:6" x14ac:dyDescent="0.25">
      <c r="A4128" s="4" t="s">
        <v>83</v>
      </c>
      <c r="B4128" s="4" t="s">
        <v>6</v>
      </c>
      <c r="C4128" s="4" t="s">
        <v>34</v>
      </c>
      <c r="D4128" s="4">
        <v>2027</v>
      </c>
      <c r="E4128" s="4">
        <v>0</v>
      </c>
      <c r="F4128" s="4" t="s">
        <v>29</v>
      </c>
    </row>
    <row r="4129" spans="1:6" x14ac:dyDescent="0.25">
      <c r="A4129" s="4" t="s">
        <v>83</v>
      </c>
      <c r="B4129" s="4" t="s">
        <v>6</v>
      </c>
      <c r="C4129" s="4" t="s">
        <v>34</v>
      </c>
      <c r="D4129" s="4">
        <v>2028</v>
      </c>
      <c r="E4129" s="4">
        <v>0</v>
      </c>
      <c r="F4129" s="4" t="s">
        <v>29</v>
      </c>
    </row>
    <row r="4130" spans="1:6" x14ac:dyDescent="0.25">
      <c r="A4130" s="4" t="s">
        <v>83</v>
      </c>
      <c r="B4130" s="4" t="s">
        <v>6</v>
      </c>
      <c r="C4130" s="4" t="s">
        <v>34</v>
      </c>
      <c r="D4130" s="4">
        <v>2029</v>
      </c>
      <c r="E4130" s="4">
        <v>0</v>
      </c>
      <c r="F4130" s="4" t="s">
        <v>29</v>
      </c>
    </row>
    <row r="4131" spans="1:6" x14ac:dyDescent="0.25">
      <c r="A4131" s="4" t="s">
        <v>83</v>
      </c>
      <c r="B4131" s="4" t="s">
        <v>6</v>
      </c>
      <c r="C4131" s="4" t="s">
        <v>34</v>
      </c>
      <c r="D4131" s="4">
        <v>2030</v>
      </c>
      <c r="E4131" s="4">
        <v>0</v>
      </c>
      <c r="F4131" s="4" t="s">
        <v>29</v>
      </c>
    </row>
    <row r="4132" spans="1:6" x14ac:dyDescent="0.25">
      <c r="A4132" s="4" t="s">
        <v>83</v>
      </c>
      <c r="B4132" s="4" t="s">
        <v>6</v>
      </c>
      <c r="C4132" s="4" t="s">
        <v>34</v>
      </c>
      <c r="D4132" s="4">
        <v>2031</v>
      </c>
      <c r="E4132" s="4">
        <v>0</v>
      </c>
      <c r="F4132" s="4" t="s">
        <v>29</v>
      </c>
    </row>
    <row r="4133" spans="1:6" x14ac:dyDescent="0.25">
      <c r="A4133" s="4" t="s">
        <v>83</v>
      </c>
      <c r="B4133" s="4" t="s">
        <v>6</v>
      </c>
      <c r="C4133" s="4" t="s">
        <v>34</v>
      </c>
      <c r="D4133" s="4">
        <v>2032</v>
      </c>
      <c r="E4133" s="4">
        <v>0</v>
      </c>
      <c r="F4133" s="4" t="s">
        <v>29</v>
      </c>
    </row>
    <row r="4134" spans="1:6" x14ac:dyDescent="0.25">
      <c r="A4134" s="4" t="s">
        <v>83</v>
      </c>
      <c r="B4134" s="4" t="s">
        <v>6</v>
      </c>
      <c r="C4134" s="4" t="s">
        <v>34</v>
      </c>
      <c r="D4134" s="4">
        <v>2033</v>
      </c>
      <c r="E4134" s="4">
        <v>0</v>
      </c>
      <c r="F4134" s="4" t="s">
        <v>29</v>
      </c>
    </row>
    <row r="4135" spans="1:6" x14ac:dyDescent="0.25">
      <c r="A4135" s="4" t="s">
        <v>83</v>
      </c>
      <c r="B4135" s="4" t="s">
        <v>6</v>
      </c>
      <c r="C4135" s="4" t="s">
        <v>34</v>
      </c>
      <c r="D4135" s="4">
        <v>2034</v>
      </c>
      <c r="E4135" s="4">
        <v>0</v>
      </c>
      <c r="F4135" s="4" t="s">
        <v>29</v>
      </c>
    </row>
    <row r="4136" spans="1:6" x14ac:dyDescent="0.25">
      <c r="A4136" s="4" t="s">
        <v>83</v>
      </c>
      <c r="B4136" s="4" t="s">
        <v>6</v>
      </c>
      <c r="C4136" s="4" t="s">
        <v>34</v>
      </c>
      <c r="D4136" s="4">
        <v>2035</v>
      </c>
      <c r="E4136" s="4">
        <v>0</v>
      </c>
      <c r="F4136" s="4" t="s">
        <v>29</v>
      </c>
    </row>
    <row r="4137" spans="1:6" x14ac:dyDescent="0.25">
      <c r="A4137" s="4" t="s">
        <v>83</v>
      </c>
      <c r="B4137" s="4" t="s">
        <v>6</v>
      </c>
      <c r="C4137" s="4" t="s">
        <v>34</v>
      </c>
      <c r="D4137" s="4">
        <v>2036</v>
      </c>
      <c r="E4137" s="4">
        <v>0</v>
      </c>
      <c r="F4137" s="4" t="s">
        <v>29</v>
      </c>
    </row>
    <row r="4138" spans="1:6" x14ac:dyDescent="0.25">
      <c r="A4138" s="4" t="s">
        <v>83</v>
      </c>
      <c r="B4138" s="4" t="s">
        <v>6</v>
      </c>
      <c r="C4138" s="4" t="s">
        <v>34</v>
      </c>
      <c r="D4138" s="4">
        <v>2037</v>
      </c>
      <c r="E4138" s="4">
        <v>0</v>
      </c>
      <c r="F4138" s="4" t="s">
        <v>29</v>
      </c>
    </row>
    <row r="4139" spans="1:6" x14ac:dyDescent="0.25">
      <c r="A4139" s="4" t="s">
        <v>83</v>
      </c>
      <c r="B4139" s="4" t="s">
        <v>6</v>
      </c>
      <c r="C4139" s="4" t="s">
        <v>34</v>
      </c>
      <c r="D4139" s="4">
        <v>2038</v>
      </c>
      <c r="E4139" s="4">
        <v>0</v>
      </c>
      <c r="F4139" s="4" t="s">
        <v>29</v>
      </c>
    </row>
    <row r="4140" spans="1:6" x14ac:dyDescent="0.25">
      <c r="A4140" s="4" t="s">
        <v>83</v>
      </c>
      <c r="B4140" s="4" t="s">
        <v>6</v>
      </c>
      <c r="C4140" s="4" t="s">
        <v>34</v>
      </c>
      <c r="D4140" s="4">
        <v>2039</v>
      </c>
      <c r="E4140" s="4">
        <v>0</v>
      </c>
      <c r="F4140" s="4" t="s">
        <v>29</v>
      </c>
    </row>
    <row r="4141" spans="1:6" x14ac:dyDescent="0.25">
      <c r="A4141" s="4" t="s">
        <v>83</v>
      </c>
      <c r="B4141" s="4" t="s">
        <v>6</v>
      </c>
      <c r="C4141" s="4" t="s">
        <v>34</v>
      </c>
      <c r="D4141" s="4">
        <v>2040</v>
      </c>
      <c r="E4141" s="4">
        <v>0</v>
      </c>
      <c r="F4141" s="4" t="s">
        <v>29</v>
      </c>
    </row>
    <row r="4142" spans="1:6" x14ac:dyDescent="0.25">
      <c r="A4142" s="4" t="s">
        <v>83</v>
      </c>
      <c r="B4142" s="4" t="s">
        <v>23</v>
      </c>
      <c r="C4142" s="4" t="s">
        <v>34</v>
      </c>
      <c r="D4142" s="4">
        <v>2005</v>
      </c>
      <c r="E4142" s="4">
        <v>0</v>
      </c>
      <c r="F4142" s="4" t="s">
        <v>29</v>
      </c>
    </row>
    <row r="4143" spans="1:6" x14ac:dyDescent="0.25">
      <c r="A4143" s="4" t="s">
        <v>83</v>
      </c>
      <c r="B4143" s="4" t="s">
        <v>23</v>
      </c>
      <c r="C4143" s="4" t="s">
        <v>34</v>
      </c>
      <c r="D4143" s="4">
        <v>2006</v>
      </c>
      <c r="E4143" s="4">
        <v>0</v>
      </c>
      <c r="F4143" s="4" t="s">
        <v>29</v>
      </c>
    </row>
    <row r="4144" spans="1:6" x14ac:dyDescent="0.25">
      <c r="A4144" s="4" t="s">
        <v>83</v>
      </c>
      <c r="B4144" s="4" t="s">
        <v>23</v>
      </c>
      <c r="C4144" s="4" t="s">
        <v>34</v>
      </c>
      <c r="D4144" s="4">
        <v>2007</v>
      </c>
      <c r="E4144" s="4">
        <v>0</v>
      </c>
      <c r="F4144" s="4" t="s">
        <v>29</v>
      </c>
    </row>
    <row r="4145" spans="1:6" x14ac:dyDescent="0.25">
      <c r="A4145" s="4" t="s">
        <v>83</v>
      </c>
      <c r="B4145" s="4" t="s">
        <v>23</v>
      </c>
      <c r="C4145" s="4" t="s">
        <v>34</v>
      </c>
      <c r="D4145" s="4">
        <v>2008</v>
      </c>
      <c r="E4145" s="4">
        <v>0</v>
      </c>
      <c r="F4145" s="4" t="s">
        <v>29</v>
      </c>
    </row>
    <row r="4146" spans="1:6" x14ac:dyDescent="0.25">
      <c r="A4146" s="4" t="s">
        <v>83</v>
      </c>
      <c r="B4146" s="4" t="s">
        <v>23</v>
      </c>
      <c r="C4146" s="4" t="s">
        <v>34</v>
      </c>
      <c r="D4146" s="4">
        <v>2009</v>
      </c>
      <c r="E4146" s="4">
        <v>0</v>
      </c>
      <c r="F4146" s="4" t="s">
        <v>29</v>
      </c>
    </row>
    <row r="4147" spans="1:6" x14ac:dyDescent="0.25">
      <c r="A4147" s="4" t="s">
        <v>83</v>
      </c>
      <c r="B4147" s="4" t="s">
        <v>23</v>
      </c>
      <c r="C4147" s="4" t="s">
        <v>34</v>
      </c>
      <c r="D4147" s="4">
        <v>2010</v>
      </c>
      <c r="E4147" s="4">
        <v>0</v>
      </c>
      <c r="F4147" s="4" t="s">
        <v>29</v>
      </c>
    </row>
    <row r="4148" spans="1:6" x14ac:dyDescent="0.25">
      <c r="A4148" s="4" t="s">
        <v>83</v>
      </c>
      <c r="B4148" s="4" t="s">
        <v>23</v>
      </c>
      <c r="C4148" s="4" t="s">
        <v>34</v>
      </c>
      <c r="D4148" s="4">
        <v>2011</v>
      </c>
      <c r="E4148" s="4">
        <v>0</v>
      </c>
      <c r="F4148" s="4" t="s">
        <v>29</v>
      </c>
    </row>
    <row r="4149" spans="1:6" x14ac:dyDescent="0.25">
      <c r="A4149" s="4" t="s">
        <v>83</v>
      </c>
      <c r="B4149" s="4" t="s">
        <v>23</v>
      </c>
      <c r="C4149" s="4" t="s">
        <v>34</v>
      </c>
      <c r="D4149" s="4">
        <v>2012</v>
      </c>
      <c r="E4149" s="4">
        <v>0</v>
      </c>
      <c r="F4149" s="4" t="s">
        <v>29</v>
      </c>
    </row>
    <row r="4150" spans="1:6" x14ac:dyDescent="0.25">
      <c r="A4150" s="4" t="s">
        <v>83</v>
      </c>
      <c r="B4150" s="4" t="s">
        <v>23</v>
      </c>
      <c r="C4150" s="4" t="s">
        <v>34</v>
      </c>
      <c r="D4150" s="4">
        <v>2013</v>
      </c>
      <c r="E4150" s="4">
        <v>0</v>
      </c>
      <c r="F4150" s="4" t="s">
        <v>29</v>
      </c>
    </row>
    <row r="4151" spans="1:6" x14ac:dyDescent="0.25">
      <c r="A4151" s="4" t="s">
        <v>83</v>
      </c>
      <c r="B4151" s="4" t="s">
        <v>23</v>
      </c>
      <c r="C4151" s="4" t="s">
        <v>34</v>
      </c>
      <c r="D4151" s="4">
        <v>2014</v>
      </c>
      <c r="E4151" s="4">
        <v>0</v>
      </c>
      <c r="F4151" s="4" t="s">
        <v>29</v>
      </c>
    </row>
    <row r="4152" spans="1:6" x14ac:dyDescent="0.25">
      <c r="A4152" s="4" t="s">
        <v>83</v>
      </c>
      <c r="B4152" s="4" t="s">
        <v>23</v>
      </c>
      <c r="C4152" s="4" t="s">
        <v>34</v>
      </c>
      <c r="D4152" s="4">
        <v>2015</v>
      </c>
      <c r="E4152" s="4">
        <v>0</v>
      </c>
      <c r="F4152" s="4" t="s">
        <v>29</v>
      </c>
    </row>
    <row r="4153" spans="1:6" x14ac:dyDescent="0.25">
      <c r="A4153" s="4" t="s">
        <v>83</v>
      </c>
      <c r="B4153" s="4" t="s">
        <v>23</v>
      </c>
      <c r="C4153" s="4" t="s">
        <v>34</v>
      </c>
      <c r="D4153" s="4">
        <v>2016</v>
      </c>
      <c r="E4153" s="4">
        <v>0</v>
      </c>
      <c r="F4153" s="4" t="s">
        <v>29</v>
      </c>
    </row>
    <row r="4154" spans="1:6" x14ac:dyDescent="0.25">
      <c r="A4154" s="4" t="s">
        <v>83</v>
      </c>
      <c r="B4154" s="4" t="s">
        <v>23</v>
      </c>
      <c r="C4154" s="4" t="s">
        <v>34</v>
      </c>
      <c r="D4154" s="4">
        <v>2017</v>
      </c>
      <c r="E4154" s="4">
        <v>0</v>
      </c>
      <c r="F4154" s="4" t="s">
        <v>29</v>
      </c>
    </row>
    <row r="4155" spans="1:6" x14ac:dyDescent="0.25">
      <c r="A4155" s="4" t="s">
        <v>83</v>
      </c>
      <c r="B4155" s="4" t="s">
        <v>23</v>
      </c>
      <c r="C4155" s="4" t="s">
        <v>34</v>
      </c>
      <c r="D4155" s="4">
        <v>2018</v>
      </c>
      <c r="E4155" s="4">
        <v>0</v>
      </c>
      <c r="F4155" s="4" t="s">
        <v>29</v>
      </c>
    </row>
    <row r="4156" spans="1:6" x14ac:dyDescent="0.25">
      <c r="A4156" s="4" t="s">
        <v>83</v>
      </c>
      <c r="B4156" s="4" t="s">
        <v>23</v>
      </c>
      <c r="C4156" s="4" t="s">
        <v>34</v>
      </c>
      <c r="D4156" s="4">
        <v>2019</v>
      </c>
      <c r="E4156" s="4">
        <v>0</v>
      </c>
      <c r="F4156" s="4" t="s">
        <v>29</v>
      </c>
    </row>
    <row r="4157" spans="1:6" x14ac:dyDescent="0.25">
      <c r="A4157" s="4" t="s">
        <v>83</v>
      </c>
      <c r="B4157" s="4" t="s">
        <v>23</v>
      </c>
      <c r="C4157" s="4" t="s">
        <v>34</v>
      </c>
      <c r="D4157" s="4">
        <v>2020</v>
      </c>
      <c r="E4157" s="4">
        <v>0</v>
      </c>
      <c r="F4157" s="4" t="s">
        <v>29</v>
      </c>
    </row>
    <row r="4158" spans="1:6" x14ac:dyDescent="0.25">
      <c r="A4158" s="4" t="s">
        <v>83</v>
      </c>
      <c r="B4158" s="4" t="s">
        <v>23</v>
      </c>
      <c r="C4158" s="4" t="s">
        <v>34</v>
      </c>
      <c r="D4158" s="4">
        <v>2021</v>
      </c>
      <c r="E4158" s="4">
        <v>0</v>
      </c>
      <c r="F4158" s="4" t="s">
        <v>29</v>
      </c>
    </row>
    <row r="4159" spans="1:6" x14ac:dyDescent="0.25">
      <c r="A4159" s="4" t="s">
        <v>83</v>
      </c>
      <c r="B4159" s="4" t="s">
        <v>23</v>
      </c>
      <c r="C4159" s="4" t="s">
        <v>34</v>
      </c>
      <c r="D4159" s="4">
        <v>2022</v>
      </c>
      <c r="E4159" s="4">
        <v>0</v>
      </c>
      <c r="F4159" s="4" t="s">
        <v>29</v>
      </c>
    </row>
    <row r="4160" spans="1:6" x14ac:dyDescent="0.25">
      <c r="A4160" s="4" t="s">
        <v>83</v>
      </c>
      <c r="B4160" s="4" t="s">
        <v>23</v>
      </c>
      <c r="C4160" s="4" t="s">
        <v>34</v>
      </c>
      <c r="D4160" s="4">
        <v>2023</v>
      </c>
      <c r="E4160" s="4">
        <v>0</v>
      </c>
      <c r="F4160" s="4" t="s">
        <v>29</v>
      </c>
    </row>
    <row r="4161" spans="1:6" x14ac:dyDescent="0.25">
      <c r="A4161" s="4" t="s">
        <v>83</v>
      </c>
      <c r="B4161" s="4" t="s">
        <v>23</v>
      </c>
      <c r="C4161" s="4" t="s">
        <v>34</v>
      </c>
      <c r="D4161" s="4">
        <v>2024</v>
      </c>
      <c r="E4161" s="4">
        <v>0</v>
      </c>
      <c r="F4161" s="4" t="s">
        <v>29</v>
      </c>
    </row>
    <row r="4162" spans="1:6" x14ac:dyDescent="0.25">
      <c r="A4162" s="4" t="s">
        <v>83</v>
      </c>
      <c r="B4162" s="4" t="s">
        <v>23</v>
      </c>
      <c r="C4162" s="4" t="s">
        <v>34</v>
      </c>
      <c r="D4162" s="4">
        <v>2025</v>
      </c>
      <c r="E4162" s="4">
        <v>0</v>
      </c>
      <c r="F4162" s="4" t="s">
        <v>29</v>
      </c>
    </row>
    <row r="4163" spans="1:6" x14ac:dyDescent="0.25">
      <c r="A4163" s="4" t="s">
        <v>83</v>
      </c>
      <c r="B4163" s="4" t="s">
        <v>23</v>
      </c>
      <c r="C4163" s="4" t="s">
        <v>34</v>
      </c>
      <c r="D4163" s="4">
        <v>2026</v>
      </c>
      <c r="E4163" s="4">
        <v>0</v>
      </c>
      <c r="F4163" s="4" t="s">
        <v>29</v>
      </c>
    </row>
    <row r="4164" spans="1:6" x14ac:dyDescent="0.25">
      <c r="A4164" s="4" t="s">
        <v>83</v>
      </c>
      <c r="B4164" s="4" t="s">
        <v>23</v>
      </c>
      <c r="C4164" s="4" t="s">
        <v>34</v>
      </c>
      <c r="D4164" s="4">
        <v>2027</v>
      </c>
      <c r="E4164" s="4">
        <v>0</v>
      </c>
      <c r="F4164" s="4" t="s">
        <v>29</v>
      </c>
    </row>
    <row r="4165" spans="1:6" x14ac:dyDescent="0.25">
      <c r="A4165" s="4" t="s">
        <v>83</v>
      </c>
      <c r="B4165" s="4" t="s">
        <v>23</v>
      </c>
      <c r="C4165" s="4" t="s">
        <v>34</v>
      </c>
      <c r="D4165" s="4">
        <v>2028</v>
      </c>
      <c r="E4165" s="4">
        <v>0</v>
      </c>
      <c r="F4165" s="4" t="s">
        <v>29</v>
      </c>
    </row>
    <row r="4166" spans="1:6" x14ac:dyDescent="0.25">
      <c r="A4166" s="4" t="s">
        <v>83</v>
      </c>
      <c r="B4166" s="4" t="s">
        <v>23</v>
      </c>
      <c r="C4166" s="4" t="s">
        <v>34</v>
      </c>
      <c r="D4166" s="4">
        <v>2029</v>
      </c>
      <c r="E4166" s="4">
        <v>0</v>
      </c>
      <c r="F4166" s="4" t="s">
        <v>29</v>
      </c>
    </row>
    <row r="4167" spans="1:6" x14ac:dyDescent="0.25">
      <c r="A4167" s="4" t="s">
        <v>83</v>
      </c>
      <c r="B4167" s="4" t="s">
        <v>23</v>
      </c>
      <c r="C4167" s="4" t="s">
        <v>34</v>
      </c>
      <c r="D4167" s="4">
        <v>2030</v>
      </c>
      <c r="E4167" s="4">
        <v>0</v>
      </c>
      <c r="F4167" s="4" t="s">
        <v>29</v>
      </c>
    </row>
    <row r="4168" spans="1:6" x14ac:dyDescent="0.25">
      <c r="A4168" s="4" t="s">
        <v>83</v>
      </c>
      <c r="B4168" s="4" t="s">
        <v>23</v>
      </c>
      <c r="C4168" s="4" t="s">
        <v>34</v>
      </c>
      <c r="D4168" s="4">
        <v>2031</v>
      </c>
      <c r="E4168" s="4">
        <v>0</v>
      </c>
      <c r="F4168" s="4" t="s">
        <v>29</v>
      </c>
    </row>
    <row r="4169" spans="1:6" x14ac:dyDescent="0.25">
      <c r="A4169" s="4" t="s">
        <v>83</v>
      </c>
      <c r="B4169" s="4" t="s">
        <v>23</v>
      </c>
      <c r="C4169" s="4" t="s">
        <v>34</v>
      </c>
      <c r="D4169" s="4">
        <v>2032</v>
      </c>
      <c r="E4169" s="4">
        <v>0</v>
      </c>
      <c r="F4169" s="4" t="s">
        <v>29</v>
      </c>
    </row>
    <row r="4170" spans="1:6" x14ac:dyDescent="0.25">
      <c r="A4170" s="4" t="s">
        <v>83</v>
      </c>
      <c r="B4170" s="4" t="s">
        <v>23</v>
      </c>
      <c r="C4170" s="4" t="s">
        <v>34</v>
      </c>
      <c r="D4170" s="4">
        <v>2033</v>
      </c>
      <c r="E4170" s="4">
        <v>0</v>
      </c>
      <c r="F4170" s="4" t="s">
        <v>29</v>
      </c>
    </row>
    <row r="4171" spans="1:6" x14ac:dyDescent="0.25">
      <c r="A4171" s="4" t="s">
        <v>83</v>
      </c>
      <c r="B4171" s="4" t="s">
        <v>23</v>
      </c>
      <c r="C4171" s="4" t="s">
        <v>34</v>
      </c>
      <c r="D4171" s="4">
        <v>2034</v>
      </c>
      <c r="E4171" s="4">
        <v>0</v>
      </c>
      <c r="F4171" s="4" t="s">
        <v>29</v>
      </c>
    </row>
    <row r="4172" spans="1:6" x14ac:dyDescent="0.25">
      <c r="A4172" s="4" t="s">
        <v>83</v>
      </c>
      <c r="B4172" s="4" t="s">
        <v>23</v>
      </c>
      <c r="C4172" s="4" t="s">
        <v>34</v>
      </c>
      <c r="D4172" s="4">
        <v>2035</v>
      </c>
      <c r="E4172" s="4">
        <v>0</v>
      </c>
      <c r="F4172" s="4" t="s">
        <v>29</v>
      </c>
    </row>
    <row r="4173" spans="1:6" x14ac:dyDescent="0.25">
      <c r="A4173" s="4" t="s">
        <v>83</v>
      </c>
      <c r="B4173" s="4" t="s">
        <v>23</v>
      </c>
      <c r="C4173" s="4" t="s">
        <v>34</v>
      </c>
      <c r="D4173" s="4">
        <v>2036</v>
      </c>
      <c r="E4173" s="4">
        <v>0</v>
      </c>
      <c r="F4173" s="4" t="s">
        <v>29</v>
      </c>
    </row>
    <row r="4174" spans="1:6" x14ac:dyDescent="0.25">
      <c r="A4174" s="4" t="s">
        <v>83</v>
      </c>
      <c r="B4174" s="4" t="s">
        <v>23</v>
      </c>
      <c r="C4174" s="4" t="s">
        <v>34</v>
      </c>
      <c r="D4174" s="4">
        <v>2037</v>
      </c>
      <c r="E4174" s="4">
        <v>0</v>
      </c>
      <c r="F4174" s="4" t="s">
        <v>29</v>
      </c>
    </row>
    <row r="4175" spans="1:6" x14ac:dyDescent="0.25">
      <c r="A4175" s="4" t="s">
        <v>83</v>
      </c>
      <c r="B4175" s="4" t="s">
        <v>23</v>
      </c>
      <c r="C4175" s="4" t="s">
        <v>34</v>
      </c>
      <c r="D4175" s="4">
        <v>2038</v>
      </c>
      <c r="E4175" s="4">
        <v>0</v>
      </c>
      <c r="F4175" s="4" t="s">
        <v>29</v>
      </c>
    </row>
    <row r="4176" spans="1:6" x14ac:dyDescent="0.25">
      <c r="A4176" s="4" t="s">
        <v>83</v>
      </c>
      <c r="B4176" s="4" t="s">
        <v>23</v>
      </c>
      <c r="C4176" s="4" t="s">
        <v>34</v>
      </c>
      <c r="D4176" s="4">
        <v>2039</v>
      </c>
      <c r="E4176" s="4">
        <v>0</v>
      </c>
      <c r="F4176" s="4" t="s">
        <v>29</v>
      </c>
    </row>
    <row r="4177" spans="1:6" x14ac:dyDescent="0.25">
      <c r="A4177" s="4" t="s">
        <v>83</v>
      </c>
      <c r="B4177" s="4" t="s">
        <v>23</v>
      </c>
      <c r="C4177" s="4" t="s">
        <v>34</v>
      </c>
      <c r="D4177" s="4">
        <v>2040</v>
      </c>
      <c r="E4177" s="4">
        <v>0</v>
      </c>
      <c r="F4177" s="4" t="s">
        <v>29</v>
      </c>
    </row>
    <row r="4178" spans="1:6" x14ac:dyDescent="0.25">
      <c r="A4178" s="4" t="s">
        <v>84</v>
      </c>
      <c r="B4178" s="4" t="s">
        <v>1</v>
      </c>
      <c r="C4178" s="4" t="s">
        <v>34</v>
      </c>
      <c r="D4178" s="4">
        <v>2005</v>
      </c>
      <c r="E4178" s="4">
        <v>0</v>
      </c>
      <c r="F4178" s="4" t="s">
        <v>29</v>
      </c>
    </row>
    <row r="4179" spans="1:6" x14ac:dyDescent="0.25">
      <c r="A4179" s="4" t="s">
        <v>84</v>
      </c>
      <c r="B4179" s="4" t="s">
        <v>1</v>
      </c>
      <c r="C4179" s="4" t="s">
        <v>34</v>
      </c>
      <c r="D4179" s="4">
        <v>2006</v>
      </c>
      <c r="E4179" s="4">
        <v>0</v>
      </c>
      <c r="F4179" s="4" t="s">
        <v>29</v>
      </c>
    </row>
    <row r="4180" spans="1:6" x14ac:dyDescent="0.25">
      <c r="A4180" s="4" t="s">
        <v>84</v>
      </c>
      <c r="B4180" s="4" t="s">
        <v>1</v>
      </c>
      <c r="C4180" s="4" t="s">
        <v>34</v>
      </c>
      <c r="D4180" s="4">
        <v>2007</v>
      </c>
      <c r="E4180" s="4">
        <v>0</v>
      </c>
      <c r="F4180" s="4" t="s">
        <v>29</v>
      </c>
    </row>
    <row r="4181" spans="1:6" x14ac:dyDescent="0.25">
      <c r="A4181" s="4" t="s">
        <v>84</v>
      </c>
      <c r="B4181" s="4" t="s">
        <v>1</v>
      </c>
      <c r="C4181" s="4" t="s">
        <v>34</v>
      </c>
      <c r="D4181" s="4">
        <v>2008</v>
      </c>
      <c r="E4181" s="4">
        <v>0</v>
      </c>
      <c r="F4181" s="4" t="s">
        <v>29</v>
      </c>
    </row>
    <row r="4182" spans="1:6" x14ac:dyDescent="0.25">
      <c r="A4182" s="4" t="s">
        <v>84</v>
      </c>
      <c r="B4182" s="4" t="s">
        <v>1</v>
      </c>
      <c r="C4182" s="4" t="s">
        <v>34</v>
      </c>
      <c r="D4182" s="4">
        <v>2009</v>
      </c>
      <c r="E4182" s="4">
        <v>0</v>
      </c>
      <c r="F4182" s="4" t="s">
        <v>29</v>
      </c>
    </row>
    <row r="4183" spans="1:6" x14ac:dyDescent="0.25">
      <c r="A4183" s="4" t="s">
        <v>84</v>
      </c>
      <c r="B4183" s="4" t="s">
        <v>1</v>
      </c>
      <c r="C4183" s="4" t="s">
        <v>34</v>
      </c>
      <c r="D4183" s="4">
        <v>2010</v>
      </c>
      <c r="E4183" s="4">
        <v>0</v>
      </c>
      <c r="F4183" s="4" t="s">
        <v>29</v>
      </c>
    </row>
    <row r="4184" spans="1:6" x14ac:dyDescent="0.25">
      <c r="A4184" s="4" t="s">
        <v>84</v>
      </c>
      <c r="B4184" s="4" t="s">
        <v>1</v>
      </c>
      <c r="C4184" s="4" t="s">
        <v>34</v>
      </c>
      <c r="D4184" s="4">
        <v>2011</v>
      </c>
      <c r="E4184" s="4">
        <v>0</v>
      </c>
      <c r="F4184" s="4" t="s">
        <v>29</v>
      </c>
    </row>
    <row r="4185" spans="1:6" x14ac:dyDescent="0.25">
      <c r="A4185" s="4" t="s">
        <v>84</v>
      </c>
      <c r="B4185" s="4" t="s">
        <v>1</v>
      </c>
      <c r="C4185" s="4" t="s">
        <v>34</v>
      </c>
      <c r="D4185" s="4">
        <v>2012</v>
      </c>
      <c r="E4185" s="4">
        <v>0</v>
      </c>
      <c r="F4185" s="4" t="s">
        <v>29</v>
      </c>
    </row>
    <row r="4186" spans="1:6" x14ac:dyDescent="0.25">
      <c r="A4186" s="4" t="s">
        <v>84</v>
      </c>
      <c r="B4186" s="4" t="s">
        <v>1</v>
      </c>
      <c r="C4186" s="4" t="s">
        <v>34</v>
      </c>
      <c r="D4186" s="4">
        <v>2013</v>
      </c>
      <c r="E4186" s="4">
        <v>0</v>
      </c>
      <c r="F4186" s="4" t="s">
        <v>29</v>
      </c>
    </row>
    <row r="4187" spans="1:6" x14ac:dyDescent="0.25">
      <c r="A4187" s="4" t="s">
        <v>84</v>
      </c>
      <c r="B4187" s="4" t="s">
        <v>1</v>
      </c>
      <c r="C4187" s="4" t="s">
        <v>34</v>
      </c>
      <c r="D4187" s="4">
        <v>2014</v>
      </c>
      <c r="E4187" s="4">
        <v>0</v>
      </c>
      <c r="F4187" s="4" t="s">
        <v>29</v>
      </c>
    </row>
    <row r="4188" spans="1:6" x14ac:dyDescent="0.25">
      <c r="A4188" s="4" t="s">
        <v>84</v>
      </c>
      <c r="B4188" s="4" t="s">
        <v>1</v>
      </c>
      <c r="C4188" s="4" t="s">
        <v>34</v>
      </c>
      <c r="D4188" s="4">
        <v>2015</v>
      </c>
      <c r="E4188" s="4">
        <v>0</v>
      </c>
      <c r="F4188" s="4" t="s">
        <v>29</v>
      </c>
    </row>
    <row r="4189" spans="1:6" x14ac:dyDescent="0.25">
      <c r="A4189" s="4" t="s">
        <v>84</v>
      </c>
      <c r="B4189" s="4" t="s">
        <v>1</v>
      </c>
      <c r="C4189" s="4" t="s">
        <v>34</v>
      </c>
      <c r="D4189" s="4">
        <v>2016</v>
      </c>
      <c r="E4189" s="4">
        <v>0</v>
      </c>
      <c r="F4189" s="4" t="s">
        <v>29</v>
      </c>
    </row>
    <row r="4190" spans="1:6" x14ac:dyDescent="0.25">
      <c r="A4190" s="4" t="s">
        <v>84</v>
      </c>
      <c r="B4190" s="4" t="s">
        <v>1</v>
      </c>
      <c r="C4190" s="4" t="s">
        <v>34</v>
      </c>
      <c r="D4190" s="4">
        <v>2017</v>
      </c>
      <c r="E4190" s="4">
        <v>0</v>
      </c>
      <c r="F4190" s="4" t="s">
        <v>29</v>
      </c>
    </row>
    <row r="4191" spans="1:6" x14ac:dyDescent="0.25">
      <c r="A4191" s="4" t="s">
        <v>84</v>
      </c>
      <c r="B4191" s="4" t="s">
        <v>1</v>
      </c>
      <c r="C4191" s="4" t="s">
        <v>34</v>
      </c>
      <c r="D4191" s="4">
        <v>2018</v>
      </c>
      <c r="E4191" s="4">
        <v>0</v>
      </c>
      <c r="F4191" s="4" t="s">
        <v>29</v>
      </c>
    </row>
    <row r="4192" spans="1:6" x14ac:dyDescent="0.25">
      <c r="A4192" s="4" t="s">
        <v>84</v>
      </c>
      <c r="B4192" s="4" t="s">
        <v>1</v>
      </c>
      <c r="C4192" s="4" t="s">
        <v>34</v>
      </c>
      <c r="D4192" s="4">
        <v>2019</v>
      </c>
      <c r="E4192" s="4">
        <v>0</v>
      </c>
      <c r="F4192" s="4" t="s">
        <v>29</v>
      </c>
    </row>
    <row r="4193" spans="1:6" x14ac:dyDescent="0.25">
      <c r="A4193" s="4" t="s">
        <v>84</v>
      </c>
      <c r="B4193" s="4" t="s">
        <v>1</v>
      </c>
      <c r="C4193" s="4" t="s">
        <v>34</v>
      </c>
      <c r="D4193" s="4">
        <v>2020</v>
      </c>
      <c r="E4193" s="4">
        <v>0</v>
      </c>
      <c r="F4193" s="4" t="s">
        <v>29</v>
      </c>
    </row>
    <row r="4194" spans="1:6" x14ac:dyDescent="0.25">
      <c r="A4194" s="4" t="s">
        <v>84</v>
      </c>
      <c r="B4194" s="4" t="s">
        <v>1</v>
      </c>
      <c r="C4194" s="4" t="s">
        <v>34</v>
      </c>
      <c r="D4194" s="4">
        <v>2021</v>
      </c>
      <c r="E4194" s="4">
        <v>0</v>
      </c>
      <c r="F4194" s="4" t="s">
        <v>29</v>
      </c>
    </row>
    <row r="4195" spans="1:6" x14ac:dyDescent="0.25">
      <c r="A4195" s="4" t="s">
        <v>84</v>
      </c>
      <c r="B4195" s="4" t="s">
        <v>1</v>
      </c>
      <c r="C4195" s="4" t="s">
        <v>34</v>
      </c>
      <c r="D4195" s="4">
        <v>2022</v>
      </c>
      <c r="E4195" s="4">
        <v>0</v>
      </c>
      <c r="F4195" s="4" t="s">
        <v>29</v>
      </c>
    </row>
    <row r="4196" spans="1:6" x14ac:dyDescent="0.25">
      <c r="A4196" s="4" t="s">
        <v>84</v>
      </c>
      <c r="B4196" s="4" t="s">
        <v>1</v>
      </c>
      <c r="C4196" s="4" t="s">
        <v>34</v>
      </c>
      <c r="D4196" s="4">
        <v>2023</v>
      </c>
      <c r="E4196" s="4">
        <v>0</v>
      </c>
      <c r="F4196" s="4" t="s">
        <v>29</v>
      </c>
    </row>
    <row r="4197" spans="1:6" x14ac:dyDescent="0.25">
      <c r="A4197" s="4" t="s">
        <v>84</v>
      </c>
      <c r="B4197" s="4" t="s">
        <v>1</v>
      </c>
      <c r="C4197" s="4" t="s">
        <v>34</v>
      </c>
      <c r="D4197" s="4">
        <v>2024</v>
      </c>
      <c r="E4197" s="4">
        <v>0</v>
      </c>
      <c r="F4197" s="4" t="s">
        <v>29</v>
      </c>
    </row>
    <row r="4198" spans="1:6" x14ac:dyDescent="0.25">
      <c r="A4198" s="4" t="s">
        <v>84</v>
      </c>
      <c r="B4198" s="4" t="s">
        <v>1</v>
      </c>
      <c r="C4198" s="4" t="s">
        <v>34</v>
      </c>
      <c r="D4198" s="4">
        <v>2025</v>
      </c>
      <c r="E4198" s="4">
        <v>0</v>
      </c>
      <c r="F4198" s="4" t="s">
        <v>29</v>
      </c>
    </row>
    <row r="4199" spans="1:6" x14ac:dyDescent="0.25">
      <c r="A4199" s="4" t="s">
        <v>84</v>
      </c>
      <c r="B4199" s="4" t="s">
        <v>1</v>
      </c>
      <c r="C4199" s="4" t="s">
        <v>34</v>
      </c>
      <c r="D4199" s="4">
        <v>2026</v>
      </c>
      <c r="E4199" s="4">
        <v>0</v>
      </c>
      <c r="F4199" s="4" t="s">
        <v>29</v>
      </c>
    </row>
    <row r="4200" spans="1:6" x14ac:dyDescent="0.25">
      <c r="A4200" s="4" t="s">
        <v>84</v>
      </c>
      <c r="B4200" s="4" t="s">
        <v>1</v>
      </c>
      <c r="C4200" s="4" t="s">
        <v>34</v>
      </c>
      <c r="D4200" s="4">
        <v>2027</v>
      </c>
      <c r="E4200" s="4">
        <v>0</v>
      </c>
      <c r="F4200" s="4" t="s">
        <v>29</v>
      </c>
    </row>
    <row r="4201" spans="1:6" x14ac:dyDescent="0.25">
      <c r="A4201" s="4" t="s">
        <v>84</v>
      </c>
      <c r="B4201" s="4" t="s">
        <v>1</v>
      </c>
      <c r="C4201" s="4" t="s">
        <v>34</v>
      </c>
      <c r="D4201" s="4">
        <v>2028</v>
      </c>
      <c r="E4201" s="4">
        <v>0</v>
      </c>
      <c r="F4201" s="4" t="s">
        <v>29</v>
      </c>
    </row>
    <row r="4202" spans="1:6" x14ac:dyDescent="0.25">
      <c r="A4202" s="4" t="s">
        <v>84</v>
      </c>
      <c r="B4202" s="4" t="s">
        <v>1</v>
      </c>
      <c r="C4202" s="4" t="s">
        <v>34</v>
      </c>
      <c r="D4202" s="4">
        <v>2029</v>
      </c>
      <c r="E4202" s="4">
        <v>0</v>
      </c>
      <c r="F4202" s="4" t="s">
        <v>29</v>
      </c>
    </row>
    <row r="4203" spans="1:6" x14ac:dyDescent="0.25">
      <c r="A4203" s="4" t="s">
        <v>84</v>
      </c>
      <c r="B4203" s="4" t="s">
        <v>1</v>
      </c>
      <c r="C4203" s="4" t="s">
        <v>34</v>
      </c>
      <c r="D4203" s="4">
        <v>2030</v>
      </c>
      <c r="E4203" s="4">
        <v>0</v>
      </c>
      <c r="F4203" s="4" t="s">
        <v>29</v>
      </c>
    </row>
    <row r="4204" spans="1:6" x14ac:dyDescent="0.25">
      <c r="A4204" s="4" t="s">
        <v>84</v>
      </c>
      <c r="B4204" s="4" t="s">
        <v>1</v>
      </c>
      <c r="C4204" s="4" t="s">
        <v>34</v>
      </c>
      <c r="D4204" s="4">
        <v>2031</v>
      </c>
      <c r="E4204" s="4">
        <v>0</v>
      </c>
      <c r="F4204" s="4" t="s">
        <v>29</v>
      </c>
    </row>
    <row r="4205" spans="1:6" x14ac:dyDescent="0.25">
      <c r="A4205" s="4" t="s">
        <v>84</v>
      </c>
      <c r="B4205" s="4" t="s">
        <v>1</v>
      </c>
      <c r="C4205" s="4" t="s">
        <v>34</v>
      </c>
      <c r="D4205" s="4">
        <v>2032</v>
      </c>
      <c r="E4205" s="4">
        <v>0</v>
      </c>
      <c r="F4205" s="4" t="s">
        <v>29</v>
      </c>
    </row>
    <row r="4206" spans="1:6" x14ac:dyDescent="0.25">
      <c r="A4206" s="4" t="s">
        <v>84</v>
      </c>
      <c r="B4206" s="4" t="s">
        <v>1</v>
      </c>
      <c r="C4206" s="4" t="s">
        <v>34</v>
      </c>
      <c r="D4206" s="4">
        <v>2033</v>
      </c>
      <c r="E4206" s="4">
        <v>0</v>
      </c>
      <c r="F4206" s="4" t="s">
        <v>29</v>
      </c>
    </row>
    <row r="4207" spans="1:6" x14ac:dyDescent="0.25">
      <c r="A4207" s="4" t="s">
        <v>84</v>
      </c>
      <c r="B4207" s="4" t="s">
        <v>1</v>
      </c>
      <c r="C4207" s="4" t="s">
        <v>34</v>
      </c>
      <c r="D4207" s="4">
        <v>2034</v>
      </c>
      <c r="E4207" s="4">
        <v>0</v>
      </c>
      <c r="F4207" s="4" t="s">
        <v>29</v>
      </c>
    </row>
    <row r="4208" spans="1:6" x14ac:dyDescent="0.25">
      <c r="A4208" s="4" t="s">
        <v>84</v>
      </c>
      <c r="B4208" s="4" t="s">
        <v>1</v>
      </c>
      <c r="C4208" s="4" t="s">
        <v>34</v>
      </c>
      <c r="D4208" s="4">
        <v>2035</v>
      </c>
      <c r="E4208" s="4">
        <v>0</v>
      </c>
      <c r="F4208" s="4" t="s">
        <v>29</v>
      </c>
    </row>
    <row r="4209" spans="1:6" x14ac:dyDescent="0.25">
      <c r="A4209" s="4" t="s">
        <v>84</v>
      </c>
      <c r="B4209" s="4" t="s">
        <v>1</v>
      </c>
      <c r="C4209" s="4" t="s">
        <v>34</v>
      </c>
      <c r="D4209" s="4">
        <v>2036</v>
      </c>
      <c r="E4209" s="4">
        <v>0</v>
      </c>
      <c r="F4209" s="4" t="s">
        <v>29</v>
      </c>
    </row>
    <row r="4210" spans="1:6" x14ac:dyDescent="0.25">
      <c r="A4210" s="4" t="s">
        <v>84</v>
      </c>
      <c r="B4210" s="4" t="s">
        <v>1</v>
      </c>
      <c r="C4210" s="4" t="s">
        <v>34</v>
      </c>
      <c r="D4210" s="4">
        <v>2037</v>
      </c>
      <c r="E4210" s="4">
        <v>0</v>
      </c>
      <c r="F4210" s="4" t="s">
        <v>29</v>
      </c>
    </row>
    <row r="4211" spans="1:6" x14ac:dyDescent="0.25">
      <c r="A4211" s="4" t="s">
        <v>84</v>
      </c>
      <c r="B4211" s="4" t="s">
        <v>1</v>
      </c>
      <c r="C4211" s="4" t="s">
        <v>34</v>
      </c>
      <c r="D4211" s="4">
        <v>2038</v>
      </c>
      <c r="E4211" s="4">
        <v>0</v>
      </c>
      <c r="F4211" s="4" t="s">
        <v>29</v>
      </c>
    </row>
    <row r="4212" spans="1:6" x14ac:dyDescent="0.25">
      <c r="A4212" s="4" t="s">
        <v>84</v>
      </c>
      <c r="B4212" s="4" t="s">
        <v>1</v>
      </c>
      <c r="C4212" s="4" t="s">
        <v>34</v>
      </c>
      <c r="D4212" s="4">
        <v>2039</v>
      </c>
      <c r="E4212" s="4">
        <v>0</v>
      </c>
      <c r="F4212" s="4" t="s">
        <v>29</v>
      </c>
    </row>
    <row r="4213" spans="1:6" x14ac:dyDescent="0.25">
      <c r="A4213" s="4" t="s">
        <v>84</v>
      </c>
      <c r="B4213" s="4" t="s">
        <v>1</v>
      </c>
      <c r="C4213" s="4" t="s">
        <v>34</v>
      </c>
      <c r="D4213" s="4">
        <v>2040</v>
      </c>
      <c r="E4213" s="4">
        <v>0</v>
      </c>
      <c r="F4213" s="4" t="s">
        <v>29</v>
      </c>
    </row>
    <row r="4214" spans="1:6" x14ac:dyDescent="0.25">
      <c r="A4214" s="4" t="s">
        <v>84</v>
      </c>
      <c r="B4214" s="4" t="s">
        <v>2</v>
      </c>
      <c r="C4214" s="4" t="s">
        <v>34</v>
      </c>
      <c r="D4214" s="4">
        <v>2005</v>
      </c>
      <c r="E4214" s="4">
        <v>0</v>
      </c>
      <c r="F4214" s="4" t="s">
        <v>29</v>
      </c>
    </row>
    <row r="4215" spans="1:6" x14ac:dyDescent="0.25">
      <c r="A4215" s="4" t="s">
        <v>84</v>
      </c>
      <c r="B4215" s="4" t="s">
        <v>2</v>
      </c>
      <c r="C4215" s="4" t="s">
        <v>34</v>
      </c>
      <c r="D4215" s="4">
        <v>2006</v>
      </c>
      <c r="E4215" s="4">
        <v>0</v>
      </c>
      <c r="F4215" s="4" t="s">
        <v>29</v>
      </c>
    </row>
    <row r="4216" spans="1:6" x14ac:dyDescent="0.25">
      <c r="A4216" s="4" t="s">
        <v>84</v>
      </c>
      <c r="B4216" s="4" t="s">
        <v>2</v>
      </c>
      <c r="C4216" s="4" t="s">
        <v>34</v>
      </c>
      <c r="D4216" s="4">
        <v>2007</v>
      </c>
      <c r="E4216" s="4">
        <v>0</v>
      </c>
      <c r="F4216" s="4" t="s">
        <v>29</v>
      </c>
    </row>
    <row r="4217" spans="1:6" x14ac:dyDescent="0.25">
      <c r="A4217" s="4" t="s">
        <v>84</v>
      </c>
      <c r="B4217" s="4" t="s">
        <v>2</v>
      </c>
      <c r="C4217" s="4" t="s">
        <v>34</v>
      </c>
      <c r="D4217" s="4">
        <v>2008</v>
      </c>
      <c r="E4217" s="4">
        <v>0</v>
      </c>
      <c r="F4217" s="4" t="s">
        <v>29</v>
      </c>
    </row>
    <row r="4218" spans="1:6" x14ac:dyDescent="0.25">
      <c r="A4218" s="4" t="s">
        <v>84</v>
      </c>
      <c r="B4218" s="4" t="s">
        <v>2</v>
      </c>
      <c r="C4218" s="4" t="s">
        <v>34</v>
      </c>
      <c r="D4218" s="4">
        <v>2009</v>
      </c>
      <c r="E4218" s="4">
        <v>0</v>
      </c>
      <c r="F4218" s="4" t="s">
        <v>29</v>
      </c>
    </row>
    <row r="4219" spans="1:6" x14ac:dyDescent="0.25">
      <c r="A4219" s="4" t="s">
        <v>84</v>
      </c>
      <c r="B4219" s="4" t="s">
        <v>2</v>
      </c>
      <c r="C4219" s="4" t="s">
        <v>34</v>
      </c>
      <c r="D4219" s="4">
        <v>2010</v>
      </c>
      <c r="E4219" s="4">
        <v>0</v>
      </c>
      <c r="F4219" s="4" t="s">
        <v>29</v>
      </c>
    </row>
    <row r="4220" spans="1:6" x14ac:dyDescent="0.25">
      <c r="A4220" s="4" t="s">
        <v>84</v>
      </c>
      <c r="B4220" s="4" t="s">
        <v>2</v>
      </c>
      <c r="C4220" s="4" t="s">
        <v>34</v>
      </c>
      <c r="D4220" s="4">
        <v>2011</v>
      </c>
      <c r="E4220" s="4">
        <v>0</v>
      </c>
      <c r="F4220" s="4" t="s">
        <v>29</v>
      </c>
    </row>
    <row r="4221" spans="1:6" x14ac:dyDescent="0.25">
      <c r="A4221" s="4" t="s">
        <v>84</v>
      </c>
      <c r="B4221" s="4" t="s">
        <v>2</v>
      </c>
      <c r="C4221" s="4" t="s">
        <v>34</v>
      </c>
      <c r="D4221" s="4">
        <v>2012</v>
      </c>
      <c r="E4221" s="4">
        <v>0</v>
      </c>
      <c r="F4221" s="4" t="s">
        <v>29</v>
      </c>
    </row>
    <row r="4222" spans="1:6" x14ac:dyDescent="0.25">
      <c r="A4222" s="4" t="s">
        <v>84</v>
      </c>
      <c r="B4222" s="4" t="s">
        <v>2</v>
      </c>
      <c r="C4222" s="4" t="s">
        <v>34</v>
      </c>
      <c r="D4222" s="4">
        <v>2013</v>
      </c>
      <c r="E4222" s="4">
        <v>0</v>
      </c>
      <c r="F4222" s="4" t="s">
        <v>29</v>
      </c>
    </row>
    <row r="4223" spans="1:6" x14ac:dyDescent="0.25">
      <c r="A4223" s="4" t="s">
        <v>84</v>
      </c>
      <c r="B4223" s="4" t="s">
        <v>2</v>
      </c>
      <c r="C4223" s="4" t="s">
        <v>34</v>
      </c>
      <c r="D4223" s="4">
        <v>2014</v>
      </c>
      <c r="E4223" s="4">
        <v>0</v>
      </c>
      <c r="F4223" s="4" t="s">
        <v>29</v>
      </c>
    </row>
    <row r="4224" spans="1:6" x14ac:dyDescent="0.25">
      <c r="A4224" s="4" t="s">
        <v>84</v>
      </c>
      <c r="B4224" s="4" t="s">
        <v>2</v>
      </c>
      <c r="C4224" s="4" t="s">
        <v>34</v>
      </c>
      <c r="D4224" s="4">
        <v>2015</v>
      </c>
      <c r="E4224" s="4">
        <v>0</v>
      </c>
      <c r="F4224" s="4" t="s">
        <v>29</v>
      </c>
    </row>
    <row r="4225" spans="1:6" x14ac:dyDescent="0.25">
      <c r="A4225" s="4" t="s">
        <v>84</v>
      </c>
      <c r="B4225" s="4" t="s">
        <v>2</v>
      </c>
      <c r="C4225" s="4" t="s">
        <v>34</v>
      </c>
      <c r="D4225" s="4">
        <v>2016</v>
      </c>
      <c r="E4225" s="4">
        <v>0</v>
      </c>
      <c r="F4225" s="4" t="s">
        <v>29</v>
      </c>
    </row>
    <row r="4226" spans="1:6" x14ac:dyDescent="0.25">
      <c r="A4226" s="4" t="s">
        <v>84</v>
      </c>
      <c r="B4226" s="4" t="s">
        <v>2</v>
      </c>
      <c r="C4226" s="4" t="s">
        <v>34</v>
      </c>
      <c r="D4226" s="4">
        <v>2017</v>
      </c>
      <c r="E4226" s="4">
        <v>0</v>
      </c>
      <c r="F4226" s="4" t="s">
        <v>29</v>
      </c>
    </row>
    <row r="4227" spans="1:6" x14ac:dyDescent="0.25">
      <c r="A4227" s="4" t="s">
        <v>84</v>
      </c>
      <c r="B4227" s="4" t="s">
        <v>2</v>
      </c>
      <c r="C4227" s="4" t="s">
        <v>34</v>
      </c>
      <c r="D4227" s="4">
        <v>2018</v>
      </c>
      <c r="E4227" s="4">
        <v>0</v>
      </c>
      <c r="F4227" s="4" t="s">
        <v>29</v>
      </c>
    </row>
    <row r="4228" spans="1:6" x14ac:dyDescent="0.25">
      <c r="A4228" s="4" t="s">
        <v>84</v>
      </c>
      <c r="B4228" s="4" t="s">
        <v>2</v>
      </c>
      <c r="C4228" s="4" t="s">
        <v>34</v>
      </c>
      <c r="D4228" s="4">
        <v>2019</v>
      </c>
      <c r="E4228" s="4">
        <v>0</v>
      </c>
      <c r="F4228" s="4" t="s">
        <v>29</v>
      </c>
    </row>
    <row r="4229" spans="1:6" x14ac:dyDescent="0.25">
      <c r="A4229" s="4" t="s">
        <v>84</v>
      </c>
      <c r="B4229" s="4" t="s">
        <v>2</v>
      </c>
      <c r="C4229" s="4" t="s">
        <v>34</v>
      </c>
      <c r="D4229" s="4">
        <v>2020</v>
      </c>
      <c r="E4229" s="4">
        <v>0</v>
      </c>
      <c r="F4229" s="4" t="s">
        <v>29</v>
      </c>
    </row>
    <row r="4230" spans="1:6" x14ac:dyDescent="0.25">
      <c r="A4230" s="4" t="s">
        <v>84</v>
      </c>
      <c r="B4230" s="4" t="s">
        <v>2</v>
      </c>
      <c r="C4230" s="4" t="s">
        <v>34</v>
      </c>
      <c r="D4230" s="4">
        <v>2021</v>
      </c>
      <c r="E4230" s="4">
        <v>0</v>
      </c>
      <c r="F4230" s="4" t="s">
        <v>29</v>
      </c>
    </row>
    <row r="4231" spans="1:6" x14ac:dyDescent="0.25">
      <c r="A4231" s="4" t="s">
        <v>84</v>
      </c>
      <c r="B4231" s="4" t="s">
        <v>2</v>
      </c>
      <c r="C4231" s="4" t="s">
        <v>34</v>
      </c>
      <c r="D4231" s="4">
        <v>2022</v>
      </c>
      <c r="E4231" s="4">
        <v>0</v>
      </c>
      <c r="F4231" s="4" t="s">
        <v>29</v>
      </c>
    </row>
    <row r="4232" spans="1:6" x14ac:dyDescent="0.25">
      <c r="A4232" s="4" t="s">
        <v>84</v>
      </c>
      <c r="B4232" s="4" t="s">
        <v>2</v>
      </c>
      <c r="C4232" s="4" t="s">
        <v>34</v>
      </c>
      <c r="D4232" s="4">
        <v>2023</v>
      </c>
      <c r="E4232" s="4">
        <v>0</v>
      </c>
      <c r="F4232" s="4" t="s">
        <v>29</v>
      </c>
    </row>
    <row r="4233" spans="1:6" x14ac:dyDescent="0.25">
      <c r="A4233" s="4" t="s">
        <v>84</v>
      </c>
      <c r="B4233" s="4" t="s">
        <v>2</v>
      </c>
      <c r="C4233" s="4" t="s">
        <v>34</v>
      </c>
      <c r="D4233" s="4">
        <v>2024</v>
      </c>
      <c r="E4233" s="4">
        <v>0</v>
      </c>
      <c r="F4233" s="4" t="s">
        <v>29</v>
      </c>
    </row>
    <row r="4234" spans="1:6" x14ac:dyDescent="0.25">
      <c r="A4234" s="4" t="s">
        <v>84</v>
      </c>
      <c r="B4234" s="4" t="s">
        <v>2</v>
      </c>
      <c r="C4234" s="4" t="s">
        <v>34</v>
      </c>
      <c r="D4234" s="4">
        <v>2025</v>
      </c>
      <c r="E4234" s="4">
        <v>0</v>
      </c>
      <c r="F4234" s="4" t="s">
        <v>29</v>
      </c>
    </row>
    <row r="4235" spans="1:6" x14ac:dyDescent="0.25">
      <c r="A4235" s="4" t="s">
        <v>84</v>
      </c>
      <c r="B4235" s="4" t="s">
        <v>2</v>
      </c>
      <c r="C4235" s="4" t="s">
        <v>34</v>
      </c>
      <c r="D4235" s="4">
        <v>2026</v>
      </c>
      <c r="E4235" s="4">
        <v>0</v>
      </c>
      <c r="F4235" s="4" t="s">
        <v>29</v>
      </c>
    </row>
    <row r="4236" spans="1:6" x14ac:dyDescent="0.25">
      <c r="A4236" s="4" t="s">
        <v>84</v>
      </c>
      <c r="B4236" s="4" t="s">
        <v>2</v>
      </c>
      <c r="C4236" s="4" t="s">
        <v>34</v>
      </c>
      <c r="D4236" s="4">
        <v>2027</v>
      </c>
      <c r="E4236" s="4">
        <v>0</v>
      </c>
      <c r="F4236" s="4" t="s">
        <v>29</v>
      </c>
    </row>
    <row r="4237" spans="1:6" x14ac:dyDescent="0.25">
      <c r="A4237" s="4" t="s">
        <v>84</v>
      </c>
      <c r="B4237" s="4" t="s">
        <v>2</v>
      </c>
      <c r="C4237" s="4" t="s">
        <v>34</v>
      </c>
      <c r="D4237" s="4">
        <v>2028</v>
      </c>
      <c r="E4237" s="4">
        <v>0</v>
      </c>
      <c r="F4237" s="4" t="s">
        <v>29</v>
      </c>
    </row>
    <row r="4238" spans="1:6" x14ac:dyDescent="0.25">
      <c r="A4238" s="4" t="s">
        <v>84</v>
      </c>
      <c r="B4238" s="4" t="s">
        <v>2</v>
      </c>
      <c r="C4238" s="4" t="s">
        <v>34</v>
      </c>
      <c r="D4238" s="4">
        <v>2029</v>
      </c>
      <c r="E4238" s="4">
        <v>0</v>
      </c>
      <c r="F4238" s="4" t="s">
        <v>29</v>
      </c>
    </row>
    <row r="4239" spans="1:6" x14ac:dyDescent="0.25">
      <c r="A4239" s="4" t="s">
        <v>84</v>
      </c>
      <c r="B4239" s="4" t="s">
        <v>2</v>
      </c>
      <c r="C4239" s="4" t="s">
        <v>34</v>
      </c>
      <c r="D4239" s="4">
        <v>2030</v>
      </c>
      <c r="E4239" s="4">
        <v>0</v>
      </c>
      <c r="F4239" s="4" t="s">
        <v>29</v>
      </c>
    </row>
    <row r="4240" spans="1:6" x14ac:dyDescent="0.25">
      <c r="A4240" s="4" t="s">
        <v>84</v>
      </c>
      <c r="B4240" s="4" t="s">
        <v>2</v>
      </c>
      <c r="C4240" s="4" t="s">
        <v>34</v>
      </c>
      <c r="D4240" s="4">
        <v>2031</v>
      </c>
      <c r="E4240" s="4">
        <v>0</v>
      </c>
      <c r="F4240" s="4" t="s">
        <v>29</v>
      </c>
    </row>
    <row r="4241" spans="1:6" x14ac:dyDescent="0.25">
      <c r="A4241" s="4" t="s">
        <v>84</v>
      </c>
      <c r="B4241" s="4" t="s">
        <v>2</v>
      </c>
      <c r="C4241" s="4" t="s">
        <v>34</v>
      </c>
      <c r="D4241" s="4">
        <v>2032</v>
      </c>
      <c r="E4241" s="4">
        <v>0</v>
      </c>
      <c r="F4241" s="4" t="s">
        <v>29</v>
      </c>
    </row>
    <row r="4242" spans="1:6" x14ac:dyDescent="0.25">
      <c r="A4242" s="4" t="s">
        <v>84</v>
      </c>
      <c r="B4242" s="4" t="s">
        <v>2</v>
      </c>
      <c r="C4242" s="4" t="s">
        <v>34</v>
      </c>
      <c r="D4242" s="4">
        <v>2033</v>
      </c>
      <c r="E4242" s="4">
        <v>0</v>
      </c>
      <c r="F4242" s="4" t="s">
        <v>29</v>
      </c>
    </row>
    <row r="4243" spans="1:6" x14ac:dyDescent="0.25">
      <c r="A4243" s="4" t="s">
        <v>84</v>
      </c>
      <c r="B4243" s="4" t="s">
        <v>2</v>
      </c>
      <c r="C4243" s="4" t="s">
        <v>34</v>
      </c>
      <c r="D4243" s="4">
        <v>2034</v>
      </c>
      <c r="E4243" s="4">
        <v>0</v>
      </c>
      <c r="F4243" s="4" t="s">
        <v>29</v>
      </c>
    </row>
    <row r="4244" spans="1:6" x14ac:dyDescent="0.25">
      <c r="A4244" s="4" t="s">
        <v>84</v>
      </c>
      <c r="B4244" s="4" t="s">
        <v>2</v>
      </c>
      <c r="C4244" s="4" t="s">
        <v>34</v>
      </c>
      <c r="D4244" s="4">
        <v>2035</v>
      </c>
      <c r="E4244" s="4">
        <v>0</v>
      </c>
      <c r="F4244" s="4" t="s">
        <v>29</v>
      </c>
    </row>
    <row r="4245" spans="1:6" x14ac:dyDescent="0.25">
      <c r="A4245" s="4" t="s">
        <v>84</v>
      </c>
      <c r="B4245" s="4" t="s">
        <v>2</v>
      </c>
      <c r="C4245" s="4" t="s">
        <v>34</v>
      </c>
      <c r="D4245" s="4">
        <v>2036</v>
      </c>
      <c r="E4245" s="4">
        <v>0</v>
      </c>
      <c r="F4245" s="4" t="s">
        <v>29</v>
      </c>
    </row>
    <row r="4246" spans="1:6" x14ac:dyDescent="0.25">
      <c r="A4246" s="4" t="s">
        <v>84</v>
      </c>
      <c r="B4246" s="4" t="s">
        <v>2</v>
      </c>
      <c r="C4246" s="4" t="s">
        <v>34</v>
      </c>
      <c r="D4246" s="4">
        <v>2037</v>
      </c>
      <c r="E4246" s="4">
        <v>0</v>
      </c>
      <c r="F4246" s="4" t="s">
        <v>29</v>
      </c>
    </row>
    <row r="4247" spans="1:6" x14ac:dyDescent="0.25">
      <c r="A4247" s="4" t="s">
        <v>84</v>
      </c>
      <c r="B4247" s="4" t="s">
        <v>2</v>
      </c>
      <c r="C4247" s="4" t="s">
        <v>34</v>
      </c>
      <c r="D4247" s="4">
        <v>2038</v>
      </c>
      <c r="E4247" s="4">
        <v>0</v>
      </c>
      <c r="F4247" s="4" t="s">
        <v>29</v>
      </c>
    </row>
    <row r="4248" spans="1:6" x14ac:dyDescent="0.25">
      <c r="A4248" s="4" t="s">
        <v>84</v>
      </c>
      <c r="B4248" s="4" t="s">
        <v>2</v>
      </c>
      <c r="C4248" s="4" t="s">
        <v>34</v>
      </c>
      <c r="D4248" s="4">
        <v>2039</v>
      </c>
      <c r="E4248" s="4">
        <v>0</v>
      </c>
      <c r="F4248" s="4" t="s">
        <v>29</v>
      </c>
    </row>
    <row r="4249" spans="1:6" x14ac:dyDescent="0.25">
      <c r="A4249" s="4" t="s">
        <v>84</v>
      </c>
      <c r="B4249" s="4" t="s">
        <v>2</v>
      </c>
      <c r="C4249" s="4" t="s">
        <v>34</v>
      </c>
      <c r="D4249" s="4">
        <v>2040</v>
      </c>
      <c r="E4249" s="4">
        <v>0</v>
      </c>
      <c r="F4249" s="4" t="s">
        <v>29</v>
      </c>
    </row>
    <row r="4250" spans="1:6" x14ac:dyDescent="0.25">
      <c r="A4250" s="4" t="s">
        <v>84</v>
      </c>
      <c r="B4250" s="4" t="s">
        <v>3</v>
      </c>
      <c r="C4250" s="4" t="s">
        <v>34</v>
      </c>
      <c r="D4250" s="4">
        <v>2005</v>
      </c>
      <c r="E4250" s="4">
        <v>0</v>
      </c>
      <c r="F4250" s="4" t="s">
        <v>29</v>
      </c>
    </row>
    <row r="4251" spans="1:6" x14ac:dyDescent="0.25">
      <c r="A4251" s="4" t="s">
        <v>84</v>
      </c>
      <c r="B4251" s="4" t="s">
        <v>3</v>
      </c>
      <c r="C4251" s="4" t="s">
        <v>34</v>
      </c>
      <c r="D4251" s="4">
        <v>2006</v>
      </c>
      <c r="E4251" s="4">
        <v>0</v>
      </c>
      <c r="F4251" s="4" t="s">
        <v>29</v>
      </c>
    </row>
    <row r="4252" spans="1:6" x14ac:dyDescent="0.25">
      <c r="A4252" s="4" t="s">
        <v>84</v>
      </c>
      <c r="B4252" s="4" t="s">
        <v>3</v>
      </c>
      <c r="C4252" s="4" t="s">
        <v>34</v>
      </c>
      <c r="D4252" s="4">
        <v>2007</v>
      </c>
      <c r="E4252" s="4">
        <v>0</v>
      </c>
      <c r="F4252" s="4" t="s">
        <v>29</v>
      </c>
    </row>
    <row r="4253" spans="1:6" x14ac:dyDescent="0.25">
      <c r="A4253" s="4" t="s">
        <v>84</v>
      </c>
      <c r="B4253" s="4" t="s">
        <v>3</v>
      </c>
      <c r="C4253" s="4" t="s">
        <v>34</v>
      </c>
      <c r="D4253" s="4">
        <v>2008</v>
      </c>
      <c r="E4253" s="4">
        <v>0</v>
      </c>
      <c r="F4253" s="4" t="s">
        <v>29</v>
      </c>
    </row>
    <row r="4254" spans="1:6" x14ac:dyDescent="0.25">
      <c r="A4254" s="4" t="s">
        <v>84</v>
      </c>
      <c r="B4254" s="4" t="s">
        <v>3</v>
      </c>
      <c r="C4254" s="4" t="s">
        <v>34</v>
      </c>
      <c r="D4254" s="4">
        <v>2009</v>
      </c>
      <c r="E4254" s="4">
        <v>0</v>
      </c>
      <c r="F4254" s="4" t="s">
        <v>29</v>
      </c>
    </row>
    <row r="4255" spans="1:6" x14ac:dyDescent="0.25">
      <c r="A4255" s="4" t="s">
        <v>84</v>
      </c>
      <c r="B4255" s="4" t="s">
        <v>3</v>
      </c>
      <c r="C4255" s="4" t="s">
        <v>34</v>
      </c>
      <c r="D4255" s="4">
        <v>2010</v>
      </c>
      <c r="E4255" s="4">
        <v>0</v>
      </c>
      <c r="F4255" s="4" t="s">
        <v>29</v>
      </c>
    </row>
    <row r="4256" spans="1:6" x14ac:dyDescent="0.25">
      <c r="A4256" s="4" t="s">
        <v>84</v>
      </c>
      <c r="B4256" s="4" t="s">
        <v>3</v>
      </c>
      <c r="C4256" s="4" t="s">
        <v>34</v>
      </c>
      <c r="D4256" s="4">
        <v>2011</v>
      </c>
      <c r="E4256" s="4">
        <v>0</v>
      </c>
      <c r="F4256" s="4" t="s">
        <v>29</v>
      </c>
    </row>
    <row r="4257" spans="1:6" x14ac:dyDescent="0.25">
      <c r="A4257" s="4" t="s">
        <v>84</v>
      </c>
      <c r="B4257" s="4" t="s">
        <v>3</v>
      </c>
      <c r="C4257" s="4" t="s">
        <v>34</v>
      </c>
      <c r="D4257" s="4">
        <v>2012</v>
      </c>
      <c r="E4257" s="4">
        <v>0</v>
      </c>
      <c r="F4257" s="4" t="s">
        <v>29</v>
      </c>
    </row>
    <row r="4258" spans="1:6" x14ac:dyDescent="0.25">
      <c r="A4258" s="4" t="s">
        <v>84</v>
      </c>
      <c r="B4258" s="4" t="s">
        <v>3</v>
      </c>
      <c r="C4258" s="4" t="s">
        <v>34</v>
      </c>
      <c r="D4258" s="4">
        <v>2013</v>
      </c>
      <c r="E4258" s="4">
        <v>0</v>
      </c>
      <c r="F4258" s="4" t="s">
        <v>29</v>
      </c>
    </row>
    <row r="4259" spans="1:6" x14ac:dyDescent="0.25">
      <c r="A4259" s="4" t="s">
        <v>84</v>
      </c>
      <c r="B4259" s="4" t="s">
        <v>3</v>
      </c>
      <c r="C4259" s="4" t="s">
        <v>34</v>
      </c>
      <c r="D4259" s="4">
        <v>2014</v>
      </c>
      <c r="E4259" s="4">
        <v>0</v>
      </c>
      <c r="F4259" s="4" t="s">
        <v>29</v>
      </c>
    </row>
    <row r="4260" spans="1:6" x14ac:dyDescent="0.25">
      <c r="A4260" s="4" t="s">
        <v>84</v>
      </c>
      <c r="B4260" s="4" t="s">
        <v>3</v>
      </c>
      <c r="C4260" s="4" t="s">
        <v>34</v>
      </c>
      <c r="D4260" s="4">
        <v>2015</v>
      </c>
      <c r="E4260" s="4">
        <v>0</v>
      </c>
      <c r="F4260" s="4" t="s">
        <v>29</v>
      </c>
    </row>
    <row r="4261" spans="1:6" x14ac:dyDescent="0.25">
      <c r="A4261" s="4" t="s">
        <v>84</v>
      </c>
      <c r="B4261" s="4" t="s">
        <v>3</v>
      </c>
      <c r="C4261" s="4" t="s">
        <v>34</v>
      </c>
      <c r="D4261" s="4">
        <v>2016</v>
      </c>
      <c r="E4261" s="4">
        <v>0</v>
      </c>
      <c r="F4261" s="4" t="s">
        <v>29</v>
      </c>
    </row>
    <row r="4262" spans="1:6" x14ac:dyDescent="0.25">
      <c r="A4262" s="4" t="s">
        <v>84</v>
      </c>
      <c r="B4262" s="4" t="s">
        <v>3</v>
      </c>
      <c r="C4262" s="4" t="s">
        <v>34</v>
      </c>
      <c r="D4262" s="4">
        <v>2017</v>
      </c>
      <c r="E4262" s="4">
        <v>0</v>
      </c>
      <c r="F4262" s="4" t="s">
        <v>29</v>
      </c>
    </row>
    <row r="4263" spans="1:6" x14ac:dyDescent="0.25">
      <c r="A4263" s="4" t="s">
        <v>84</v>
      </c>
      <c r="B4263" s="4" t="s">
        <v>3</v>
      </c>
      <c r="C4263" s="4" t="s">
        <v>34</v>
      </c>
      <c r="D4263" s="4">
        <v>2018</v>
      </c>
      <c r="E4263" s="4">
        <v>0</v>
      </c>
      <c r="F4263" s="4" t="s">
        <v>29</v>
      </c>
    </row>
    <row r="4264" spans="1:6" x14ac:dyDescent="0.25">
      <c r="A4264" s="4" t="s">
        <v>84</v>
      </c>
      <c r="B4264" s="4" t="s">
        <v>3</v>
      </c>
      <c r="C4264" s="4" t="s">
        <v>34</v>
      </c>
      <c r="D4264" s="4">
        <v>2019</v>
      </c>
      <c r="E4264" s="4">
        <v>0</v>
      </c>
      <c r="F4264" s="4" t="s">
        <v>29</v>
      </c>
    </row>
    <row r="4265" spans="1:6" x14ac:dyDescent="0.25">
      <c r="A4265" s="4" t="s">
        <v>84</v>
      </c>
      <c r="B4265" s="4" t="s">
        <v>3</v>
      </c>
      <c r="C4265" s="4" t="s">
        <v>34</v>
      </c>
      <c r="D4265" s="4">
        <v>2020</v>
      </c>
      <c r="E4265" s="4">
        <v>0</v>
      </c>
      <c r="F4265" s="4" t="s">
        <v>29</v>
      </c>
    </row>
    <row r="4266" spans="1:6" x14ac:dyDescent="0.25">
      <c r="A4266" s="4" t="s">
        <v>84</v>
      </c>
      <c r="B4266" s="4" t="s">
        <v>3</v>
      </c>
      <c r="C4266" s="4" t="s">
        <v>34</v>
      </c>
      <c r="D4266" s="4">
        <v>2021</v>
      </c>
      <c r="E4266" s="4">
        <v>0</v>
      </c>
      <c r="F4266" s="4" t="s">
        <v>29</v>
      </c>
    </row>
    <row r="4267" spans="1:6" x14ac:dyDescent="0.25">
      <c r="A4267" s="4" t="s">
        <v>84</v>
      </c>
      <c r="B4267" s="4" t="s">
        <v>3</v>
      </c>
      <c r="C4267" s="4" t="s">
        <v>34</v>
      </c>
      <c r="D4267" s="4">
        <v>2022</v>
      </c>
      <c r="E4267" s="4">
        <v>0</v>
      </c>
      <c r="F4267" s="4" t="s">
        <v>29</v>
      </c>
    </row>
    <row r="4268" spans="1:6" x14ac:dyDescent="0.25">
      <c r="A4268" s="4" t="s">
        <v>84</v>
      </c>
      <c r="B4268" s="4" t="s">
        <v>3</v>
      </c>
      <c r="C4268" s="4" t="s">
        <v>34</v>
      </c>
      <c r="D4268" s="4">
        <v>2023</v>
      </c>
      <c r="E4268" s="4">
        <v>0</v>
      </c>
      <c r="F4268" s="4" t="s">
        <v>29</v>
      </c>
    </row>
    <row r="4269" spans="1:6" x14ac:dyDescent="0.25">
      <c r="A4269" s="4" t="s">
        <v>84</v>
      </c>
      <c r="B4269" s="4" t="s">
        <v>3</v>
      </c>
      <c r="C4269" s="4" t="s">
        <v>34</v>
      </c>
      <c r="D4269" s="4">
        <v>2024</v>
      </c>
      <c r="E4269" s="4">
        <v>0</v>
      </c>
      <c r="F4269" s="4" t="s">
        <v>29</v>
      </c>
    </row>
    <row r="4270" spans="1:6" x14ac:dyDescent="0.25">
      <c r="A4270" s="4" t="s">
        <v>84</v>
      </c>
      <c r="B4270" s="4" t="s">
        <v>3</v>
      </c>
      <c r="C4270" s="4" t="s">
        <v>34</v>
      </c>
      <c r="D4270" s="4">
        <v>2025</v>
      </c>
      <c r="E4270" s="4">
        <v>0</v>
      </c>
      <c r="F4270" s="4" t="s">
        <v>29</v>
      </c>
    </row>
    <row r="4271" spans="1:6" x14ac:dyDescent="0.25">
      <c r="A4271" s="4" t="s">
        <v>84</v>
      </c>
      <c r="B4271" s="4" t="s">
        <v>3</v>
      </c>
      <c r="C4271" s="4" t="s">
        <v>34</v>
      </c>
      <c r="D4271" s="4">
        <v>2026</v>
      </c>
      <c r="E4271" s="4">
        <v>0</v>
      </c>
      <c r="F4271" s="4" t="s">
        <v>29</v>
      </c>
    </row>
    <row r="4272" spans="1:6" x14ac:dyDescent="0.25">
      <c r="A4272" s="4" t="s">
        <v>84</v>
      </c>
      <c r="B4272" s="4" t="s">
        <v>3</v>
      </c>
      <c r="C4272" s="4" t="s">
        <v>34</v>
      </c>
      <c r="D4272" s="4">
        <v>2027</v>
      </c>
      <c r="E4272" s="4">
        <v>0</v>
      </c>
      <c r="F4272" s="4" t="s">
        <v>29</v>
      </c>
    </row>
    <row r="4273" spans="1:6" x14ac:dyDescent="0.25">
      <c r="A4273" s="4" t="s">
        <v>84</v>
      </c>
      <c r="B4273" s="4" t="s">
        <v>3</v>
      </c>
      <c r="C4273" s="4" t="s">
        <v>34</v>
      </c>
      <c r="D4273" s="4">
        <v>2028</v>
      </c>
      <c r="E4273" s="4">
        <v>0</v>
      </c>
      <c r="F4273" s="4" t="s">
        <v>29</v>
      </c>
    </row>
    <row r="4274" spans="1:6" x14ac:dyDescent="0.25">
      <c r="A4274" s="4" t="s">
        <v>84</v>
      </c>
      <c r="B4274" s="4" t="s">
        <v>3</v>
      </c>
      <c r="C4274" s="4" t="s">
        <v>34</v>
      </c>
      <c r="D4274" s="4">
        <v>2029</v>
      </c>
      <c r="E4274" s="4">
        <v>0</v>
      </c>
      <c r="F4274" s="4" t="s">
        <v>29</v>
      </c>
    </row>
    <row r="4275" spans="1:6" x14ac:dyDescent="0.25">
      <c r="A4275" s="4" t="s">
        <v>84</v>
      </c>
      <c r="B4275" s="4" t="s">
        <v>3</v>
      </c>
      <c r="C4275" s="4" t="s">
        <v>34</v>
      </c>
      <c r="D4275" s="4">
        <v>2030</v>
      </c>
      <c r="E4275" s="4">
        <v>0</v>
      </c>
      <c r="F4275" s="4" t="s">
        <v>29</v>
      </c>
    </row>
    <row r="4276" spans="1:6" x14ac:dyDescent="0.25">
      <c r="A4276" s="4" t="s">
        <v>84</v>
      </c>
      <c r="B4276" s="4" t="s">
        <v>3</v>
      </c>
      <c r="C4276" s="4" t="s">
        <v>34</v>
      </c>
      <c r="D4276" s="4">
        <v>2031</v>
      </c>
      <c r="E4276" s="4">
        <v>0</v>
      </c>
      <c r="F4276" s="4" t="s">
        <v>29</v>
      </c>
    </row>
    <row r="4277" spans="1:6" x14ac:dyDescent="0.25">
      <c r="A4277" s="4" t="s">
        <v>84</v>
      </c>
      <c r="B4277" s="4" t="s">
        <v>3</v>
      </c>
      <c r="C4277" s="4" t="s">
        <v>34</v>
      </c>
      <c r="D4277" s="4">
        <v>2032</v>
      </c>
      <c r="E4277" s="4">
        <v>0</v>
      </c>
      <c r="F4277" s="4" t="s">
        <v>29</v>
      </c>
    </row>
    <row r="4278" spans="1:6" x14ac:dyDescent="0.25">
      <c r="A4278" s="4" t="s">
        <v>84</v>
      </c>
      <c r="B4278" s="4" t="s">
        <v>3</v>
      </c>
      <c r="C4278" s="4" t="s">
        <v>34</v>
      </c>
      <c r="D4278" s="4">
        <v>2033</v>
      </c>
      <c r="E4278" s="4">
        <v>0</v>
      </c>
      <c r="F4278" s="4" t="s">
        <v>29</v>
      </c>
    </row>
    <row r="4279" spans="1:6" x14ac:dyDescent="0.25">
      <c r="A4279" s="4" t="s">
        <v>84</v>
      </c>
      <c r="B4279" s="4" t="s">
        <v>3</v>
      </c>
      <c r="C4279" s="4" t="s">
        <v>34</v>
      </c>
      <c r="D4279" s="4">
        <v>2034</v>
      </c>
      <c r="E4279" s="4">
        <v>0</v>
      </c>
      <c r="F4279" s="4" t="s">
        <v>29</v>
      </c>
    </row>
    <row r="4280" spans="1:6" x14ac:dyDescent="0.25">
      <c r="A4280" s="4" t="s">
        <v>84</v>
      </c>
      <c r="B4280" s="4" t="s">
        <v>3</v>
      </c>
      <c r="C4280" s="4" t="s">
        <v>34</v>
      </c>
      <c r="D4280" s="4">
        <v>2035</v>
      </c>
      <c r="E4280" s="4">
        <v>0</v>
      </c>
      <c r="F4280" s="4" t="s">
        <v>29</v>
      </c>
    </row>
    <row r="4281" spans="1:6" x14ac:dyDescent="0.25">
      <c r="A4281" s="4" t="s">
        <v>84</v>
      </c>
      <c r="B4281" s="4" t="s">
        <v>3</v>
      </c>
      <c r="C4281" s="4" t="s">
        <v>34</v>
      </c>
      <c r="D4281" s="4">
        <v>2036</v>
      </c>
      <c r="E4281" s="4">
        <v>0</v>
      </c>
      <c r="F4281" s="4" t="s">
        <v>29</v>
      </c>
    </row>
    <row r="4282" spans="1:6" x14ac:dyDescent="0.25">
      <c r="A4282" s="4" t="s">
        <v>84</v>
      </c>
      <c r="B4282" s="4" t="s">
        <v>3</v>
      </c>
      <c r="C4282" s="4" t="s">
        <v>34</v>
      </c>
      <c r="D4282" s="4">
        <v>2037</v>
      </c>
      <c r="E4282" s="4">
        <v>0</v>
      </c>
      <c r="F4282" s="4" t="s">
        <v>29</v>
      </c>
    </row>
    <row r="4283" spans="1:6" x14ac:dyDescent="0.25">
      <c r="A4283" s="4" t="s">
        <v>84</v>
      </c>
      <c r="B4283" s="4" t="s">
        <v>3</v>
      </c>
      <c r="C4283" s="4" t="s">
        <v>34</v>
      </c>
      <c r="D4283" s="4">
        <v>2038</v>
      </c>
      <c r="E4283" s="4">
        <v>0</v>
      </c>
      <c r="F4283" s="4" t="s">
        <v>29</v>
      </c>
    </row>
    <row r="4284" spans="1:6" x14ac:dyDescent="0.25">
      <c r="A4284" s="4" t="s">
        <v>84</v>
      </c>
      <c r="B4284" s="4" t="s">
        <v>3</v>
      </c>
      <c r="C4284" s="4" t="s">
        <v>34</v>
      </c>
      <c r="D4284" s="4">
        <v>2039</v>
      </c>
      <c r="E4284" s="4">
        <v>0</v>
      </c>
      <c r="F4284" s="4" t="s">
        <v>29</v>
      </c>
    </row>
    <row r="4285" spans="1:6" x14ac:dyDescent="0.25">
      <c r="A4285" s="4" t="s">
        <v>84</v>
      </c>
      <c r="B4285" s="4" t="s">
        <v>3</v>
      </c>
      <c r="C4285" s="4" t="s">
        <v>34</v>
      </c>
      <c r="D4285" s="4">
        <v>2040</v>
      </c>
      <c r="E4285" s="4">
        <v>0</v>
      </c>
      <c r="F4285" s="4" t="s">
        <v>29</v>
      </c>
    </row>
    <row r="4286" spans="1:6" x14ac:dyDescent="0.25">
      <c r="A4286" s="4" t="s">
        <v>84</v>
      </c>
      <c r="B4286" s="4" t="s">
        <v>4</v>
      </c>
      <c r="C4286" s="4" t="s">
        <v>34</v>
      </c>
      <c r="D4286" s="4">
        <v>2005</v>
      </c>
      <c r="E4286" s="4">
        <v>0</v>
      </c>
      <c r="F4286" s="4" t="s">
        <v>29</v>
      </c>
    </row>
    <row r="4287" spans="1:6" x14ac:dyDescent="0.25">
      <c r="A4287" s="4" t="s">
        <v>84</v>
      </c>
      <c r="B4287" s="4" t="s">
        <v>4</v>
      </c>
      <c r="C4287" s="4" t="s">
        <v>34</v>
      </c>
      <c r="D4287" s="4">
        <v>2006</v>
      </c>
      <c r="E4287" s="4">
        <v>0</v>
      </c>
      <c r="F4287" s="4" t="s">
        <v>29</v>
      </c>
    </row>
    <row r="4288" spans="1:6" x14ac:dyDescent="0.25">
      <c r="A4288" s="4" t="s">
        <v>84</v>
      </c>
      <c r="B4288" s="4" t="s">
        <v>4</v>
      </c>
      <c r="C4288" s="4" t="s">
        <v>34</v>
      </c>
      <c r="D4288" s="4">
        <v>2007</v>
      </c>
      <c r="E4288" s="4">
        <v>0</v>
      </c>
      <c r="F4288" s="4" t="s">
        <v>29</v>
      </c>
    </row>
    <row r="4289" spans="1:6" x14ac:dyDescent="0.25">
      <c r="A4289" s="4" t="s">
        <v>84</v>
      </c>
      <c r="B4289" s="4" t="s">
        <v>4</v>
      </c>
      <c r="C4289" s="4" t="s">
        <v>34</v>
      </c>
      <c r="D4289" s="4">
        <v>2008</v>
      </c>
      <c r="E4289" s="4">
        <v>0</v>
      </c>
      <c r="F4289" s="4" t="s">
        <v>29</v>
      </c>
    </row>
    <row r="4290" spans="1:6" x14ac:dyDescent="0.25">
      <c r="A4290" s="4" t="s">
        <v>84</v>
      </c>
      <c r="B4290" s="4" t="s">
        <v>4</v>
      </c>
      <c r="C4290" s="4" t="s">
        <v>34</v>
      </c>
      <c r="D4290" s="4">
        <v>2009</v>
      </c>
      <c r="E4290" s="4">
        <v>0</v>
      </c>
      <c r="F4290" s="4" t="s">
        <v>29</v>
      </c>
    </row>
    <row r="4291" spans="1:6" x14ac:dyDescent="0.25">
      <c r="A4291" s="4" t="s">
        <v>84</v>
      </c>
      <c r="B4291" s="4" t="s">
        <v>4</v>
      </c>
      <c r="C4291" s="4" t="s">
        <v>34</v>
      </c>
      <c r="D4291" s="4">
        <v>2010</v>
      </c>
      <c r="E4291" s="4">
        <v>0</v>
      </c>
      <c r="F4291" s="4" t="s">
        <v>29</v>
      </c>
    </row>
    <row r="4292" spans="1:6" x14ac:dyDescent="0.25">
      <c r="A4292" s="4" t="s">
        <v>84</v>
      </c>
      <c r="B4292" s="4" t="s">
        <v>4</v>
      </c>
      <c r="C4292" s="4" t="s">
        <v>34</v>
      </c>
      <c r="D4292" s="4">
        <v>2011</v>
      </c>
      <c r="E4292" s="4">
        <v>0</v>
      </c>
      <c r="F4292" s="4" t="s">
        <v>29</v>
      </c>
    </row>
    <row r="4293" spans="1:6" x14ac:dyDescent="0.25">
      <c r="A4293" s="4" t="s">
        <v>84</v>
      </c>
      <c r="B4293" s="4" t="s">
        <v>4</v>
      </c>
      <c r="C4293" s="4" t="s">
        <v>34</v>
      </c>
      <c r="D4293" s="4">
        <v>2012</v>
      </c>
      <c r="E4293" s="4">
        <v>0</v>
      </c>
      <c r="F4293" s="4" t="s">
        <v>29</v>
      </c>
    </row>
    <row r="4294" spans="1:6" x14ac:dyDescent="0.25">
      <c r="A4294" s="4" t="s">
        <v>84</v>
      </c>
      <c r="B4294" s="4" t="s">
        <v>4</v>
      </c>
      <c r="C4294" s="4" t="s">
        <v>34</v>
      </c>
      <c r="D4294" s="4">
        <v>2013</v>
      </c>
      <c r="E4294" s="4">
        <v>0</v>
      </c>
      <c r="F4294" s="4" t="s">
        <v>29</v>
      </c>
    </row>
    <row r="4295" spans="1:6" x14ac:dyDescent="0.25">
      <c r="A4295" s="4" t="s">
        <v>84</v>
      </c>
      <c r="B4295" s="4" t="s">
        <v>4</v>
      </c>
      <c r="C4295" s="4" t="s">
        <v>34</v>
      </c>
      <c r="D4295" s="4">
        <v>2014</v>
      </c>
      <c r="E4295" s="4">
        <v>0</v>
      </c>
      <c r="F4295" s="4" t="s">
        <v>29</v>
      </c>
    </row>
    <row r="4296" spans="1:6" x14ac:dyDescent="0.25">
      <c r="A4296" s="4" t="s">
        <v>84</v>
      </c>
      <c r="B4296" s="4" t="s">
        <v>4</v>
      </c>
      <c r="C4296" s="4" t="s">
        <v>34</v>
      </c>
      <c r="D4296" s="4">
        <v>2015</v>
      </c>
      <c r="E4296" s="4">
        <v>0</v>
      </c>
      <c r="F4296" s="4" t="s">
        <v>29</v>
      </c>
    </row>
    <row r="4297" spans="1:6" x14ac:dyDescent="0.25">
      <c r="A4297" s="4" t="s">
        <v>84</v>
      </c>
      <c r="B4297" s="4" t="s">
        <v>4</v>
      </c>
      <c r="C4297" s="4" t="s">
        <v>34</v>
      </c>
      <c r="D4297" s="4">
        <v>2016</v>
      </c>
      <c r="E4297" s="4">
        <v>0</v>
      </c>
      <c r="F4297" s="4" t="s">
        <v>29</v>
      </c>
    </row>
    <row r="4298" spans="1:6" x14ac:dyDescent="0.25">
      <c r="A4298" s="4" t="s">
        <v>84</v>
      </c>
      <c r="B4298" s="4" t="s">
        <v>4</v>
      </c>
      <c r="C4298" s="4" t="s">
        <v>34</v>
      </c>
      <c r="D4298" s="4">
        <v>2017</v>
      </c>
      <c r="E4298" s="4">
        <v>0</v>
      </c>
      <c r="F4298" s="4" t="s">
        <v>29</v>
      </c>
    </row>
    <row r="4299" spans="1:6" x14ac:dyDescent="0.25">
      <c r="A4299" s="4" t="s">
        <v>84</v>
      </c>
      <c r="B4299" s="4" t="s">
        <v>4</v>
      </c>
      <c r="C4299" s="4" t="s">
        <v>34</v>
      </c>
      <c r="D4299" s="4">
        <v>2018</v>
      </c>
      <c r="E4299" s="4">
        <v>0</v>
      </c>
      <c r="F4299" s="4" t="s">
        <v>29</v>
      </c>
    </row>
    <row r="4300" spans="1:6" x14ac:dyDescent="0.25">
      <c r="A4300" s="4" t="s">
        <v>84</v>
      </c>
      <c r="B4300" s="4" t="s">
        <v>4</v>
      </c>
      <c r="C4300" s="4" t="s">
        <v>34</v>
      </c>
      <c r="D4300" s="4">
        <v>2019</v>
      </c>
      <c r="E4300" s="4">
        <v>0</v>
      </c>
      <c r="F4300" s="4" t="s">
        <v>29</v>
      </c>
    </row>
    <row r="4301" spans="1:6" x14ac:dyDescent="0.25">
      <c r="A4301" s="4" t="s">
        <v>84</v>
      </c>
      <c r="B4301" s="4" t="s">
        <v>4</v>
      </c>
      <c r="C4301" s="4" t="s">
        <v>34</v>
      </c>
      <c r="D4301" s="4">
        <v>2020</v>
      </c>
      <c r="E4301" s="4">
        <v>0</v>
      </c>
      <c r="F4301" s="4" t="s">
        <v>29</v>
      </c>
    </row>
    <row r="4302" spans="1:6" x14ac:dyDescent="0.25">
      <c r="A4302" s="4" t="s">
        <v>84</v>
      </c>
      <c r="B4302" s="4" t="s">
        <v>4</v>
      </c>
      <c r="C4302" s="4" t="s">
        <v>34</v>
      </c>
      <c r="D4302" s="4">
        <v>2021</v>
      </c>
      <c r="E4302" s="4">
        <v>0</v>
      </c>
      <c r="F4302" s="4" t="s">
        <v>29</v>
      </c>
    </row>
    <row r="4303" spans="1:6" x14ac:dyDescent="0.25">
      <c r="A4303" s="4" t="s">
        <v>84</v>
      </c>
      <c r="B4303" s="4" t="s">
        <v>4</v>
      </c>
      <c r="C4303" s="4" t="s">
        <v>34</v>
      </c>
      <c r="D4303" s="4">
        <v>2022</v>
      </c>
      <c r="E4303" s="4">
        <v>0</v>
      </c>
      <c r="F4303" s="4" t="s">
        <v>29</v>
      </c>
    </row>
    <row r="4304" spans="1:6" x14ac:dyDescent="0.25">
      <c r="A4304" s="4" t="s">
        <v>84</v>
      </c>
      <c r="B4304" s="4" t="s">
        <v>4</v>
      </c>
      <c r="C4304" s="4" t="s">
        <v>34</v>
      </c>
      <c r="D4304" s="4">
        <v>2023</v>
      </c>
      <c r="E4304" s="4">
        <v>0</v>
      </c>
      <c r="F4304" s="4" t="s">
        <v>29</v>
      </c>
    </row>
    <row r="4305" spans="1:6" x14ac:dyDescent="0.25">
      <c r="A4305" s="4" t="s">
        <v>84</v>
      </c>
      <c r="B4305" s="4" t="s">
        <v>4</v>
      </c>
      <c r="C4305" s="4" t="s">
        <v>34</v>
      </c>
      <c r="D4305" s="4">
        <v>2024</v>
      </c>
      <c r="E4305" s="4">
        <v>0</v>
      </c>
      <c r="F4305" s="4" t="s">
        <v>29</v>
      </c>
    </row>
    <row r="4306" spans="1:6" x14ac:dyDescent="0.25">
      <c r="A4306" s="4" t="s">
        <v>84</v>
      </c>
      <c r="B4306" s="4" t="s">
        <v>4</v>
      </c>
      <c r="C4306" s="4" t="s">
        <v>34</v>
      </c>
      <c r="D4306" s="4">
        <v>2025</v>
      </c>
      <c r="E4306" s="4">
        <v>0</v>
      </c>
      <c r="F4306" s="4" t="s">
        <v>29</v>
      </c>
    </row>
    <row r="4307" spans="1:6" x14ac:dyDescent="0.25">
      <c r="A4307" s="4" t="s">
        <v>84</v>
      </c>
      <c r="B4307" s="4" t="s">
        <v>4</v>
      </c>
      <c r="C4307" s="4" t="s">
        <v>34</v>
      </c>
      <c r="D4307" s="4">
        <v>2026</v>
      </c>
      <c r="E4307" s="4">
        <v>0</v>
      </c>
      <c r="F4307" s="4" t="s">
        <v>29</v>
      </c>
    </row>
    <row r="4308" spans="1:6" x14ac:dyDescent="0.25">
      <c r="A4308" s="4" t="s">
        <v>84</v>
      </c>
      <c r="B4308" s="4" t="s">
        <v>4</v>
      </c>
      <c r="C4308" s="4" t="s">
        <v>34</v>
      </c>
      <c r="D4308" s="4">
        <v>2027</v>
      </c>
      <c r="E4308" s="4">
        <v>0</v>
      </c>
      <c r="F4308" s="4" t="s">
        <v>29</v>
      </c>
    </row>
    <row r="4309" spans="1:6" x14ac:dyDescent="0.25">
      <c r="A4309" s="4" t="s">
        <v>84</v>
      </c>
      <c r="B4309" s="4" t="s">
        <v>4</v>
      </c>
      <c r="C4309" s="4" t="s">
        <v>34</v>
      </c>
      <c r="D4309" s="4">
        <v>2028</v>
      </c>
      <c r="E4309" s="4">
        <v>0</v>
      </c>
      <c r="F4309" s="4" t="s">
        <v>29</v>
      </c>
    </row>
    <row r="4310" spans="1:6" x14ac:dyDescent="0.25">
      <c r="A4310" s="4" t="s">
        <v>84</v>
      </c>
      <c r="B4310" s="4" t="s">
        <v>4</v>
      </c>
      <c r="C4310" s="4" t="s">
        <v>34</v>
      </c>
      <c r="D4310" s="4">
        <v>2029</v>
      </c>
      <c r="E4310" s="4">
        <v>0</v>
      </c>
      <c r="F4310" s="4" t="s">
        <v>29</v>
      </c>
    </row>
    <row r="4311" spans="1:6" x14ac:dyDescent="0.25">
      <c r="A4311" s="4" t="s">
        <v>84</v>
      </c>
      <c r="B4311" s="4" t="s">
        <v>4</v>
      </c>
      <c r="C4311" s="4" t="s">
        <v>34</v>
      </c>
      <c r="D4311" s="4">
        <v>2030</v>
      </c>
      <c r="E4311" s="4">
        <v>0</v>
      </c>
      <c r="F4311" s="4" t="s">
        <v>29</v>
      </c>
    </row>
    <row r="4312" spans="1:6" x14ac:dyDescent="0.25">
      <c r="A4312" s="4" t="s">
        <v>84</v>
      </c>
      <c r="B4312" s="4" t="s">
        <v>4</v>
      </c>
      <c r="C4312" s="4" t="s">
        <v>34</v>
      </c>
      <c r="D4312" s="4">
        <v>2031</v>
      </c>
      <c r="E4312" s="4">
        <v>0</v>
      </c>
      <c r="F4312" s="4" t="s">
        <v>29</v>
      </c>
    </row>
    <row r="4313" spans="1:6" x14ac:dyDescent="0.25">
      <c r="A4313" s="4" t="s">
        <v>84</v>
      </c>
      <c r="B4313" s="4" t="s">
        <v>4</v>
      </c>
      <c r="C4313" s="4" t="s">
        <v>34</v>
      </c>
      <c r="D4313" s="4">
        <v>2032</v>
      </c>
      <c r="E4313" s="4">
        <v>0</v>
      </c>
      <c r="F4313" s="4" t="s">
        <v>29</v>
      </c>
    </row>
    <row r="4314" spans="1:6" x14ac:dyDescent="0.25">
      <c r="A4314" s="4" t="s">
        <v>84</v>
      </c>
      <c r="B4314" s="4" t="s">
        <v>4</v>
      </c>
      <c r="C4314" s="4" t="s">
        <v>34</v>
      </c>
      <c r="D4314" s="4">
        <v>2033</v>
      </c>
      <c r="E4314" s="4">
        <v>0</v>
      </c>
      <c r="F4314" s="4" t="s">
        <v>29</v>
      </c>
    </row>
    <row r="4315" spans="1:6" x14ac:dyDescent="0.25">
      <c r="A4315" s="4" t="s">
        <v>84</v>
      </c>
      <c r="B4315" s="4" t="s">
        <v>4</v>
      </c>
      <c r="C4315" s="4" t="s">
        <v>34</v>
      </c>
      <c r="D4315" s="4">
        <v>2034</v>
      </c>
      <c r="E4315" s="4">
        <v>0</v>
      </c>
      <c r="F4315" s="4" t="s">
        <v>29</v>
      </c>
    </row>
    <row r="4316" spans="1:6" x14ac:dyDescent="0.25">
      <c r="A4316" s="4" t="s">
        <v>84</v>
      </c>
      <c r="B4316" s="4" t="s">
        <v>4</v>
      </c>
      <c r="C4316" s="4" t="s">
        <v>34</v>
      </c>
      <c r="D4316" s="4">
        <v>2035</v>
      </c>
      <c r="E4316" s="4">
        <v>0</v>
      </c>
      <c r="F4316" s="4" t="s">
        <v>29</v>
      </c>
    </row>
    <row r="4317" spans="1:6" x14ac:dyDescent="0.25">
      <c r="A4317" s="4" t="s">
        <v>84</v>
      </c>
      <c r="B4317" s="4" t="s">
        <v>4</v>
      </c>
      <c r="C4317" s="4" t="s">
        <v>34</v>
      </c>
      <c r="D4317" s="4">
        <v>2036</v>
      </c>
      <c r="E4317" s="4">
        <v>0</v>
      </c>
      <c r="F4317" s="4" t="s">
        <v>29</v>
      </c>
    </row>
    <row r="4318" spans="1:6" x14ac:dyDescent="0.25">
      <c r="A4318" s="4" t="s">
        <v>84</v>
      </c>
      <c r="B4318" s="4" t="s">
        <v>4</v>
      </c>
      <c r="C4318" s="4" t="s">
        <v>34</v>
      </c>
      <c r="D4318" s="4">
        <v>2037</v>
      </c>
      <c r="E4318" s="4">
        <v>0</v>
      </c>
      <c r="F4318" s="4" t="s">
        <v>29</v>
      </c>
    </row>
    <row r="4319" spans="1:6" x14ac:dyDescent="0.25">
      <c r="A4319" s="4" t="s">
        <v>84</v>
      </c>
      <c r="B4319" s="4" t="s">
        <v>4</v>
      </c>
      <c r="C4319" s="4" t="s">
        <v>34</v>
      </c>
      <c r="D4319" s="4">
        <v>2038</v>
      </c>
      <c r="E4319" s="4">
        <v>0</v>
      </c>
      <c r="F4319" s="4" t="s">
        <v>29</v>
      </c>
    </row>
    <row r="4320" spans="1:6" x14ac:dyDescent="0.25">
      <c r="A4320" s="4" t="s">
        <v>84</v>
      </c>
      <c r="B4320" s="4" t="s">
        <v>4</v>
      </c>
      <c r="C4320" s="4" t="s">
        <v>34</v>
      </c>
      <c r="D4320" s="4">
        <v>2039</v>
      </c>
      <c r="E4320" s="4">
        <v>0</v>
      </c>
      <c r="F4320" s="4" t="s">
        <v>29</v>
      </c>
    </row>
    <row r="4321" spans="1:6" x14ac:dyDescent="0.25">
      <c r="A4321" s="4" t="s">
        <v>84</v>
      </c>
      <c r="B4321" s="4" t="s">
        <v>4</v>
      </c>
      <c r="C4321" s="4" t="s">
        <v>34</v>
      </c>
      <c r="D4321" s="4">
        <v>2040</v>
      </c>
      <c r="E4321" s="4">
        <v>0</v>
      </c>
      <c r="F4321" s="4" t="s">
        <v>29</v>
      </c>
    </row>
    <row r="4322" spans="1:6" x14ac:dyDescent="0.25">
      <c r="A4322" s="4" t="s">
        <v>84</v>
      </c>
      <c r="B4322" s="4" t="s">
        <v>5</v>
      </c>
      <c r="C4322" s="4" t="s">
        <v>34</v>
      </c>
      <c r="D4322" s="4">
        <v>2005</v>
      </c>
      <c r="E4322" s="4">
        <v>0</v>
      </c>
      <c r="F4322" s="4" t="s">
        <v>29</v>
      </c>
    </row>
    <row r="4323" spans="1:6" x14ac:dyDescent="0.25">
      <c r="A4323" s="4" t="s">
        <v>84</v>
      </c>
      <c r="B4323" s="4" t="s">
        <v>5</v>
      </c>
      <c r="C4323" s="4" t="s">
        <v>34</v>
      </c>
      <c r="D4323" s="4">
        <v>2006</v>
      </c>
      <c r="E4323" s="4">
        <v>0</v>
      </c>
      <c r="F4323" s="4" t="s">
        <v>29</v>
      </c>
    </row>
    <row r="4324" spans="1:6" x14ac:dyDescent="0.25">
      <c r="A4324" s="4" t="s">
        <v>84</v>
      </c>
      <c r="B4324" s="4" t="s">
        <v>5</v>
      </c>
      <c r="C4324" s="4" t="s">
        <v>34</v>
      </c>
      <c r="D4324" s="4">
        <v>2007</v>
      </c>
      <c r="E4324" s="4">
        <v>0</v>
      </c>
      <c r="F4324" s="4" t="s">
        <v>29</v>
      </c>
    </row>
    <row r="4325" spans="1:6" x14ac:dyDescent="0.25">
      <c r="A4325" s="4" t="s">
        <v>84</v>
      </c>
      <c r="B4325" s="4" t="s">
        <v>5</v>
      </c>
      <c r="C4325" s="4" t="s">
        <v>34</v>
      </c>
      <c r="D4325" s="4">
        <v>2008</v>
      </c>
      <c r="E4325" s="4">
        <v>0</v>
      </c>
      <c r="F4325" s="4" t="s">
        <v>29</v>
      </c>
    </row>
    <row r="4326" spans="1:6" x14ac:dyDescent="0.25">
      <c r="A4326" s="4" t="s">
        <v>84</v>
      </c>
      <c r="B4326" s="4" t="s">
        <v>5</v>
      </c>
      <c r="C4326" s="4" t="s">
        <v>34</v>
      </c>
      <c r="D4326" s="4">
        <v>2009</v>
      </c>
      <c r="E4326" s="4">
        <v>0</v>
      </c>
      <c r="F4326" s="4" t="s">
        <v>29</v>
      </c>
    </row>
    <row r="4327" spans="1:6" x14ac:dyDescent="0.25">
      <c r="A4327" s="4" t="s">
        <v>84</v>
      </c>
      <c r="B4327" s="4" t="s">
        <v>5</v>
      </c>
      <c r="C4327" s="4" t="s">
        <v>34</v>
      </c>
      <c r="D4327" s="4">
        <v>2010</v>
      </c>
      <c r="E4327" s="4">
        <v>0</v>
      </c>
      <c r="F4327" s="4" t="s">
        <v>29</v>
      </c>
    </row>
    <row r="4328" spans="1:6" x14ac:dyDescent="0.25">
      <c r="A4328" s="4" t="s">
        <v>84</v>
      </c>
      <c r="B4328" s="4" t="s">
        <v>5</v>
      </c>
      <c r="C4328" s="4" t="s">
        <v>34</v>
      </c>
      <c r="D4328" s="4">
        <v>2011</v>
      </c>
      <c r="E4328" s="4">
        <v>0</v>
      </c>
      <c r="F4328" s="4" t="s">
        <v>29</v>
      </c>
    </row>
    <row r="4329" spans="1:6" x14ac:dyDescent="0.25">
      <c r="A4329" s="4" t="s">
        <v>84</v>
      </c>
      <c r="B4329" s="4" t="s">
        <v>5</v>
      </c>
      <c r="C4329" s="4" t="s">
        <v>34</v>
      </c>
      <c r="D4329" s="4">
        <v>2012</v>
      </c>
      <c r="E4329" s="4">
        <v>0</v>
      </c>
      <c r="F4329" s="4" t="s">
        <v>29</v>
      </c>
    </row>
    <row r="4330" spans="1:6" x14ac:dyDescent="0.25">
      <c r="A4330" s="4" t="s">
        <v>84</v>
      </c>
      <c r="B4330" s="4" t="s">
        <v>5</v>
      </c>
      <c r="C4330" s="4" t="s">
        <v>34</v>
      </c>
      <c r="D4330" s="4">
        <v>2013</v>
      </c>
      <c r="E4330" s="4">
        <v>0</v>
      </c>
      <c r="F4330" s="4" t="s">
        <v>29</v>
      </c>
    </row>
    <row r="4331" spans="1:6" x14ac:dyDescent="0.25">
      <c r="A4331" s="4" t="s">
        <v>84</v>
      </c>
      <c r="B4331" s="4" t="s">
        <v>5</v>
      </c>
      <c r="C4331" s="4" t="s">
        <v>34</v>
      </c>
      <c r="D4331" s="4">
        <v>2014</v>
      </c>
      <c r="E4331" s="4">
        <v>0</v>
      </c>
      <c r="F4331" s="4" t="s">
        <v>29</v>
      </c>
    </row>
    <row r="4332" spans="1:6" x14ac:dyDescent="0.25">
      <c r="A4332" s="4" t="s">
        <v>84</v>
      </c>
      <c r="B4332" s="4" t="s">
        <v>5</v>
      </c>
      <c r="C4332" s="4" t="s">
        <v>34</v>
      </c>
      <c r="D4332" s="4">
        <v>2015</v>
      </c>
      <c r="E4332" s="4">
        <v>0</v>
      </c>
      <c r="F4332" s="4" t="s">
        <v>29</v>
      </c>
    </row>
    <row r="4333" spans="1:6" x14ac:dyDescent="0.25">
      <c r="A4333" s="4" t="s">
        <v>84</v>
      </c>
      <c r="B4333" s="4" t="s">
        <v>5</v>
      </c>
      <c r="C4333" s="4" t="s">
        <v>34</v>
      </c>
      <c r="D4333" s="4">
        <v>2016</v>
      </c>
      <c r="E4333" s="4">
        <v>0</v>
      </c>
      <c r="F4333" s="4" t="s">
        <v>29</v>
      </c>
    </row>
    <row r="4334" spans="1:6" x14ac:dyDescent="0.25">
      <c r="A4334" s="4" t="s">
        <v>84</v>
      </c>
      <c r="B4334" s="4" t="s">
        <v>5</v>
      </c>
      <c r="C4334" s="4" t="s">
        <v>34</v>
      </c>
      <c r="D4334" s="4">
        <v>2017</v>
      </c>
      <c r="E4334" s="4">
        <v>0</v>
      </c>
      <c r="F4334" s="4" t="s">
        <v>29</v>
      </c>
    </row>
    <row r="4335" spans="1:6" x14ac:dyDescent="0.25">
      <c r="A4335" s="4" t="s">
        <v>84</v>
      </c>
      <c r="B4335" s="4" t="s">
        <v>5</v>
      </c>
      <c r="C4335" s="4" t="s">
        <v>34</v>
      </c>
      <c r="D4335" s="4">
        <v>2018</v>
      </c>
      <c r="E4335" s="4">
        <v>0</v>
      </c>
      <c r="F4335" s="4" t="s">
        <v>29</v>
      </c>
    </row>
    <row r="4336" spans="1:6" x14ac:dyDescent="0.25">
      <c r="A4336" s="4" t="s">
        <v>84</v>
      </c>
      <c r="B4336" s="4" t="s">
        <v>5</v>
      </c>
      <c r="C4336" s="4" t="s">
        <v>34</v>
      </c>
      <c r="D4336" s="4">
        <v>2019</v>
      </c>
      <c r="E4336" s="4">
        <v>0</v>
      </c>
      <c r="F4336" s="4" t="s">
        <v>29</v>
      </c>
    </row>
    <row r="4337" spans="1:6" x14ac:dyDescent="0.25">
      <c r="A4337" s="4" t="s">
        <v>84</v>
      </c>
      <c r="B4337" s="4" t="s">
        <v>5</v>
      </c>
      <c r="C4337" s="4" t="s">
        <v>34</v>
      </c>
      <c r="D4337" s="4">
        <v>2020</v>
      </c>
      <c r="E4337" s="4">
        <v>0</v>
      </c>
      <c r="F4337" s="4" t="s">
        <v>29</v>
      </c>
    </row>
    <row r="4338" spans="1:6" x14ac:dyDescent="0.25">
      <c r="A4338" s="4" t="s">
        <v>84</v>
      </c>
      <c r="B4338" s="4" t="s">
        <v>5</v>
      </c>
      <c r="C4338" s="4" t="s">
        <v>34</v>
      </c>
      <c r="D4338" s="4">
        <v>2021</v>
      </c>
      <c r="E4338" s="4">
        <v>0</v>
      </c>
      <c r="F4338" s="4" t="s">
        <v>29</v>
      </c>
    </row>
    <row r="4339" spans="1:6" x14ac:dyDescent="0.25">
      <c r="A4339" s="4" t="s">
        <v>84</v>
      </c>
      <c r="B4339" s="4" t="s">
        <v>5</v>
      </c>
      <c r="C4339" s="4" t="s">
        <v>34</v>
      </c>
      <c r="D4339" s="4">
        <v>2022</v>
      </c>
      <c r="E4339" s="4">
        <v>0</v>
      </c>
      <c r="F4339" s="4" t="s">
        <v>29</v>
      </c>
    </row>
    <row r="4340" spans="1:6" x14ac:dyDescent="0.25">
      <c r="A4340" s="4" t="s">
        <v>84</v>
      </c>
      <c r="B4340" s="4" t="s">
        <v>5</v>
      </c>
      <c r="C4340" s="4" t="s">
        <v>34</v>
      </c>
      <c r="D4340" s="4">
        <v>2023</v>
      </c>
      <c r="E4340" s="4">
        <v>0</v>
      </c>
      <c r="F4340" s="4" t="s">
        <v>29</v>
      </c>
    </row>
    <row r="4341" spans="1:6" x14ac:dyDescent="0.25">
      <c r="A4341" s="4" t="s">
        <v>84</v>
      </c>
      <c r="B4341" s="4" t="s">
        <v>5</v>
      </c>
      <c r="C4341" s="4" t="s">
        <v>34</v>
      </c>
      <c r="D4341" s="4">
        <v>2024</v>
      </c>
      <c r="E4341" s="4">
        <v>0</v>
      </c>
      <c r="F4341" s="4" t="s">
        <v>29</v>
      </c>
    </row>
    <row r="4342" spans="1:6" x14ac:dyDescent="0.25">
      <c r="A4342" s="4" t="s">
        <v>84</v>
      </c>
      <c r="B4342" s="4" t="s">
        <v>5</v>
      </c>
      <c r="C4342" s="4" t="s">
        <v>34</v>
      </c>
      <c r="D4342" s="4">
        <v>2025</v>
      </c>
      <c r="E4342" s="4">
        <v>0</v>
      </c>
      <c r="F4342" s="4" t="s">
        <v>29</v>
      </c>
    </row>
    <row r="4343" spans="1:6" x14ac:dyDescent="0.25">
      <c r="A4343" s="4" t="s">
        <v>84</v>
      </c>
      <c r="B4343" s="4" t="s">
        <v>5</v>
      </c>
      <c r="C4343" s="4" t="s">
        <v>34</v>
      </c>
      <c r="D4343" s="4">
        <v>2026</v>
      </c>
      <c r="E4343" s="4">
        <v>0</v>
      </c>
      <c r="F4343" s="4" t="s">
        <v>29</v>
      </c>
    </row>
    <row r="4344" spans="1:6" x14ac:dyDescent="0.25">
      <c r="A4344" s="4" t="s">
        <v>84</v>
      </c>
      <c r="B4344" s="4" t="s">
        <v>5</v>
      </c>
      <c r="C4344" s="4" t="s">
        <v>34</v>
      </c>
      <c r="D4344" s="4">
        <v>2027</v>
      </c>
      <c r="E4344" s="4">
        <v>0</v>
      </c>
      <c r="F4344" s="4" t="s">
        <v>29</v>
      </c>
    </row>
    <row r="4345" spans="1:6" x14ac:dyDescent="0.25">
      <c r="A4345" s="4" t="s">
        <v>84</v>
      </c>
      <c r="B4345" s="4" t="s">
        <v>5</v>
      </c>
      <c r="C4345" s="4" t="s">
        <v>34</v>
      </c>
      <c r="D4345" s="4">
        <v>2028</v>
      </c>
      <c r="E4345" s="4">
        <v>0</v>
      </c>
      <c r="F4345" s="4" t="s">
        <v>29</v>
      </c>
    </row>
    <row r="4346" spans="1:6" x14ac:dyDescent="0.25">
      <c r="A4346" s="4" t="s">
        <v>84</v>
      </c>
      <c r="B4346" s="4" t="s">
        <v>5</v>
      </c>
      <c r="C4346" s="4" t="s">
        <v>34</v>
      </c>
      <c r="D4346" s="4">
        <v>2029</v>
      </c>
      <c r="E4346" s="4">
        <v>0</v>
      </c>
      <c r="F4346" s="4" t="s">
        <v>29</v>
      </c>
    </row>
    <row r="4347" spans="1:6" x14ac:dyDescent="0.25">
      <c r="A4347" s="4" t="s">
        <v>84</v>
      </c>
      <c r="B4347" s="4" t="s">
        <v>5</v>
      </c>
      <c r="C4347" s="4" t="s">
        <v>34</v>
      </c>
      <c r="D4347" s="4">
        <v>2030</v>
      </c>
      <c r="E4347" s="4">
        <v>0</v>
      </c>
      <c r="F4347" s="4" t="s">
        <v>29</v>
      </c>
    </row>
    <row r="4348" spans="1:6" x14ac:dyDescent="0.25">
      <c r="A4348" s="4" t="s">
        <v>84</v>
      </c>
      <c r="B4348" s="4" t="s">
        <v>5</v>
      </c>
      <c r="C4348" s="4" t="s">
        <v>34</v>
      </c>
      <c r="D4348" s="4">
        <v>2031</v>
      </c>
      <c r="E4348" s="4">
        <v>0</v>
      </c>
      <c r="F4348" s="4" t="s">
        <v>29</v>
      </c>
    </row>
    <row r="4349" spans="1:6" x14ac:dyDescent="0.25">
      <c r="A4349" s="4" t="s">
        <v>84</v>
      </c>
      <c r="B4349" s="4" t="s">
        <v>5</v>
      </c>
      <c r="C4349" s="4" t="s">
        <v>34</v>
      </c>
      <c r="D4349" s="4">
        <v>2032</v>
      </c>
      <c r="E4349" s="4">
        <v>0</v>
      </c>
      <c r="F4349" s="4" t="s">
        <v>29</v>
      </c>
    </row>
    <row r="4350" spans="1:6" x14ac:dyDescent="0.25">
      <c r="A4350" s="4" t="s">
        <v>84</v>
      </c>
      <c r="B4350" s="4" t="s">
        <v>5</v>
      </c>
      <c r="C4350" s="4" t="s">
        <v>34</v>
      </c>
      <c r="D4350" s="4">
        <v>2033</v>
      </c>
      <c r="E4350" s="4">
        <v>0</v>
      </c>
      <c r="F4350" s="4" t="s">
        <v>29</v>
      </c>
    </row>
    <row r="4351" spans="1:6" x14ac:dyDescent="0.25">
      <c r="A4351" s="4" t="s">
        <v>84</v>
      </c>
      <c r="B4351" s="4" t="s">
        <v>5</v>
      </c>
      <c r="C4351" s="4" t="s">
        <v>34</v>
      </c>
      <c r="D4351" s="4">
        <v>2034</v>
      </c>
      <c r="E4351" s="4">
        <v>0</v>
      </c>
      <c r="F4351" s="4" t="s">
        <v>29</v>
      </c>
    </row>
    <row r="4352" spans="1:6" x14ac:dyDescent="0.25">
      <c r="A4352" s="4" t="s">
        <v>84</v>
      </c>
      <c r="B4352" s="4" t="s">
        <v>5</v>
      </c>
      <c r="C4352" s="4" t="s">
        <v>34</v>
      </c>
      <c r="D4352" s="4">
        <v>2035</v>
      </c>
      <c r="E4352" s="4">
        <v>0</v>
      </c>
      <c r="F4352" s="4" t="s">
        <v>29</v>
      </c>
    </row>
    <row r="4353" spans="1:6" x14ac:dyDescent="0.25">
      <c r="A4353" s="4" t="s">
        <v>84</v>
      </c>
      <c r="B4353" s="4" t="s">
        <v>5</v>
      </c>
      <c r="C4353" s="4" t="s">
        <v>34</v>
      </c>
      <c r="D4353" s="4">
        <v>2036</v>
      </c>
      <c r="E4353" s="4">
        <v>0</v>
      </c>
      <c r="F4353" s="4" t="s">
        <v>29</v>
      </c>
    </row>
    <row r="4354" spans="1:6" x14ac:dyDescent="0.25">
      <c r="A4354" s="4" t="s">
        <v>84</v>
      </c>
      <c r="B4354" s="4" t="s">
        <v>5</v>
      </c>
      <c r="C4354" s="4" t="s">
        <v>34</v>
      </c>
      <c r="D4354" s="4">
        <v>2037</v>
      </c>
      <c r="E4354" s="4">
        <v>0</v>
      </c>
      <c r="F4354" s="4" t="s">
        <v>29</v>
      </c>
    </row>
    <row r="4355" spans="1:6" x14ac:dyDescent="0.25">
      <c r="A4355" s="4" t="s">
        <v>84</v>
      </c>
      <c r="B4355" s="4" t="s">
        <v>5</v>
      </c>
      <c r="C4355" s="4" t="s">
        <v>34</v>
      </c>
      <c r="D4355" s="4">
        <v>2038</v>
      </c>
      <c r="E4355" s="4">
        <v>0</v>
      </c>
      <c r="F4355" s="4" t="s">
        <v>29</v>
      </c>
    </row>
    <row r="4356" spans="1:6" x14ac:dyDescent="0.25">
      <c r="A4356" s="4" t="s">
        <v>84</v>
      </c>
      <c r="B4356" s="4" t="s">
        <v>5</v>
      </c>
      <c r="C4356" s="4" t="s">
        <v>34</v>
      </c>
      <c r="D4356" s="4">
        <v>2039</v>
      </c>
      <c r="E4356" s="4">
        <v>0</v>
      </c>
      <c r="F4356" s="4" t="s">
        <v>29</v>
      </c>
    </row>
    <row r="4357" spans="1:6" x14ac:dyDescent="0.25">
      <c r="A4357" s="4" t="s">
        <v>84</v>
      </c>
      <c r="B4357" s="4" t="s">
        <v>5</v>
      </c>
      <c r="C4357" s="4" t="s">
        <v>34</v>
      </c>
      <c r="D4357" s="4">
        <v>2040</v>
      </c>
      <c r="E4357" s="4">
        <v>0</v>
      </c>
      <c r="F4357" s="4" t="s">
        <v>29</v>
      </c>
    </row>
    <row r="4358" spans="1:6" x14ac:dyDescent="0.25">
      <c r="A4358" s="4" t="s">
        <v>84</v>
      </c>
      <c r="B4358" s="4" t="s">
        <v>6</v>
      </c>
      <c r="C4358" s="4" t="s">
        <v>34</v>
      </c>
      <c r="D4358" s="4">
        <v>2005</v>
      </c>
      <c r="E4358" s="4">
        <v>0</v>
      </c>
      <c r="F4358" s="4" t="s">
        <v>29</v>
      </c>
    </row>
    <row r="4359" spans="1:6" x14ac:dyDescent="0.25">
      <c r="A4359" s="4" t="s">
        <v>84</v>
      </c>
      <c r="B4359" s="4" t="s">
        <v>6</v>
      </c>
      <c r="C4359" s="4" t="s">
        <v>34</v>
      </c>
      <c r="D4359" s="4">
        <v>2006</v>
      </c>
      <c r="E4359" s="4">
        <v>0</v>
      </c>
      <c r="F4359" s="4" t="s">
        <v>29</v>
      </c>
    </row>
    <row r="4360" spans="1:6" x14ac:dyDescent="0.25">
      <c r="A4360" s="4" t="s">
        <v>84</v>
      </c>
      <c r="B4360" s="4" t="s">
        <v>6</v>
      </c>
      <c r="C4360" s="4" t="s">
        <v>34</v>
      </c>
      <c r="D4360" s="4">
        <v>2007</v>
      </c>
      <c r="E4360" s="4">
        <v>0</v>
      </c>
      <c r="F4360" s="4" t="s">
        <v>29</v>
      </c>
    </row>
    <row r="4361" spans="1:6" x14ac:dyDescent="0.25">
      <c r="A4361" s="4" t="s">
        <v>84</v>
      </c>
      <c r="B4361" s="4" t="s">
        <v>6</v>
      </c>
      <c r="C4361" s="4" t="s">
        <v>34</v>
      </c>
      <c r="D4361" s="4">
        <v>2008</v>
      </c>
      <c r="E4361" s="4">
        <v>0</v>
      </c>
      <c r="F4361" s="4" t="s">
        <v>29</v>
      </c>
    </row>
    <row r="4362" spans="1:6" x14ac:dyDescent="0.25">
      <c r="A4362" s="4" t="s">
        <v>84</v>
      </c>
      <c r="B4362" s="4" t="s">
        <v>6</v>
      </c>
      <c r="C4362" s="4" t="s">
        <v>34</v>
      </c>
      <c r="D4362" s="4">
        <v>2009</v>
      </c>
      <c r="E4362" s="4">
        <v>0</v>
      </c>
      <c r="F4362" s="4" t="s">
        <v>29</v>
      </c>
    </row>
    <row r="4363" spans="1:6" x14ac:dyDescent="0.25">
      <c r="A4363" s="4" t="s">
        <v>84</v>
      </c>
      <c r="B4363" s="4" t="s">
        <v>6</v>
      </c>
      <c r="C4363" s="4" t="s">
        <v>34</v>
      </c>
      <c r="D4363" s="4">
        <v>2010</v>
      </c>
      <c r="E4363" s="4">
        <v>0</v>
      </c>
      <c r="F4363" s="4" t="s">
        <v>29</v>
      </c>
    </row>
    <row r="4364" spans="1:6" x14ac:dyDescent="0.25">
      <c r="A4364" s="4" t="s">
        <v>84</v>
      </c>
      <c r="B4364" s="4" t="s">
        <v>6</v>
      </c>
      <c r="C4364" s="4" t="s">
        <v>34</v>
      </c>
      <c r="D4364" s="4">
        <v>2011</v>
      </c>
      <c r="E4364" s="4">
        <v>0</v>
      </c>
      <c r="F4364" s="4" t="s">
        <v>29</v>
      </c>
    </row>
    <row r="4365" spans="1:6" x14ac:dyDescent="0.25">
      <c r="A4365" s="4" t="s">
        <v>84</v>
      </c>
      <c r="B4365" s="4" t="s">
        <v>6</v>
      </c>
      <c r="C4365" s="4" t="s">
        <v>34</v>
      </c>
      <c r="D4365" s="4">
        <v>2012</v>
      </c>
      <c r="E4365" s="4">
        <v>0</v>
      </c>
      <c r="F4365" s="4" t="s">
        <v>29</v>
      </c>
    </row>
    <row r="4366" spans="1:6" x14ac:dyDescent="0.25">
      <c r="A4366" s="4" t="s">
        <v>84</v>
      </c>
      <c r="B4366" s="4" t="s">
        <v>6</v>
      </c>
      <c r="C4366" s="4" t="s">
        <v>34</v>
      </c>
      <c r="D4366" s="4">
        <v>2013</v>
      </c>
      <c r="E4366" s="4">
        <v>0</v>
      </c>
      <c r="F4366" s="4" t="s">
        <v>29</v>
      </c>
    </row>
    <row r="4367" spans="1:6" x14ac:dyDescent="0.25">
      <c r="A4367" s="4" t="s">
        <v>84</v>
      </c>
      <c r="B4367" s="4" t="s">
        <v>6</v>
      </c>
      <c r="C4367" s="4" t="s">
        <v>34</v>
      </c>
      <c r="D4367" s="4">
        <v>2014</v>
      </c>
      <c r="E4367" s="4">
        <v>0</v>
      </c>
      <c r="F4367" s="4" t="s">
        <v>29</v>
      </c>
    </row>
    <row r="4368" spans="1:6" x14ac:dyDescent="0.25">
      <c r="A4368" s="4" t="s">
        <v>84</v>
      </c>
      <c r="B4368" s="4" t="s">
        <v>6</v>
      </c>
      <c r="C4368" s="4" t="s">
        <v>34</v>
      </c>
      <c r="D4368" s="4">
        <v>2015</v>
      </c>
      <c r="E4368" s="4">
        <v>0</v>
      </c>
      <c r="F4368" s="4" t="s">
        <v>29</v>
      </c>
    </row>
    <row r="4369" spans="1:6" x14ac:dyDescent="0.25">
      <c r="A4369" s="4" t="s">
        <v>84</v>
      </c>
      <c r="B4369" s="4" t="s">
        <v>6</v>
      </c>
      <c r="C4369" s="4" t="s">
        <v>34</v>
      </c>
      <c r="D4369" s="4">
        <v>2016</v>
      </c>
      <c r="E4369" s="4">
        <v>0</v>
      </c>
      <c r="F4369" s="4" t="s">
        <v>29</v>
      </c>
    </row>
    <row r="4370" spans="1:6" x14ac:dyDescent="0.25">
      <c r="A4370" s="4" t="s">
        <v>84</v>
      </c>
      <c r="B4370" s="4" t="s">
        <v>6</v>
      </c>
      <c r="C4370" s="4" t="s">
        <v>34</v>
      </c>
      <c r="D4370" s="4">
        <v>2017</v>
      </c>
      <c r="E4370" s="4">
        <v>0</v>
      </c>
      <c r="F4370" s="4" t="s">
        <v>29</v>
      </c>
    </row>
    <row r="4371" spans="1:6" x14ac:dyDescent="0.25">
      <c r="A4371" s="4" t="s">
        <v>84</v>
      </c>
      <c r="B4371" s="4" t="s">
        <v>6</v>
      </c>
      <c r="C4371" s="4" t="s">
        <v>34</v>
      </c>
      <c r="D4371" s="4">
        <v>2018</v>
      </c>
      <c r="E4371" s="4">
        <v>0</v>
      </c>
      <c r="F4371" s="4" t="s">
        <v>29</v>
      </c>
    </row>
    <row r="4372" spans="1:6" x14ac:dyDescent="0.25">
      <c r="A4372" s="4" t="s">
        <v>84</v>
      </c>
      <c r="B4372" s="4" t="s">
        <v>6</v>
      </c>
      <c r="C4372" s="4" t="s">
        <v>34</v>
      </c>
      <c r="D4372" s="4">
        <v>2019</v>
      </c>
      <c r="E4372" s="4">
        <v>0</v>
      </c>
      <c r="F4372" s="4" t="s">
        <v>29</v>
      </c>
    </row>
    <row r="4373" spans="1:6" x14ac:dyDescent="0.25">
      <c r="A4373" s="4" t="s">
        <v>84</v>
      </c>
      <c r="B4373" s="4" t="s">
        <v>6</v>
      </c>
      <c r="C4373" s="4" t="s">
        <v>34</v>
      </c>
      <c r="D4373" s="4">
        <v>2020</v>
      </c>
      <c r="E4373" s="4">
        <v>0</v>
      </c>
      <c r="F4373" s="4" t="s">
        <v>29</v>
      </c>
    </row>
    <row r="4374" spans="1:6" x14ac:dyDescent="0.25">
      <c r="A4374" s="4" t="s">
        <v>84</v>
      </c>
      <c r="B4374" s="4" t="s">
        <v>6</v>
      </c>
      <c r="C4374" s="4" t="s">
        <v>34</v>
      </c>
      <c r="D4374" s="4">
        <v>2021</v>
      </c>
      <c r="E4374" s="4">
        <v>0</v>
      </c>
      <c r="F4374" s="4" t="s">
        <v>29</v>
      </c>
    </row>
    <row r="4375" spans="1:6" x14ac:dyDescent="0.25">
      <c r="A4375" s="4" t="s">
        <v>84</v>
      </c>
      <c r="B4375" s="4" t="s">
        <v>6</v>
      </c>
      <c r="C4375" s="4" t="s">
        <v>34</v>
      </c>
      <c r="D4375" s="4">
        <v>2022</v>
      </c>
      <c r="E4375" s="4">
        <v>0</v>
      </c>
      <c r="F4375" s="4" t="s">
        <v>29</v>
      </c>
    </row>
    <row r="4376" spans="1:6" x14ac:dyDescent="0.25">
      <c r="A4376" s="4" t="s">
        <v>84</v>
      </c>
      <c r="B4376" s="4" t="s">
        <v>6</v>
      </c>
      <c r="C4376" s="4" t="s">
        <v>34</v>
      </c>
      <c r="D4376" s="4">
        <v>2023</v>
      </c>
      <c r="E4376" s="4">
        <v>0</v>
      </c>
      <c r="F4376" s="4" t="s">
        <v>29</v>
      </c>
    </row>
    <row r="4377" spans="1:6" x14ac:dyDescent="0.25">
      <c r="A4377" s="4" t="s">
        <v>84</v>
      </c>
      <c r="B4377" s="4" t="s">
        <v>6</v>
      </c>
      <c r="C4377" s="4" t="s">
        <v>34</v>
      </c>
      <c r="D4377" s="4">
        <v>2024</v>
      </c>
      <c r="E4377" s="4">
        <v>0</v>
      </c>
      <c r="F4377" s="4" t="s">
        <v>29</v>
      </c>
    </row>
    <row r="4378" spans="1:6" x14ac:dyDescent="0.25">
      <c r="A4378" s="4" t="s">
        <v>84</v>
      </c>
      <c r="B4378" s="4" t="s">
        <v>6</v>
      </c>
      <c r="C4378" s="4" t="s">
        <v>34</v>
      </c>
      <c r="D4378" s="4">
        <v>2025</v>
      </c>
      <c r="E4378" s="4">
        <v>0</v>
      </c>
      <c r="F4378" s="4" t="s">
        <v>29</v>
      </c>
    </row>
    <row r="4379" spans="1:6" x14ac:dyDescent="0.25">
      <c r="A4379" s="4" t="s">
        <v>84</v>
      </c>
      <c r="B4379" s="4" t="s">
        <v>6</v>
      </c>
      <c r="C4379" s="4" t="s">
        <v>34</v>
      </c>
      <c r="D4379" s="4">
        <v>2026</v>
      </c>
      <c r="E4379" s="4">
        <v>0</v>
      </c>
      <c r="F4379" s="4" t="s">
        <v>29</v>
      </c>
    </row>
    <row r="4380" spans="1:6" x14ac:dyDescent="0.25">
      <c r="A4380" s="4" t="s">
        <v>84</v>
      </c>
      <c r="B4380" s="4" t="s">
        <v>6</v>
      </c>
      <c r="C4380" s="4" t="s">
        <v>34</v>
      </c>
      <c r="D4380" s="4">
        <v>2027</v>
      </c>
      <c r="E4380" s="4">
        <v>0</v>
      </c>
      <c r="F4380" s="4" t="s">
        <v>29</v>
      </c>
    </row>
    <row r="4381" spans="1:6" x14ac:dyDescent="0.25">
      <c r="A4381" s="4" t="s">
        <v>84</v>
      </c>
      <c r="B4381" s="4" t="s">
        <v>6</v>
      </c>
      <c r="C4381" s="4" t="s">
        <v>34</v>
      </c>
      <c r="D4381" s="4">
        <v>2028</v>
      </c>
      <c r="E4381" s="4">
        <v>0</v>
      </c>
      <c r="F4381" s="4" t="s">
        <v>29</v>
      </c>
    </row>
    <row r="4382" spans="1:6" x14ac:dyDescent="0.25">
      <c r="A4382" s="4" t="s">
        <v>84</v>
      </c>
      <c r="B4382" s="4" t="s">
        <v>6</v>
      </c>
      <c r="C4382" s="4" t="s">
        <v>34</v>
      </c>
      <c r="D4382" s="4">
        <v>2029</v>
      </c>
      <c r="E4382" s="4">
        <v>0</v>
      </c>
      <c r="F4382" s="4" t="s">
        <v>29</v>
      </c>
    </row>
    <row r="4383" spans="1:6" x14ac:dyDescent="0.25">
      <c r="A4383" s="4" t="s">
        <v>84</v>
      </c>
      <c r="B4383" s="4" t="s">
        <v>6</v>
      </c>
      <c r="C4383" s="4" t="s">
        <v>34</v>
      </c>
      <c r="D4383" s="4">
        <v>2030</v>
      </c>
      <c r="E4383" s="4">
        <v>0</v>
      </c>
      <c r="F4383" s="4" t="s">
        <v>29</v>
      </c>
    </row>
    <row r="4384" spans="1:6" x14ac:dyDescent="0.25">
      <c r="A4384" s="4" t="s">
        <v>84</v>
      </c>
      <c r="B4384" s="4" t="s">
        <v>6</v>
      </c>
      <c r="C4384" s="4" t="s">
        <v>34</v>
      </c>
      <c r="D4384" s="4">
        <v>2031</v>
      </c>
      <c r="E4384" s="4">
        <v>0</v>
      </c>
      <c r="F4384" s="4" t="s">
        <v>29</v>
      </c>
    </row>
    <row r="4385" spans="1:6" x14ac:dyDescent="0.25">
      <c r="A4385" s="4" t="s">
        <v>84</v>
      </c>
      <c r="B4385" s="4" t="s">
        <v>6</v>
      </c>
      <c r="C4385" s="4" t="s">
        <v>34</v>
      </c>
      <c r="D4385" s="4">
        <v>2032</v>
      </c>
      <c r="E4385" s="4">
        <v>0</v>
      </c>
      <c r="F4385" s="4" t="s">
        <v>29</v>
      </c>
    </row>
    <row r="4386" spans="1:6" x14ac:dyDescent="0.25">
      <c r="A4386" s="4" t="s">
        <v>84</v>
      </c>
      <c r="B4386" s="4" t="s">
        <v>6</v>
      </c>
      <c r="C4386" s="4" t="s">
        <v>34</v>
      </c>
      <c r="D4386" s="4">
        <v>2033</v>
      </c>
      <c r="E4386" s="4">
        <v>0</v>
      </c>
      <c r="F4386" s="4" t="s">
        <v>29</v>
      </c>
    </row>
    <row r="4387" spans="1:6" x14ac:dyDescent="0.25">
      <c r="A4387" s="4" t="s">
        <v>84</v>
      </c>
      <c r="B4387" s="4" t="s">
        <v>6</v>
      </c>
      <c r="C4387" s="4" t="s">
        <v>34</v>
      </c>
      <c r="D4387" s="4">
        <v>2034</v>
      </c>
      <c r="E4387" s="4">
        <v>0</v>
      </c>
      <c r="F4387" s="4" t="s">
        <v>29</v>
      </c>
    </row>
    <row r="4388" spans="1:6" x14ac:dyDescent="0.25">
      <c r="A4388" s="4" t="s">
        <v>84</v>
      </c>
      <c r="B4388" s="4" t="s">
        <v>6</v>
      </c>
      <c r="C4388" s="4" t="s">
        <v>34</v>
      </c>
      <c r="D4388" s="4">
        <v>2035</v>
      </c>
      <c r="E4388" s="4">
        <v>0</v>
      </c>
      <c r="F4388" s="4" t="s">
        <v>29</v>
      </c>
    </row>
    <row r="4389" spans="1:6" x14ac:dyDescent="0.25">
      <c r="A4389" s="4" t="s">
        <v>84</v>
      </c>
      <c r="B4389" s="4" t="s">
        <v>6</v>
      </c>
      <c r="C4389" s="4" t="s">
        <v>34</v>
      </c>
      <c r="D4389" s="4">
        <v>2036</v>
      </c>
      <c r="E4389" s="4">
        <v>0</v>
      </c>
      <c r="F4389" s="4" t="s">
        <v>29</v>
      </c>
    </row>
    <row r="4390" spans="1:6" x14ac:dyDescent="0.25">
      <c r="A4390" s="4" t="s">
        <v>84</v>
      </c>
      <c r="B4390" s="4" t="s">
        <v>6</v>
      </c>
      <c r="C4390" s="4" t="s">
        <v>34</v>
      </c>
      <c r="D4390" s="4">
        <v>2037</v>
      </c>
      <c r="E4390" s="4">
        <v>0</v>
      </c>
      <c r="F4390" s="4" t="s">
        <v>29</v>
      </c>
    </row>
    <row r="4391" spans="1:6" x14ac:dyDescent="0.25">
      <c r="A4391" s="4" t="s">
        <v>84</v>
      </c>
      <c r="B4391" s="4" t="s">
        <v>6</v>
      </c>
      <c r="C4391" s="4" t="s">
        <v>34</v>
      </c>
      <c r="D4391" s="4">
        <v>2038</v>
      </c>
      <c r="E4391" s="4">
        <v>0</v>
      </c>
      <c r="F4391" s="4" t="s">
        <v>29</v>
      </c>
    </row>
    <row r="4392" spans="1:6" x14ac:dyDescent="0.25">
      <c r="A4392" s="4" t="s">
        <v>84</v>
      </c>
      <c r="B4392" s="4" t="s">
        <v>6</v>
      </c>
      <c r="C4392" s="4" t="s">
        <v>34</v>
      </c>
      <c r="D4392" s="4">
        <v>2039</v>
      </c>
      <c r="E4392" s="4">
        <v>0</v>
      </c>
      <c r="F4392" s="4" t="s">
        <v>29</v>
      </c>
    </row>
    <row r="4393" spans="1:6" x14ac:dyDescent="0.25">
      <c r="A4393" s="4" t="s">
        <v>84</v>
      </c>
      <c r="B4393" s="4" t="s">
        <v>6</v>
      </c>
      <c r="C4393" s="4" t="s">
        <v>34</v>
      </c>
      <c r="D4393" s="4">
        <v>2040</v>
      </c>
      <c r="E4393" s="4">
        <v>0</v>
      </c>
      <c r="F4393" s="4" t="s">
        <v>29</v>
      </c>
    </row>
    <row r="4394" spans="1:6" x14ac:dyDescent="0.25">
      <c r="A4394" s="4" t="s">
        <v>84</v>
      </c>
      <c r="B4394" s="4" t="s">
        <v>23</v>
      </c>
      <c r="C4394" s="4" t="s">
        <v>34</v>
      </c>
      <c r="D4394" s="4">
        <v>2005</v>
      </c>
      <c r="E4394" s="4">
        <v>0</v>
      </c>
      <c r="F4394" s="4" t="s">
        <v>29</v>
      </c>
    </row>
    <row r="4395" spans="1:6" x14ac:dyDescent="0.25">
      <c r="A4395" s="4" t="s">
        <v>84</v>
      </c>
      <c r="B4395" s="4" t="s">
        <v>23</v>
      </c>
      <c r="C4395" s="4" t="s">
        <v>34</v>
      </c>
      <c r="D4395" s="4">
        <v>2006</v>
      </c>
      <c r="E4395" s="4">
        <v>0</v>
      </c>
      <c r="F4395" s="4" t="s">
        <v>29</v>
      </c>
    </row>
    <row r="4396" spans="1:6" x14ac:dyDescent="0.25">
      <c r="A4396" s="4" t="s">
        <v>84</v>
      </c>
      <c r="B4396" s="4" t="s">
        <v>23</v>
      </c>
      <c r="C4396" s="4" t="s">
        <v>34</v>
      </c>
      <c r="D4396" s="4">
        <v>2007</v>
      </c>
      <c r="E4396" s="4">
        <v>0</v>
      </c>
      <c r="F4396" s="4" t="s">
        <v>29</v>
      </c>
    </row>
    <row r="4397" spans="1:6" x14ac:dyDescent="0.25">
      <c r="A4397" s="4" t="s">
        <v>84</v>
      </c>
      <c r="B4397" s="4" t="s">
        <v>23</v>
      </c>
      <c r="C4397" s="4" t="s">
        <v>34</v>
      </c>
      <c r="D4397" s="4">
        <v>2008</v>
      </c>
      <c r="E4397" s="4">
        <v>0</v>
      </c>
      <c r="F4397" s="4" t="s">
        <v>29</v>
      </c>
    </row>
    <row r="4398" spans="1:6" x14ac:dyDescent="0.25">
      <c r="A4398" s="4" t="s">
        <v>84</v>
      </c>
      <c r="B4398" s="4" t="s">
        <v>23</v>
      </c>
      <c r="C4398" s="4" t="s">
        <v>34</v>
      </c>
      <c r="D4398" s="4">
        <v>2009</v>
      </c>
      <c r="E4398" s="4">
        <v>0</v>
      </c>
      <c r="F4398" s="4" t="s">
        <v>29</v>
      </c>
    </row>
    <row r="4399" spans="1:6" x14ac:dyDescent="0.25">
      <c r="A4399" s="4" t="s">
        <v>84</v>
      </c>
      <c r="B4399" s="4" t="s">
        <v>23</v>
      </c>
      <c r="C4399" s="4" t="s">
        <v>34</v>
      </c>
      <c r="D4399" s="4">
        <v>2010</v>
      </c>
      <c r="E4399" s="4">
        <v>0</v>
      </c>
      <c r="F4399" s="4" t="s">
        <v>29</v>
      </c>
    </row>
    <row r="4400" spans="1:6" x14ac:dyDescent="0.25">
      <c r="A4400" s="4" t="s">
        <v>84</v>
      </c>
      <c r="B4400" s="4" t="s">
        <v>23</v>
      </c>
      <c r="C4400" s="4" t="s">
        <v>34</v>
      </c>
      <c r="D4400" s="4">
        <v>2011</v>
      </c>
      <c r="E4400" s="4">
        <v>0</v>
      </c>
      <c r="F4400" s="4" t="s">
        <v>29</v>
      </c>
    </row>
    <row r="4401" spans="1:6" x14ac:dyDescent="0.25">
      <c r="A4401" s="4" t="s">
        <v>84</v>
      </c>
      <c r="B4401" s="4" t="s">
        <v>23</v>
      </c>
      <c r="C4401" s="4" t="s">
        <v>34</v>
      </c>
      <c r="D4401" s="4">
        <v>2012</v>
      </c>
      <c r="E4401" s="4">
        <v>0</v>
      </c>
      <c r="F4401" s="4" t="s">
        <v>29</v>
      </c>
    </row>
    <row r="4402" spans="1:6" x14ac:dyDescent="0.25">
      <c r="A4402" s="4" t="s">
        <v>84</v>
      </c>
      <c r="B4402" s="4" t="s">
        <v>23</v>
      </c>
      <c r="C4402" s="4" t="s">
        <v>34</v>
      </c>
      <c r="D4402" s="4">
        <v>2013</v>
      </c>
      <c r="E4402" s="4">
        <v>0</v>
      </c>
      <c r="F4402" s="4" t="s">
        <v>29</v>
      </c>
    </row>
    <row r="4403" spans="1:6" x14ac:dyDescent="0.25">
      <c r="A4403" s="4" t="s">
        <v>84</v>
      </c>
      <c r="B4403" s="4" t="s">
        <v>23</v>
      </c>
      <c r="C4403" s="4" t="s">
        <v>34</v>
      </c>
      <c r="D4403" s="4">
        <v>2014</v>
      </c>
      <c r="E4403" s="4">
        <v>0</v>
      </c>
      <c r="F4403" s="4" t="s">
        <v>29</v>
      </c>
    </row>
    <row r="4404" spans="1:6" x14ac:dyDescent="0.25">
      <c r="A4404" s="4" t="s">
        <v>84</v>
      </c>
      <c r="B4404" s="4" t="s">
        <v>23</v>
      </c>
      <c r="C4404" s="4" t="s">
        <v>34</v>
      </c>
      <c r="D4404" s="4">
        <v>2015</v>
      </c>
      <c r="E4404" s="4">
        <v>0</v>
      </c>
      <c r="F4404" s="4" t="s">
        <v>29</v>
      </c>
    </row>
    <row r="4405" spans="1:6" x14ac:dyDescent="0.25">
      <c r="A4405" s="4" t="s">
        <v>84</v>
      </c>
      <c r="B4405" s="4" t="s">
        <v>23</v>
      </c>
      <c r="C4405" s="4" t="s">
        <v>34</v>
      </c>
      <c r="D4405" s="4">
        <v>2016</v>
      </c>
      <c r="E4405" s="4">
        <v>0</v>
      </c>
      <c r="F4405" s="4" t="s">
        <v>29</v>
      </c>
    </row>
    <row r="4406" spans="1:6" x14ac:dyDescent="0.25">
      <c r="A4406" s="4" t="s">
        <v>84</v>
      </c>
      <c r="B4406" s="4" t="s">
        <v>23</v>
      </c>
      <c r="C4406" s="4" t="s">
        <v>34</v>
      </c>
      <c r="D4406" s="4">
        <v>2017</v>
      </c>
      <c r="E4406" s="4">
        <v>0</v>
      </c>
      <c r="F4406" s="4" t="s">
        <v>29</v>
      </c>
    </row>
    <row r="4407" spans="1:6" x14ac:dyDescent="0.25">
      <c r="A4407" s="4" t="s">
        <v>84</v>
      </c>
      <c r="B4407" s="4" t="s">
        <v>23</v>
      </c>
      <c r="C4407" s="4" t="s">
        <v>34</v>
      </c>
      <c r="D4407" s="4">
        <v>2018</v>
      </c>
      <c r="E4407" s="4">
        <v>0</v>
      </c>
      <c r="F4407" s="4" t="s">
        <v>29</v>
      </c>
    </row>
    <row r="4408" spans="1:6" x14ac:dyDescent="0.25">
      <c r="A4408" s="4" t="s">
        <v>84</v>
      </c>
      <c r="B4408" s="4" t="s">
        <v>23</v>
      </c>
      <c r="C4408" s="4" t="s">
        <v>34</v>
      </c>
      <c r="D4408" s="4">
        <v>2019</v>
      </c>
      <c r="E4408" s="4">
        <v>0</v>
      </c>
      <c r="F4408" s="4" t="s">
        <v>29</v>
      </c>
    </row>
    <row r="4409" spans="1:6" x14ac:dyDescent="0.25">
      <c r="A4409" s="4" t="s">
        <v>84</v>
      </c>
      <c r="B4409" s="4" t="s">
        <v>23</v>
      </c>
      <c r="C4409" s="4" t="s">
        <v>34</v>
      </c>
      <c r="D4409" s="4">
        <v>2020</v>
      </c>
      <c r="E4409" s="4">
        <v>0</v>
      </c>
      <c r="F4409" s="4" t="s">
        <v>29</v>
      </c>
    </row>
    <row r="4410" spans="1:6" x14ac:dyDescent="0.25">
      <c r="A4410" s="4" t="s">
        <v>84</v>
      </c>
      <c r="B4410" s="4" t="s">
        <v>23</v>
      </c>
      <c r="C4410" s="4" t="s">
        <v>34</v>
      </c>
      <c r="D4410" s="4">
        <v>2021</v>
      </c>
      <c r="E4410" s="4">
        <v>0</v>
      </c>
      <c r="F4410" s="4" t="s">
        <v>29</v>
      </c>
    </row>
    <row r="4411" spans="1:6" x14ac:dyDescent="0.25">
      <c r="A4411" s="4" t="s">
        <v>84</v>
      </c>
      <c r="B4411" s="4" t="s">
        <v>23</v>
      </c>
      <c r="C4411" s="4" t="s">
        <v>34</v>
      </c>
      <c r="D4411" s="4">
        <v>2022</v>
      </c>
      <c r="E4411" s="4">
        <v>0</v>
      </c>
      <c r="F4411" s="4" t="s">
        <v>29</v>
      </c>
    </row>
    <row r="4412" spans="1:6" x14ac:dyDescent="0.25">
      <c r="A4412" s="4" t="s">
        <v>84</v>
      </c>
      <c r="B4412" s="4" t="s">
        <v>23</v>
      </c>
      <c r="C4412" s="4" t="s">
        <v>34</v>
      </c>
      <c r="D4412" s="4">
        <v>2023</v>
      </c>
      <c r="E4412" s="4">
        <v>0</v>
      </c>
      <c r="F4412" s="4" t="s">
        <v>29</v>
      </c>
    </row>
    <row r="4413" spans="1:6" x14ac:dyDescent="0.25">
      <c r="A4413" s="4" t="s">
        <v>84</v>
      </c>
      <c r="B4413" s="4" t="s">
        <v>23</v>
      </c>
      <c r="C4413" s="4" t="s">
        <v>34</v>
      </c>
      <c r="D4413" s="4">
        <v>2024</v>
      </c>
      <c r="E4413" s="4">
        <v>0</v>
      </c>
      <c r="F4413" s="4" t="s">
        <v>29</v>
      </c>
    </row>
    <row r="4414" spans="1:6" x14ac:dyDescent="0.25">
      <c r="A4414" s="4" t="s">
        <v>84</v>
      </c>
      <c r="B4414" s="4" t="s">
        <v>23</v>
      </c>
      <c r="C4414" s="4" t="s">
        <v>34</v>
      </c>
      <c r="D4414" s="4">
        <v>2025</v>
      </c>
      <c r="E4414" s="4">
        <v>0</v>
      </c>
      <c r="F4414" s="4" t="s">
        <v>29</v>
      </c>
    </row>
    <row r="4415" spans="1:6" x14ac:dyDescent="0.25">
      <c r="A4415" s="4" t="s">
        <v>84</v>
      </c>
      <c r="B4415" s="4" t="s">
        <v>23</v>
      </c>
      <c r="C4415" s="4" t="s">
        <v>34</v>
      </c>
      <c r="D4415" s="4">
        <v>2026</v>
      </c>
      <c r="E4415" s="4">
        <v>0</v>
      </c>
      <c r="F4415" s="4" t="s">
        <v>29</v>
      </c>
    </row>
    <row r="4416" spans="1:6" x14ac:dyDescent="0.25">
      <c r="A4416" s="4" t="s">
        <v>84</v>
      </c>
      <c r="B4416" s="4" t="s">
        <v>23</v>
      </c>
      <c r="C4416" s="4" t="s">
        <v>34</v>
      </c>
      <c r="D4416" s="4">
        <v>2027</v>
      </c>
      <c r="E4416" s="4">
        <v>0</v>
      </c>
      <c r="F4416" s="4" t="s">
        <v>29</v>
      </c>
    </row>
    <row r="4417" spans="1:6" x14ac:dyDescent="0.25">
      <c r="A4417" s="4" t="s">
        <v>84</v>
      </c>
      <c r="B4417" s="4" t="s">
        <v>23</v>
      </c>
      <c r="C4417" s="4" t="s">
        <v>34</v>
      </c>
      <c r="D4417" s="4">
        <v>2028</v>
      </c>
      <c r="E4417" s="4">
        <v>0</v>
      </c>
      <c r="F4417" s="4" t="s">
        <v>29</v>
      </c>
    </row>
    <row r="4418" spans="1:6" x14ac:dyDescent="0.25">
      <c r="A4418" s="4" t="s">
        <v>84</v>
      </c>
      <c r="B4418" s="4" t="s">
        <v>23</v>
      </c>
      <c r="C4418" s="4" t="s">
        <v>34</v>
      </c>
      <c r="D4418" s="4">
        <v>2029</v>
      </c>
      <c r="E4418" s="4">
        <v>0</v>
      </c>
      <c r="F4418" s="4" t="s">
        <v>29</v>
      </c>
    </row>
    <row r="4419" spans="1:6" x14ac:dyDescent="0.25">
      <c r="A4419" s="4" t="s">
        <v>84</v>
      </c>
      <c r="B4419" s="4" t="s">
        <v>23</v>
      </c>
      <c r="C4419" s="4" t="s">
        <v>34</v>
      </c>
      <c r="D4419" s="4">
        <v>2030</v>
      </c>
      <c r="E4419" s="4">
        <v>0</v>
      </c>
      <c r="F4419" s="4" t="s">
        <v>29</v>
      </c>
    </row>
    <row r="4420" spans="1:6" x14ac:dyDescent="0.25">
      <c r="A4420" s="4" t="s">
        <v>84</v>
      </c>
      <c r="B4420" s="4" t="s">
        <v>23</v>
      </c>
      <c r="C4420" s="4" t="s">
        <v>34</v>
      </c>
      <c r="D4420" s="4">
        <v>2031</v>
      </c>
      <c r="E4420" s="4">
        <v>0</v>
      </c>
      <c r="F4420" s="4" t="s">
        <v>29</v>
      </c>
    </row>
    <row r="4421" spans="1:6" x14ac:dyDescent="0.25">
      <c r="A4421" s="4" t="s">
        <v>84</v>
      </c>
      <c r="B4421" s="4" t="s">
        <v>23</v>
      </c>
      <c r="C4421" s="4" t="s">
        <v>34</v>
      </c>
      <c r="D4421" s="4">
        <v>2032</v>
      </c>
      <c r="E4421" s="4">
        <v>0</v>
      </c>
      <c r="F4421" s="4" t="s">
        <v>29</v>
      </c>
    </row>
    <row r="4422" spans="1:6" x14ac:dyDescent="0.25">
      <c r="A4422" s="4" t="s">
        <v>84</v>
      </c>
      <c r="B4422" s="4" t="s">
        <v>23</v>
      </c>
      <c r="C4422" s="4" t="s">
        <v>34</v>
      </c>
      <c r="D4422" s="4">
        <v>2033</v>
      </c>
      <c r="E4422" s="4">
        <v>0</v>
      </c>
      <c r="F4422" s="4" t="s">
        <v>29</v>
      </c>
    </row>
    <row r="4423" spans="1:6" x14ac:dyDescent="0.25">
      <c r="A4423" s="4" t="s">
        <v>84</v>
      </c>
      <c r="B4423" s="4" t="s">
        <v>23</v>
      </c>
      <c r="C4423" s="4" t="s">
        <v>34</v>
      </c>
      <c r="D4423" s="4">
        <v>2034</v>
      </c>
      <c r="E4423" s="4">
        <v>0</v>
      </c>
      <c r="F4423" s="4" t="s">
        <v>29</v>
      </c>
    </row>
    <row r="4424" spans="1:6" x14ac:dyDescent="0.25">
      <c r="A4424" s="4" t="s">
        <v>84</v>
      </c>
      <c r="B4424" s="4" t="s">
        <v>23</v>
      </c>
      <c r="C4424" s="4" t="s">
        <v>34</v>
      </c>
      <c r="D4424" s="4">
        <v>2035</v>
      </c>
      <c r="E4424" s="4">
        <v>0</v>
      </c>
      <c r="F4424" s="4" t="s">
        <v>29</v>
      </c>
    </row>
    <row r="4425" spans="1:6" x14ac:dyDescent="0.25">
      <c r="A4425" s="4" t="s">
        <v>84</v>
      </c>
      <c r="B4425" s="4" t="s">
        <v>23</v>
      </c>
      <c r="C4425" s="4" t="s">
        <v>34</v>
      </c>
      <c r="D4425" s="4">
        <v>2036</v>
      </c>
      <c r="E4425" s="4">
        <v>0</v>
      </c>
      <c r="F4425" s="4" t="s">
        <v>29</v>
      </c>
    </row>
    <row r="4426" spans="1:6" x14ac:dyDescent="0.25">
      <c r="A4426" s="4" t="s">
        <v>84</v>
      </c>
      <c r="B4426" s="4" t="s">
        <v>23</v>
      </c>
      <c r="C4426" s="4" t="s">
        <v>34</v>
      </c>
      <c r="D4426" s="4">
        <v>2037</v>
      </c>
      <c r="E4426" s="4">
        <v>0</v>
      </c>
      <c r="F4426" s="4" t="s">
        <v>29</v>
      </c>
    </row>
    <row r="4427" spans="1:6" x14ac:dyDescent="0.25">
      <c r="A4427" s="4" t="s">
        <v>84</v>
      </c>
      <c r="B4427" s="4" t="s">
        <v>23</v>
      </c>
      <c r="C4427" s="4" t="s">
        <v>34</v>
      </c>
      <c r="D4427" s="4">
        <v>2038</v>
      </c>
      <c r="E4427" s="4">
        <v>0</v>
      </c>
      <c r="F4427" s="4" t="s">
        <v>29</v>
      </c>
    </row>
    <row r="4428" spans="1:6" x14ac:dyDescent="0.25">
      <c r="A4428" s="4" t="s">
        <v>84</v>
      </c>
      <c r="B4428" s="4" t="s">
        <v>23</v>
      </c>
      <c r="C4428" s="4" t="s">
        <v>34</v>
      </c>
      <c r="D4428" s="4">
        <v>2039</v>
      </c>
      <c r="E4428" s="4">
        <v>0</v>
      </c>
      <c r="F4428" s="4" t="s">
        <v>29</v>
      </c>
    </row>
    <row r="4429" spans="1:6" x14ac:dyDescent="0.25">
      <c r="A4429" s="4" t="s">
        <v>84</v>
      </c>
      <c r="B4429" s="4" t="s">
        <v>23</v>
      </c>
      <c r="C4429" s="4" t="s">
        <v>34</v>
      </c>
      <c r="D4429" s="4">
        <v>2040</v>
      </c>
      <c r="E4429" s="4">
        <v>0</v>
      </c>
      <c r="F4429" s="4" t="s">
        <v>29</v>
      </c>
    </row>
    <row r="4430" spans="1:6" x14ac:dyDescent="0.25">
      <c r="A4430" s="4" t="s">
        <v>85</v>
      </c>
      <c r="B4430" s="4" t="s">
        <v>1</v>
      </c>
      <c r="C4430" s="4" t="s">
        <v>34</v>
      </c>
      <c r="D4430" s="4">
        <v>2005</v>
      </c>
      <c r="E4430" s="4">
        <v>0</v>
      </c>
      <c r="F4430" s="4" t="s">
        <v>29</v>
      </c>
    </row>
    <row r="4431" spans="1:6" x14ac:dyDescent="0.25">
      <c r="A4431" s="4" t="s">
        <v>85</v>
      </c>
      <c r="B4431" s="4" t="s">
        <v>1</v>
      </c>
      <c r="C4431" s="4" t="s">
        <v>34</v>
      </c>
      <c r="D4431" s="4">
        <v>2006</v>
      </c>
      <c r="E4431" s="4">
        <v>0</v>
      </c>
      <c r="F4431" s="4" t="s">
        <v>29</v>
      </c>
    </row>
    <row r="4432" spans="1:6" x14ac:dyDescent="0.25">
      <c r="A4432" s="4" t="s">
        <v>85</v>
      </c>
      <c r="B4432" s="4" t="s">
        <v>1</v>
      </c>
      <c r="C4432" s="4" t="s">
        <v>34</v>
      </c>
      <c r="D4432" s="4">
        <v>2007</v>
      </c>
      <c r="E4432" s="4">
        <v>0</v>
      </c>
      <c r="F4432" s="4" t="s">
        <v>29</v>
      </c>
    </row>
    <row r="4433" spans="1:6" x14ac:dyDescent="0.25">
      <c r="A4433" s="4" t="s">
        <v>85</v>
      </c>
      <c r="B4433" s="4" t="s">
        <v>1</v>
      </c>
      <c r="C4433" s="4" t="s">
        <v>34</v>
      </c>
      <c r="D4433" s="4">
        <v>2008</v>
      </c>
      <c r="E4433" s="4">
        <v>0</v>
      </c>
      <c r="F4433" s="4" t="s">
        <v>29</v>
      </c>
    </row>
    <row r="4434" spans="1:6" x14ac:dyDescent="0.25">
      <c r="A4434" s="4" t="s">
        <v>85</v>
      </c>
      <c r="B4434" s="4" t="s">
        <v>1</v>
      </c>
      <c r="C4434" s="4" t="s">
        <v>34</v>
      </c>
      <c r="D4434" s="4">
        <v>2009</v>
      </c>
      <c r="E4434" s="4">
        <v>0</v>
      </c>
      <c r="F4434" s="4" t="s">
        <v>29</v>
      </c>
    </row>
    <row r="4435" spans="1:6" x14ac:dyDescent="0.25">
      <c r="A4435" s="4" t="s">
        <v>85</v>
      </c>
      <c r="B4435" s="4" t="s">
        <v>1</v>
      </c>
      <c r="C4435" s="4" t="s">
        <v>34</v>
      </c>
      <c r="D4435" s="4">
        <v>2010</v>
      </c>
      <c r="E4435" s="4">
        <v>0</v>
      </c>
      <c r="F4435" s="4" t="s">
        <v>29</v>
      </c>
    </row>
    <row r="4436" spans="1:6" x14ac:dyDescent="0.25">
      <c r="A4436" s="4" t="s">
        <v>85</v>
      </c>
      <c r="B4436" s="4" t="s">
        <v>1</v>
      </c>
      <c r="C4436" s="4" t="s">
        <v>34</v>
      </c>
      <c r="D4436" s="4">
        <v>2011</v>
      </c>
      <c r="E4436" s="4">
        <v>0</v>
      </c>
      <c r="F4436" s="4" t="s">
        <v>29</v>
      </c>
    </row>
    <row r="4437" spans="1:6" x14ac:dyDescent="0.25">
      <c r="A4437" s="4" t="s">
        <v>85</v>
      </c>
      <c r="B4437" s="4" t="s">
        <v>1</v>
      </c>
      <c r="C4437" s="4" t="s">
        <v>34</v>
      </c>
      <c r="D4437" s="4">
        <v>2012</v>
      </c>
      <c r="E4437" s="4">
        <v>0</v>
      </c>
      <c r="F4437" s="4" t="s">
        <v>29</v>
      </c>
    </row>
    <row r="4438" spans="1:6" x14ac:dyDescent="0.25">
      <c r="A4438" s="4" t="s">
        <v>85</v>
      </c>
      <c r="B4438" s="4" t="s">
        <v>1</v>
      </c>
      <c r="C4438" s="4" t="s">
        <v>34</v>
      </c>
      <c r="D4438" s="4">
        <v>2013</v>
      </c>
      <c r="E4438" s="4">
        <v>0</v>
      </c>
      <c r="F4438" s="4" t="s">
        <v>29</v>
      </c>
    </row>
    <row r="4439" spans="1:6" x14ac:dyDescent="0.25">
      <c r="A4439" s="4" t="s">
        <v>85</v>
      </c>
      <c r="B4439" s="4" t="s">
        <v>1</v>
      </c>
      <c r="C4439" s="4" t="s">
        <v>34</v>
      </c>
      <c r="D4439" s="4">
        <v>2014</v>
      </c>
      <c r="E4439" s="4">
        <v>0</v>
      </c>
      <c r="F4439" s="4" t="s">
        <v>29</v>
      </c>
    </row>
    <row r="4440" spans="1:6" x14ac:dyDescent="0.25">
      <c r="A4440" s="4" t="s">
        <v>85</v>
      </c>
      <c r="B4440" s="4" t="s">
        <v>1</v>
      </c>
      <c r="C4440" s="4" t="s">
        <v>34</v>
      </c>
      <c r="D4440" s="4">
        <v>2015</v>
      </c>
      <c r="E4440" s="4">
        <v>0</v>
      </c>
      <c r="F4440" s="4" t="s">
        <v>29</v>
      </c>
    </row>
    <row r="4441" spans="1:6" x14ac:dyDescent="0.25">
      <c r="A4441" s="4" t="s">
        <v>85</v>
      </c>
      <c r="B4441" s="4" t="s">
        <v>1</v>
      </c>
      <c r="C4441" s="4" t="s">
        <v>34</v>
      </c>
      <c r="D4441" s="4">
        <v>2016</v>
      </c>
      <c r="E4441" s="4">
        <v>0</v>
      </c>
      <c r="F4441" s="4" t="s">
        <v>29</v>
      </c>
    </row>
    <row r="4442" spans="1:6" x14ac:dyDescent="0.25">
      <c r="A4442" s="4" t="s">
        <v>85</v>
      </c>
      <c r="B4442" s="4" t="s">
        <v>1</v>
      </c>
      <c r="C4442" s="4" t="s">
        <v>34</v>
      </c>
      <c r="D4442" s="4">
        <v>2017</v>
      </c>
      <c r="E4442" s="4">
        <v>0</v>
      </c>
      <c r="F4442" s="4" t="s">
        <v>29</v>
      </c>
    </row>
    <row r="4443" spans="1:6" x14ac:dyDescent="0.25">
      <c r="A4443" s="4" t="s">
        <v>85</v>
      </c>
      <c r="B4443" s="4" t="s">
        <v>1</v>
      </c>
      <c r="C4443" s="4" t="s">
        <v>34</v>
      </c>
      <c r="D4443" s="4">
        <v>2018</v>
      </c>
      <c r="E4443" s="4">
        <v>0</v>
      </c>
      <c r="F4443" s="4" t="s">
        <v>29</v>
      </c>
    </row>
    <row r="4444" spans="1:6" x14ac:dyDescent="0.25">
      <c r="A4444" s="4" t="s">
        <v>85</v>
      </c>
      <c r="B4444" s="4" t="s">
        <v>1</v>
      </c>
      <c r="C4444" s="4" t="s">
        <v>34</v>
      </c>
      <c r="D4444" s="4">
        <v>2019</v>
      </c>
      <c r="E4444" s="4">
        <v>0</v>
      </c>
      <c r="F4444" s="4" t="s">
        <v>29</v>
      </c>
    </row>
    <row r="4445" spans="1:6" x14ac:dyDescent="0.25">
      <c r="A4445" s="4" t="s">
        <v>85</v>
      </c>
      <c r="B4445" s="4" t="s">
        <v>1</v>
      </c>
      <c r="C4445" s="4" t="s">
        <v>34</v>
      </c>
      <c r="D4445" s="4">
        <v>2020</v>
      </c>
      <c r="E4445" s="4">
        <v>0</v>
      </c>
      <c r="F4445" s="4" t="s">
        <v>29</v>
      </c>
    </row>
    <row r="4446" spans="1:6" x14ac:dyDescent="0.25">
      <c r="A4446" s="4" t="s">
        <v>85</v>
      </c>
      <c r="B4446" s="4" t="s">
        <v>1</v>
      </c>
      <c r="C4446" s="4" t="s">
        <v>34</v>
      </c>
      <c r="D4446" s="4">
        <v>2021</v>
      </c>
      <c r="E4446" s="4">
        <v>0</v>
      </c>
      <c r="F4446" s="4" t="s">
        <v>29</v>
      </c>
    </row>
    <row r="4447" spans="1:6" x14ac:dyDescent="0.25">
      <c r="A4447" s="4" t="s">
        <v>85</v>
      </c>
      <c r="B4447" s="4" t="s">
        <v>1</v>
      </c>
      <c r="C4447" s="4" t="s">
        <v>34</v>
      </c>
      <c r="D4447" s="4">
        <v>2022</v>
      </c>
      <c r="E4447" s="4">
        <v>0</v>
      </c>
      <c r="F4447" s="4" t="s">
        <v>29</v>
      </c>
    </row>
    <row r="4448" spans="1:6" x14ac:dyDescent="0.25">
      <c r="A4448" s="4" t="s">
        <v>85</v>
      </c>
      <c r="B4448" s="4" t="s">
        <v>1</v>
      </c>
      <c r="C4448" s="4" t="s">
        <v>34</v>
      </c>
      <c r="D4448" s="4">
        <v>2023</v>
      </c>
      <c r="E4448" s="4">
        <v>0</v>
      </c>
      <c r="F4448" s="4" t="s">
        <v>29</v>
      </c>
    </row>
    <row r="4449" spans="1:6" x14ac:dyDescent="0.25">
      <c r="A4449" s="4" t="s">
        <v>85</v>
      </c>
      <c r="B4449" s="4" t="s">
        <v>1</v>
      </c>
      <c r="C4449" s="4" t="s">
        <v>34</v>
      </c>
      <c r="D4449" s="4">
        <v>2024</v>
      </c>
      <c r="E4449" s="4">
        <v>0</v>
      </c>
      <c r="F4449" s="4" t="s">
        <v>29</v>
      </c>
    </row>
    <row r="4450" spans="1:6" x14ac:dyDescent="0.25">
      <c r="A4450" s="4" t="s">
        <v>85</v>
      </c>
      <c r="B4450" s="4" t="s">
        <v>1</v>
      </c>
      <c r="C4450" s="4" t="s">
        <v>34</v>
      </c>
      <c r="D4450" s="4">
        <v>2025</v>
      </c>
      <c r="E4450" s="4">
        <v>0</v>
      </c>
      <c r="F4450" s="4" t="s">
        <v>29</v>
      </c>
    </row>
    <row r="4451" spans="1:6" x14ac:dyDescent="0.25">
      <c r="A4451" s="4" t="s">
        <v>85</v>
      </c>
      <c r="B4451" s="4" t="s">
        <v>1</v>
      </c>
      <c r="C4451" s="4" t="s">
        <v>34</v>
      </c>
      <c r="D4451" s="4">
        <v>2026</v>
      </c>
      <c r="E4451" s="4">
        <v>0</v>
      </c>
      <c r="F4451" s="4" t="s">
        <v>29</v>
      </c>
    </row>
    <row r="4452" spans="1:6" x14ac:dyDescent="0.25">
      <c r="A4452" s="4" t="s">
        <v>85</v>
      </c>
      <c r="B4452" s="4" t="s">
        <v>1</v>
      </c>
      <c r="C4452" s="4" t="s">
        <v>34</v>
      </c>
      <c r="D4452" s="4">
        <v>2027</v>
      </c>
      <c r="E4452" s="4">
        <v>0</v>
      </c>
      <c r="F4452" s="4" t="s">
        <v>29</v>
      </c>
    </row>
    <row r="4453" spans="1:6" x14ac:dyDescent="0.25">
      <c r="A4453" s="4" t="s">
        <v>85</v>
      </c>
      <c r="B4453" s="4" t="s">
        <v>1</v>
      </c>
      <c r="C4453" s="4" t="s">
        <v>34</v>
      </c>
      <c r="D4453" s="4">
        <v>2028</v>
      </c>
      <c r="E4453" s="4">
        <v>0</v>
      </c>
      <c r="F4453" s="4" t="s">
        <v>29</v>
      </c>
    </row>
    <row r="4454" spans="1:6" x14ac:dyDescent="0.25">
      <c r="A4454" s="4" t="s">
        <v>85</v>
      </c>
      <c r="B4454" s="4" t="s">
        <v>1</v>
      </c>
      <c r="C4454" s="4" t="s">
        <v>34</v>
      </c>
      <c r="D4454" s="4">
        <v>2029</v>
      </c>
      <c r="E4454" s="4">
        <v>0</v>
      </c>
      <c r="F4454" s="4" t="s">
        <v>29</v>
      </c>
    </row>
    <row r="4455" spans="1:6" x14ac:dyDescent="0.25">
      <c r="A4455" s="4" t="s">
        <v>85</v>
      </c>
      <c r="B4455" s="4" t="s">
        <v>1</v>
      </c>
      <c r="C4455" s="4" t="s">
        <v>34</v>
      </c>
      <c r="D4455" s="4">
        <v>2030</v>
      </c>
      <c r="E4455" s="4">
        <v>0</v>
      </c>
      <c r="F4455" s="4" t="s">
        <v>29</v>
      </c>
    </row>
    <row r="4456" spans="1:6" x14ac:dyDescent="0.25">
      <c r="A4456" s="4" t="s">
        <v>85</v>
      </c>
      <c r="B4456" s="4" t="s">
        <v>1</v>
      </c>
      <c r="C4456" s="4" t="s">
        <v>34</v>
      </c>
      <c r="D4456" s="4">
        <v>2031</v>
      </c>
      <c r="E4456" s="4">
        <v>0</v>
      </c>
      <c r="F4456" s="4" t="s">
        <v>29</v>
      </c>
    </row>
    <row r="4457" spans="1:6" x14ac:dyDescent="0.25">
      <c r="A4457" s="4" t="s">
        <v>85</v>
      </c>
      <c r="B4457" s="4" t="s">
        <v>1</v>
      </c>
      <c r="C4457" s="4" t="s">
        <v>34</v>
      </c>
      <c r="D4457" s="4">
        <v>2032</v>
      </c>
      <c r="E4457" s="4">
        <v>0</v>
      </c>
      <c r="F4457" s="4" t="s">
        <v>29</v>
      </c>
    </row>
    <row r="4458" spans="1:6" x14ac:dyDescent="0.25">
      <c r="A4458" s="4" t="s">
        <v>85</v>
      </c>
      <c r="B4458" s="4" t="s">
        <v>1</v>
      </c>
      <c r="C4458" s="4" t="s">
        <v>34</v>
      </c>
      <c r="D4458" s="4">
        <v>2033</v>
      </c>
      <c r="E4458" s="4">
        <v>0</v>
      </c>
      <c r="F4458" s="4" t="s">
        <v>29</v>
      </c>
    </row>
    <row r="4459" spans="1:6" x14ac:dyDescent="0.25">
      <c r="A4459" s="4" t="s">
        <v>85</v>
      </c>
      <c r="B4459" s="4" t="s">
        <v>1</v>
      </c>
      <c r="C4459" s="4" t="s">
        <v>34</v>
      </c>
      <c r="D4459" s="4">
        <v>2034</v>
      </c>
      <c r="E4459" s="4">
        <v>0</v>
      </c>
      <c r="F4459" s="4" t="s">
        <v>29</v>
      </c>
    </row>
    <row r="4460" spans="1:6" x14ac:dyDescent="0.25">
      <c r="A4460" s="4" t="s">
        <v>85</v>
      </c>
      <c r="B4460" s="4" t="s">
        <v>1</v>
      </c>
      <c r="C4460" s="4" t="s">
        <v>34</v>
      </c>
      <c r="D4460" s="4">
        <v>2035</v>
      </c>
      <c r="E4460" s="4">
        <v>0</v>
      </c>
      <c r="F4460" s="4" t="s">
        <v>29</v>
      </c>
    </row>
    <row r="4461" spans="1:6" x14ac:dyDescent="0.25">
      <c r="A4461" s="4" t="s">
        <v>85</v>
      </c>
      <c r="B4461" s="4" t="s">
        <v>1</v>
      </c>
      <c r="C4461" s="4" t="s">
        <v>34</v>
      </c>
      <c r="D4461" s="4">
        <v>2036</v>
      </c>
      <c r="E4461" s="4">
        <v>0</v>
      </c>
      <c r="F4461" s="4" t="s">
        <v>29</v>
      </c>
    </row>
    <row r="4462" spans="1:6" x14ac:dyDescent="0.25">
      <c r="A4462" s="4" t="s">
        <v>85</v>
      </c>
      <c r="B4462" s="4" t="s">
        <v>1</v>
      </c>
      <c r="C4462" s="4" t="s">
        <v>34</v>
      </c>
      <c r="D4462" s="4">
        <v>2037</v>
      </c>
      <c r="E4462" s="4">
        <v>0</v>
      </c>
      <c r="F4462" s="4" t="s">
        <v>29</v>
      </c>
    </row>
    <row r="4463" spans="1:6" x14ac:dyDescent="0.25">
      <c r="A4463" s="4" t="s">
        <v>85</v>
      </c>
      <c r="B4463" s="4" t="s">
        <v>1</v>
      </c>
      <c r="C4463" s="4" t="s">
        <v>34</v>
      </c>
      <c r="D4463" s="4">
        <v>2038</v>
      </c>
      <c r="E4463" s="4">
        <v>0</v>
      </c>
      <c r="F4463" s="4" t="s">
        <v>29</v>
      </c>
    </row>
    <row r="4464" spans="1:6" x14ac:dyDescent="0.25">
      <c r="A4464" s="4" t="s">
        <v>85</v>
      </c>
      <c r="B4464" s="4" t="s">
        <v>1</v>
      </c>
      <c r="C4464" s="4" t="s">
        <v>34</v>
      </c>
      <c r="D4464" s="4">
        <v>2039</v>
      </c>
      <c r="E4464" s="4">
        <v>0</v>
      </c>
      <c r="F4464" s="4" t="s">
        <v>29</v>
      </c>
    </row>
    <row r="4465" spans="1:6" x14ac:dyDescent="0.25">
      <c r="A4465" s="4" t="s">
        <v>85</v>
      </c>
      <c r="B4465" s="4" t="s">
        <v>1</v>
      </c>
      <c r="C4465" s="4" t="s">
        <v>34</v>
      </c>
      <c r="D4465" s="4">
        <v>2040</v>
      </c>
      <c r="E4465" s="4">
        <v>0</v>
      </c>
      <c r="F4465" s="4" t="s">
        <v>29</v>
      </c>
    </row>
    <row r="4466" spans="1:6" x14ac:dyDescent="0.25">
      <c r="A4466" s="4" t="s">
        <v>85</v>
      </c>
      <c r="B4466" s="4" t="s">
        <v>2</v>
      </c>
      <c r="C4466" s="4" t="s">
        <v>34</v>
      </c>
      <c r="D4466" s="4">
        <v>2005</v>
      </c>
      <c r="E4466" s="4">
        <v>0</v>
      </c>
      <c r="F4466" s="4" t="s">
        <v>29</v>
      </c>
    </row>
    <row r="4467" spans="1:6" x14ac:dyDescent="0.25">
      <c r="A4467" s="4" t="s">
        <v>85</v>
      </c>
      <c r="B4467" s="4" t="s">
        <v>2</v>
      </c>
      <c r="C4467" s="4" t="s">
        <v>34</v>
      </c>
      <c r="D4467" s="4">
        <v>2006</v>
      </c>
      <c r="E4467" s="4">
        <v>0</v>
      </c>
      <c r="F4467" s="4" t="s">
        <v>29</v>
      </c>
    </row>
    <row r="4468" spans="1:6" x14ac:dyDescent="0.25">
      <c r="A4468" s="4" t="s">
        <v>85</v>
      </c>
      <c r="B4468" s="4" t="s">
        <v>2</v>
      </c>
      <c r="C4468" s="4" t="s">
        <v>34</v>
      </c>
      <c r="D4468" s="4">
        <v>2007</v>
      </c>
      <c r="E4468" s="4">
        <v>0</v>
      </c>
      <c r="F4468" s="4" t="s">
        <v>29</v>
      </c>
    </row>
    <row r="4469" spans="1:6" x14ac:dyDescent="0.25">
      <c r="A4469" s="4" t="s">
        <v>85</v>
      </c>
      <c r="B4469" s="4" t="s">
        <v>2</v>
      </c>
      <c r="C4469" s="4" t="s">
        <v>34</v>
      </c>
      <c r="D4469" s="4">
        <v>2008</v>
      </c>
      <c r="E4469" s="4">
        <v>0</v>
      </c>
      <c r="F4469" s="4" t="s">
        <v>29</v>
      </c>
    </row>
    <row r="4470" spans="1:6" x14ac:dyDescent="0.25">
      <c r="A4470" s="4" t="s">
        <v>85</v>
      </c>
      <c r="B4470" s="4" t="s">
        <v>2</v>
      </c>
      <c r="C4470" s="4" t="s">
        <v>34</v>
      </c>
      <c r="D4470" s="4">
        <v>2009</v>
      </c>
      <c r="E4470" s="4">
        <v>0</v>
      </c>
      <c r="F4470" s="4" t="s">
        <v>29</v>
      </c>
    </row>
    <row r="4471" spans="1:6" x14ac:dyDescent="0.25">
      <c r="A4471" s="4" t="s">
        <v>85</v>
      </c>
      <c r="B4471" s="4" t="s">
        <v>2</v>
      </c>
      <c r="C4471" s="4" t="s">
        <v>34</v>
      </c>
      <c r="D4471" s="4">
        <v>2010</v>
      </c>
      <c r="E4471" s="4">
        <v>0</v>
      </c>
      <c r="F4471" s="4" t="s">
        <v>29</v>
      </c>
    </row>
    <row r="4472" spans="1:6" x14ac:dyDescent="0.25">
      <c r="A4472" s="4" t="s">
        <v>85</v>
      </c>
      <c r="B4472" s="4" t="s">
        <v>2</v>
      </c>
      <c r="C4472" s="4" t="s">
        <v>34</v>
      </c>
      <c r="D4472" s="4">
        <v>2011</v>
      </c>
      <c r="E4472" s="4">
        <v>0</v>
      </c>
      <c r="F4472" s="4" t="s">
        <v>29</v>
      </c>
    </row>
    <row r="4473" spans="1:6" x14ac:dyDescent="0.25">
      <c r="A4473" s="4" t="s">
        <v>85</v>
      </c>
      <c r="B4473" s="4" t="s">
        <v>2</v>
      </c>
      <c r="C4473" s="4" t="s">
        <v>34</v>
      </c>
      <c r="D4473" s="4">
        <v>2012</v>
      </c>
      <c r="E4473" s="4">
        <v>0</v>
      </c>
      <c r="F4473" s="4" t="s">
        <v>29</v>
      </c>
    </row>
    <row r="4474" spans="1:6" x14ac:dyDescent="0.25">
      <c r="A4474" s="4" t="s">
        <v>85</v>
      </c>
      <c r="B4474" s="4" t="s">
        <v>2</v>
      </c>
      <c r="C4474" s="4" t="s">
        <v>34</v>
      </c>
      <c r="D4474" s="4">
        <v>2013</v>
      </c>
      <c r="E4474" s="4">
        <v>0</v>
      </c>
      <c r="F4474" s="4" t="s">
        <v>29</v>
      </c>
    </row>
    <row r="4475" spans="1:6" x14ac:dyDescent="0.25">
      <c r="A4475" s="4" t="s">
        <v>85</v>
      </c>
      <c r="B4475" s="4" t="s">
        <v>2</v>
      </c>
      <c r="C4475" s="4" t="s">
        <v>34</v>
      </c>
      <c r="D4475" s="4">
        <v>2014</v>
      </c>
      <c r="E4475" s="4">
        <v>0</v>
      </c>
      <c r="F4475" s="4" t="s">
        <v>29</v>
      </c>
    </row>
    <row r="4476" spans="1:6" x14ac:dyDescent="0.25">
      <c r="A4476" s="4" t="s">
        <v>85</v>
      </c>
      <c r="B4476" s="4" t="s">
        <v>2</v>
      </c>
      <c r="C4476" s="4" t="s">
        <v>34</v>
      </c>
      <c r="D4476" s="4">
        <v>2015</v>
      </c>
      <c r="E4476" s="4">
        <v>0</v>
      </c>
      <c r="F4476" s="4" t="s">
        <v>29</v>
      </c>
    </row>
    <row r="4477" spans="1:6" x14ac:dyDescent="0.25">
      <c r="A4477" s="4" t="s">
        <v>85</v>
      </c>
      <c r="B4477" s="4" t="s">
        <v>2</v>
      </c>
      <c r="C4477" s="4" t="s">
        <v>34</v>
      </c>
      <c r="D4477" s="4">
        <v>2016</v>
      </c>
      <c r="E4477" s="4">
        <v>0</v>
      </c>
      <c r="F4477" s="4" t="s">
        <v>29</v>
      </c>
    </row>
    <row r="4478" spans="1:6" x14ac:dyDescent="0.25">
      <c r="A4478" s="4" t="s">
        <v>85</v>
      </c>
      <c r="B4478" s="4" t="s">
        <v>2</v>
      </c>
      <c r="C4478" s="4" t="s">
        <v>34</v>
      </c>
      <c r="D4478" s="4">
        <v>2017</v>
      </c>
      <c r="E4478" s="4">
        <v>0</v>
      </c>
      <c r="F4478" s="4" t="s">
        <v>29</v>
      </c>
    </row>
    <row r="4479" spans="1:6" x14ac:dyDescent="0.25">
      <c r="A4479" s="4" t="s">
        <v>85</v>
      </c>
      <c r="B4479" s="4" t="s">
        <v>2</v>
      </c>
      <c r="C4479" s="4" t="s">
        <v>34</v>
      </c>
      <c r="D4479" s="4">
        <v>2018</v>
      </c>
      <c r="E4479" s="4">
        <v>0</v>
      </c>
      <c r="F4479" s="4" t="s">
        <v>29</v>
      </c>
    </row>
    <row r="4480" spans="1:6" x14ac:dyDescent="0.25">
      <c r="A4480" s="4" t="s">
        <v>85</v>
      </c>
      <c r="B4480" s="4" t="s">
        <v>2</v>
      </c>
      <c r="C4480" s="4" t="s">
        <v>34</v>
      </c>
      <c r="D4480" s="4">
        <v>2019</v>
      </c>
      <c r="E4480" s="4">
        <v>0</v>
      </c>
      <c r="F4480" s="4" t="s">
        <v>29</v>
      </c>
    </row>
    <row r="4481" spans="1:6" x14ac:dyDescent="0.25">
      <c r="A4481" s="4" t="s">
        <v>85</v>
      </c>
      <c r="B4481" s="4" t="s">
        <v>2</v>
      </c>
      <c r="C4481" s="4" t="s">
        <v>34</v>
      </c>
      <c r="D4481" s="4">
        <v>2020</v>
      </c>
      <c r="E4481" s="4">
        <v>0</v>
      </c>
      <c r="F4481" s="4" t="s">
        <v>29</v>
      </c>
    </row>
    <row r="4482" spans="1:6" x14ac:dyDescent="0.25">
      <c r="A4482" s="4" t="s">
        <v>85</v>
      </c>
      <c r="B4482" s="4" t="s">
        <v>2</v>
      </c>
      <c r="C4482" s="4" t="s">
        <v>34</v>
      </c>
      <c r="D4482" s="4">
        <v>2021</v>
      </c>
      <c r="E4482" s="4">
        <v>0</v>
      </c>
      <c r="F4482" s="4" t="s">
        <v>29</v>
      </c>
    </row>
    <row r="4483" spans="1:6" x14ac:dyDescent="0.25">
      <c r="A4483" s="4" t="s">
        <v>85</v>
      </c>
      <c r="B4483" s="4" t="s">
        <v>2</v>
      </c>
      <c r="C4483" s="4" t="s">
        <v>34</v>
      </c>
      <c r="D4483" s="4">
        <v>2022</v>
      </c>
      <c r="E4483" s="4">
        <v>0</v>
      </c>
      <c r="F4483" s="4" t="s">
        <v>29</v>
      </c>
    </row>
    <row r="4484" spans="1:6" x14ac:dyDescent="0.25">
      <c r="A4484" s="4" t="s">
        <v>85</v>
      </c>
      <c r="B4484" s="4" t="s">
        <v>2</v>
      </c>
      <c r="C4484" s="4" t="s">
        <v>34</v>
      </c>
      <c r="D4484" s="4">
        <v>2023</v>
      </c>
      <c r="E4484" s="4">
        <v>0</v>
      </c>
      <c r="F4484" s="4" t="s">
        <v>29</v>
      </c>
    </row>
    <row r="4485" spans="1:6" x14ac:dyDescent="0.25">
      <c r="A4485" s="4" t="s">
        <v>85</v>
      </c>
      <c r="B4485" s="4" t="s">
        <v>2</v>
      </c>
      <c r="C4485" s="4" t="s">
        <v>34</v>
      </c>
      <c r="D4485" s="4">
        <v>2024</v>
      </c>
      <c r="E4485" s="4">
        <v>0</v>
      </c>
      <c r="F4485" s="4" t="s">
        <v>29</v>
      </c>
    </row>
    <row r="4486" spans="1:6" x14ac:dyDescent="0.25">
      <c r="A4486" s="4" t="s">
        <v>85</v>
      </c>
      <c r="B4486" s="4" t="s">
        <v>2</v>
      </c>
      <c r="C4486" s="4" t="s">
        <v>34</v>
      </c>
      <c r="D4486" s="4">
        <v>2025</v>
      </c>
      <c r="E4486" s="4">
        <v>0</v>
      </c>
      <c r="F4486" s="4" t="s">
        <v>29</v>
      </c>
    </row>
    <row r="4487" spans="1:6" x14ac:dyDescent="0.25">
      <c r="A4487" s="4" t="s">
        <v>85</v>
      </c>
      <c r="B4487" s="4" t="s">
        <v>2</v>
      </c>
      <c r="C4487" s="4" t="s">
        <v>34</v>
      </c>
      <c r="D4487" s="4">
        <v>2026</v>
      </c>
      <c r="E4487" s="4">
        <v>0</v>
      </c>
      <c r="F4487" s="4" t="s">
        <v>29</v>
      </c>
    </row>
    <row r="4488" spans="1:6" x14ac:dyDescent="0.25">
      <c r="A4488" s="4" t="s">
        <v>85</v>
      </c>
      <c r="B4488" s="4" t="s">
        <v>2</v>
      </c>
      <c r="C4488" s="4" t="s">
        <v>34</v>
      </c>
      <c r="D4488" s="4">
        <v>2027</v>
      </c>
      <c r="E4488" s="4">
        <v>0</v>
      </c>
      <c r="F4488" s="4" t="s">
        <v>29</v>
      </c>
    </row>
    <row r="4489" spans="1:6" x14ac:dyDescent="0.25">
      <c r="A4489" s="4" t="s">
        <v>85</v>
      </c>
      <c r="B4489" s="4" t="s">
        <v>2</v>
      </c>
      <c r="C4489" s="4" t="s">
        <v>34</v>
      </c>
      <c r="D4489" s="4">
        <v>2028</v>
      </c>
      <c r="E4489" s="4">
        <v>0</v>
      </c>
      <c r="F4489" s="4" t="s">
        <v>29</v>
      </c>
    </row>
    <row r="4490" spans="1:6" x14ac:dyDescent="0.25">
      <c r="A4490" s="4" t="s">
        <v>85</v>
      </c>
      <c r="B4490" s="4" t="s">
        <v>2</v>
      </c>
      <c r="C4490" s="4" t="s">
        <v>34</v>
      </c>
      <c r="D4490" s="4">
        <v>2029</v>
      </c>
      <c r="E4490" s="4">
        <v>0</v>
      </c>
      <c r="F4490" s="4" t="s">
        <v>29</v>
      </c>
    </row>
    <row r="4491" spans="1:6" x14ac:dyDescent="0.25">
      <c r="A4491" s="4" t="s">
        <v>85</v>
      </c>
      <c r="B4491" s="4" t="s">
        <v>2</v>
      </c>
      <c r="C4491" s="4" t="s">
        <v>34</v>
      </c>
      <c r="D4491" s="4">
        <v>2030</v>
      </c>
      <c r="E4491" s="4">
        <v>0</v>
      </c>
      <c r="F4491" s="4" t="s">
        <v>29</v>
      </c>
    </row>
    <row r="4492" spans="1:6" x14ac:dyDescent="0.25">
      <c r="A4492" s="4" t="s">
        <v>85</v>
      </c>
      <c r="B4492" s="4" t="s">
        <v>2</v>
      </c>
      <c r="C4492" s="4" t="s">
        <v>34</v>
      </c>
      <c r="D4492" s="4">
        <v>2031</v>
      </c>
      <c r="E4492" s="4">
        <v>0</v>
      </c>
      <c r="F4492" s="4" t="s">
        <v>29</v>
      </c>
    </row>
    <row r="4493" spans="1:6" x14ac:dyDescent="0.25">
      <c r="A4493" s="4" t="s">
        <v>85</v>
      </c>
      <c r="B4493" s="4" t="s">
        <v>2</v>
      </c>
      <c r="C4493" s="4" t="s">
        <v>34</v>
      </c>
      <c r="D4493" s="4">
        <v>2032</v>
      </c>
      <c r="E4493" s="4">
        <v>0</v>
      </c>
      <c r="F4493" s="4" t="s">
        <v>29</v>
      </c>
    </row>
    <row r="4494" spans="1:6" x14ac:dyDescent="0.25">
      <c r="A4494" s="4" t="s">
        <v>85</v>
      </c>
      <c r="B4494" s="4" t="s">
        <v>2</v>
      </c>
      <c r="C4494" s="4" t="s">
        <v>34</v>
      </c>
      <c r="D4494" s="4">
        <v>2033</v>
      </c>
      <c r="E4494" s="4">
        <v>0</v>
      </c>
      <c r="F4494" s="4" t="s">
        <v>29</v>
      </c>
    </row>
    <row r="4495" spans="1:6" x14ac:dyDescent="0.25">
      <c r="A4495" s="4" t="s">
        <v>85</v>
      </c>
      <c r="B4495" s="4" t="s">
        <v>2</v>
      </c>
      <c r="C4495" s="4" t="s">
        <v>34</v>
      </c>
      <c r="D4495" s="4">
        <v>2034</v>
      </c>
      <c r="E4495" s="4">
        <v>0</v>
      </c>
      <c r="F4495" s="4" t="s">
        <v>29</v>
      </c>
    </row>
    <row r="4496" spans="1:6" x14ac:dyDescent="0.25">
      <c r="A4496" s="4" t="s">
        <v>85</v>
      </c>
      <c r="B4496" s="4" t="s">
        <v>2</v>
      </c>
      <c r="C4496" s="4" t="s">
        <v>34</v>
      </c>
      <c r="D4496" s="4">
        <v>2035</v>
      </c>
      <c r="E4496" s="4">
        <v>0</v>
      </c>
      <c r="F4496" s="4" t="s">
        <v>29</v>
      </c>
    </row>
    <row r="4497" spans="1:6" x14ac:dyDescent="0.25">
      <c r="A4497" s="4" t="s">
        <v>85</v>
      </c>
      <c r="B4497" s="4" t="s">
        <v>2</v>
      </c>
      <c r="C4497" s="4" t="s">
        <v>34</v>
      </c>
      <c r="D4497" s="4">
        <v>2036</v>
      </c>
      <c r="E4497" s="4">
        <v>0</v>
      </c>
      <c r="F4497" s="4" t="s">
        <v>29</v>
      </c>
    </row>
    <row r="4498" spans="1:6" x14ac:dyDescent="0.25">
      <c r="A4498" s="4" t="s">
        <v>85</v>
      </c>
      <c r="B4498" s="4" t="s">
        <v>2</v>
      </c>
      <c r="C4498" s="4" t="s">
        <v>34</v>
      </c>
      <c r="D4498" s="4">
        <v>2037</v>
      </c>
      <c r="E4498" s="4">
        <v>0</v>
      </c>
      <c r="F4498" s="4" t="s">
        <v>29</v>
      </c>
    </row>
    <row r="4499" spans="1:6" x14ac:dyDescent="0.25">
      <c r="A4499" s="4" t="s">
        <v>85</v>
      </c>
      <c r="B4499" s="4" t="s">
        <v>2</v>
      </c>
      <c r="C4499" s="4" t="s">
        <v>34</v>
      </c>
      <c r="D4499" s="4">
        <v>2038</v>
      </c>
      <c r="E4499" s="4">
        <v>0</v>
      </c>
      <c r="F4499" s="4" t="s">
        <v>29</v>
      </c>
    </row>
    <row r="4500" spans="1:6" x14ac:dyDescent="0.25">
      <c r="A4500" s="4" t="s">
        <v>85</v>
      </c>
      <c r="B4500" s="4" t="s">
        <v>2</v>
      </c>
      <c r="C4500" s="4" t="s">
        <v>34</v>
      </c>
      <c r="D4500" s="4">
        <v>2039</v>
      </c>
      <c r="E4500" s="4">
        <v>0</v>
      </c>
      <c r="F4500" s="4" t="s">
        <v>29</v>
      </c>
    </row>
    <row r="4501" spans="1:6" x14ac:dyDescent="0.25">
      <c r="A4501" s="4" t="s">
        <v>85</v>
      </c>
      <c r="B4501" s="4" t="s">
        <v>2</v>
      </c>
      <c r="C4501" s="4" t="s">
        <v>34</v>
      </c>
      <c r="D4501" s="4">
        <v>2040</v>
      </c>
      <c r="E4501" s="4">
        <v>0</v>
      </c>
      <c r="F4501" s="4" t="s">
        <v>29</v>
      </c>
    </row>
    <row r="4502" spans="1:6" x14ac:dyDescent="0.25">
      <c r="A4502" s="4" t="s">
        <v>85</v>
      </c>
      <c r="B4502" s="4" t="s">
        <v>3</v>
      </c>
      <c r="C4502" s="4" t="s">
        <v>34</v>
      </c>
      <c r="D4502" s="4">
        <v>2005</v>
      </c>
      <c r="E4502" s="4">
        <v>0</v>
      </c>
      <c r="F4502" s="4" t="s">
        <v>29</v>
      </c>
    </row>
    <row r="4503" spans="1:6" x14ac:dyDescent="0.25">
      <c r="A4503" s="4" t="s">
        <v>85</v>
      </c>
      <c r="B4503" s="4" t="s">
        <v>3</v>
      </c>
      <c r="C4503" s="4" t="s">
        <v>34</v>
      </c>
      <c r="D4503" s="4">
        <v>2006</v>
      </c>
      <c r="E4503" s="4">
        <v>0</v>
      </c>
      <c r="F4503" s="4" t="s">
        <v>29</v>
      </c>
    </row>
    <row r="4504" spans="1:6" x14ac:dyDescent="0.25">
      <c r="A4504" s="4" t="s">
        <v>85</v>
      </c>
      <c r="B4504" s="4" t="s">
        <v>3</v>
      </c>
      <c r="C4504" s="4" t="s">
        <v>34</v>
      </c>
      <c r="D4504" s="4">
        <v>2007</v>
      </c>
      <c r="E4504" s="4">
        <v>0</v>
      </c>
      <c r="F4504" s="4" t="s">
        <v>29</v>
      </c>
    </row>
    <row r="4505" spans="1:6" x14ac:dyDescent="0.25">
      <c r="A4505" s="4" t="s">
        <v>85</v>
      </c>
      <c r="B4505" s="4" t="s">
        <v>3</v>
      </c>
      <c r="C4505" s="4" t="s">
        <v>34</v>
      </c>
      <c r="D4505" s="4">
        <v>2008</v>
      </c>
      <c r="E4505" s="4">
        <v>0</v>
      </c>
      <c r="F4505" s="4" t="s">
        <v>29</v>
      </c>
    </row>
    <row r="4506" spans="1:6" x14ac:dyDescent="0.25">
      <c r="A4506" s="4" t="s">
        <v>85</v>
      </c>
      <c r="B4506" s="4" t="s">
        <v>3</v>
      </c>
      <c r="C4506" s="4" t="s">
        <v>34</v>
      </c>
      <c r="D4506" s="4">
        <v>2009</v>
      </c>
      <c r="E4506" s="4">
        <v>0</v>
      </c>
      <c r="F4506" s="4" t="s">
        <v>29</v>
      </c>
    </row>
    <row r="4507" spans="1:6" x14ac:dyDescent="0.25">
      <c r="A4507" s="4" t="s">
        <v>85</v>
      </c>
      <c r="B4507" s="4" t="s">
        <v>3</v>
      </c>
      <c r="C4507" s="4" t="s">
        <v>34</v>
      </c>
      <c r="D4507" s="4">
        <v>2010</v>
      </c>
      <c r="E4507" s="4">
        <v>0</v>
      </c>
      <c r="F4507" s="4" t="s">
        <v>29</v>
      </c>
    </row>
    <row r="4508" spans="1:6" x14ac:dyDescent="0.25">
      <c r="A4508" s="4" t="s">
        <v>85</v>
      </c>
      <c r="B4508" s="4" t="s">
        <v>3</v>
      </c>
      <c r="C4508" s="4" t="s">
        <v>34</v>
      </c>
      <c r="D4508" s="4">
        <v>2011</v>
      </c>
      <c r="E4508" s="4">
        <v>0</v>
      </c>
      <c r="F4508" s="4" t="s">
        <v>29</v>
      </c>
    </row>
    <row r="4509" spans="1:6" x14ac:dyDescent="0.25">
      <c r="A4509" s="4" t="s">
        <v>85</v>
      </c>
      <c r="B4509" s="4" t="s">
        <v>3</v>
      </c>
      <c r="C4509" s="4" t="s">
        <v>34</v>
      </c>
      <c r="D4509" s="4">
        <v>2012</v>
      </c>
      <c r="E4509" s="4">
        <v>0</v>
      </c>
      <c r="F4509" s="4" t="s">
        <v>29</v>
      </c>
    </row>
    <row r="4510" spans="1:6" x14ac:dyDescent="0.25">
      <c r="A4510" s="4" t="s">
        <v>85</v>
      </c>
      <c r="B4510" s="4" t="s">
        <v>3</v>
      </c>
      <c r="C4510" s="4" t="s">
        <v>34</v>
      </c>
      <c r="D4510" s="4">
        <v>2013</v>
      </c>
      <c r="E4510" s="4">
        <v>0</v>
      </c>
      <c r="F4510" s="4" t="s">
        <v>29</v>
      </c>
    </row>
    <row r="4511" spans="1:6" x14ac:dyDescent="0.25">
      <c r="A4511" s="4" t="s">
        <v>85</v>
      </c>
      <c r="B4511" s="4" t="s">
        <v>3</v>
      </c>
      <c r="C4511" s="4" t="s">
        <v>34</v>
      </c>
      <c r="D4511" s="4">
        <v>2014</v>
      </c>
      <c r="E4511" s="4">
        <v>0</v>
      </c>
      <c r="F4511" s="4" t="s">
        <v>29</v>
      </c>
    </row>
    <row r="4512" spans="1:6" x14ac:dyDescent="0.25">
      <c r="A4512" s="4" t="s">
        <v>85</v>
      </c>
      <c r="B4512" s="4" t="s">
        <v>3</v>
      </c>
      <c r="C4512" s="4" t="s">
        <v>34</v>
      </c>
      <c r="D4512" s="4">
        <v>2015</v>
      </c>
      <c r="E4512" s="4">
        <v>0</v>
      </c>
      <c r="F4512" s="4" t="s">
        <v>29</v>
      </c>
    </row>
    <row r="4513" spans="1:6" x14ac:dyDescent="0.25">
      <c r="A4513" s="4" t="s">
        <v>85</v>
      </c>
      <c r="B4513" s="4" t="s">
        <v>3</v>
      </c>
      <c r="C4513" s="4" t="s">
        <v>34</v>
      </c>
      <c r="D4513" s="4">
        <v>2016</v>
      </c>
      <c r="E4513" s="4">
        <v>0</v>
      </c>
      <c r="F4513" s="4" t="s">
        <v>29</v>
      </c>
    </row>
    <row r="4514" spans="1:6" x14ac:dyDescent="0.25">
      <c r="A4514" s="4" t="s">
        <v>85</v>
      </c>
      <c r="B4514" s="4" t="s">
        <v>3</v>
      </c>
      <c r="C4514" s="4" t="s">
        <v>34</v>
      </c>
      <c r="D4514" s="4">
        <v>2017</v>
      </c>
      <c r="E4514" s="4">
        <v>0</v>
      </c>
      <c r="F4514" s="4" t="s">
        <v>29</v>
      </c>
    </row>
    <row r="4515" spans="1:6" x14ac:dyDescent="0.25">
      <c r="A4515" s="4" t="s">
        <v>85</v>
      </c>
      <c r="B4515" s="4" t="s">
        <v>3</v>
      </c>
      <c r="C4515" s="4" t="s">
        <v>34</v>
      </c>
      <c r="D4515" s="4">
        <v>2018</v>
      </c>
      <c r="E4515" s="4">
        <v>0</v>
      </c>
      <c r="F4515" s="4" t="s">
        <v>29</v>
      </c>
    </row>
    <row r="4516" spans="1:6" x14ac:dyDescent="0.25">
      <c r="A4516" s="4" t="s">
        <v>85</v>
      </c>
      <c r="B4516" s="4" t="s">
        <v>3</v>
      </c>
      <c r="C4516" s="4" t="s">
        <v>34</v>
      </c>
      <c r="D4516" s="4">
        <v>2019</v>
      </c>
      <c r="E4516" s="4">
        <v>0</v>
      </c>
      <c r="F4516" s="4" t="s">
        <v>29</v>
      </c>
    </row>
    <row r="4517" spans="1:6" x14ac:dyDescent="0.25">
      <c r="A4517" s="4" t="s">
        <v>85</v>
      </c>
      <c r="B4517" s="4" t="s">
        <v>3</v>
      </c>
      <c r="C4517" s="4" t="s">
        <v>34</v>
      </c>
      <c r="D4517" s="4">
        <v>2020</v>
      </c>
      <c r="E4517" s="4">
        <v>0</v>
      </c>
      <c r="F4517" s="4" t="s">
        <v>29</v>
      </c>
    </row>
    <row r="4518" spans="1:6" x14ac:dyDescent="0.25">
      <c r="A4518" s="4" t="s">
        <v>85</v>
      </c>
      <c r="B4518" s="4" t="s">
        <v>3</v>
      </c>
      <c r="C4518" s="4" t="s">
        <v>34</v>
      </c>
      <c r="D4518" s="4">
        <v>2021</v>
      </c>
      <c r="E4518" s="4">
        <v>0</v>
      </c>
      <c r="F4518" s="4" t="s">
        <v>29</v>
      </c>
    </row>
    <row r="4519" spans="1:6" x14ac:dyDescent="0.25">
      <c r="A4519" s="4" t="s">
        <v>85</v>
      </c>
      <c r="B4519" s="4" t="s">
        <v>3</v>
      </c>
      <c r="C4519" s="4" t="s">
        <v>34</v>
      </c>
      <c r="D4519" s="4">
        <v>2022</v>
      </c>
      <c r="E4519" s="4">
        <v>0</v>
      </c>
      <c r="F4519" s="4" t="s">
        <v>29</v>
      </c>
    </row>
    <row r="4520" spans="1:6" x14ac:dyDescent="0.25">
      <c r="A4520" s="4" t="s">
        <v>85</v>
      </c>
      <c r="B4520" s="4" t="s">
        <v>3</v>
      </c>
      <c r="C4520" s="4" t="s">
        <v>34</v>
      </c>
      <c r="D4520" s="4">
        <v>2023</v>
      </c>
      <c r="E4520" s="4">
        <v>0</v>
      </c>
      <c r="F4520" s="4" t="s">
        <v>29</v>
      </c>
    </row>
    <row r="4521" spans="1:6" x14ac:dyDescent="0.25">
      <c r="A4521" s="4" t="s">
        <v>85</v>
      </c>
      <c r="B4521" s="4" t="s">
        <v>3</v>
      </c>
      <c r="C4521" s="4" t="s">
        <v>34</v>
      </c>
      <c r="D4521" s="4">
        <v>2024</v>
      </c>
      <c r="E4521" s="4">
        <v>0</v>
      </c>
      <c r="F4521" s="4" t="s">
        <v>29</v>
      </c>
    </row>
    <row r="4522" spans="1:6" x14ac:dyDescent="0.25">
      <c r="A4522" s="4" t="s">
        <v>85</v>
      </c>
      <c r="B4522" s="4" t="s">
        <v>3</v>
      </c>
      <c r="C4522" s="4" t="s">
        <v>34</v>
      </c>
      <c r="D4522" s="4">
        <v>2025</v>
      </c>
      <c r="E4522" s="4">
        <v>0</v>
      </c>
      <c r="F4522" s="4" t="s">
        <v>29</v>
      </c>
    </row>
    <row r="4523" spans="1:6" x14ac:dyDescent="0.25">
      <c r="A4523" s="4" t="s">
        <v>85</v>
      </c>
      <c r="B4523" s="4" t="s">
        <v>3</v>
      </c>
      <c r="C4523" s="4" t="s">
        <v>34</v>
      </c>
      <c r="D4523" s="4">
        <v>2026</v>
      </c>
      <c r="E4523" s="4">
        <v>0</v>
      </c>
      <c r="F4523" s="4" t="s">
        <v>29</v>
      </c>
    </row>
    <row r="4524" spans="1:6" x14ac:dyDescent="0.25">
      <c r="A4524" s="4" t="s">
        <v>85</v>
      </c>
      <c r="B4524" s="4" t="s">
        <v>3</v>
      </c>
      <c r="C4524" s="4" t="s">
        <v>34</v>
      </c>
      <c r="D4524" s="4">
        <v>2027</v>
      </c>
      <c r="E4524" s="4">
        <v>0</v>
      </c>
      <c r="F4524" s="4" t="s">
        <v>29</v>
      </c>
    </row>
    <row r="4525" spans="1:6" x14ac:dyDescent="0.25">
      <c r="A4525" s="4" t="s">
        <v>85</v>
      </c>
      <c r="B4525" s="4" t="s">
        <v>3</v>
      </c>
      <c r="C4525" s="4" t="s">
        <v>34</v>
      </c>
      <c r="D4525" s="4">
        <v>2028</v>
      </c>
      <c r="E4525" s="4">
        <v>0</v>
      </c>
      <c r="F4525" s="4" t="s">
        <v>29</v>
      </c>
    </row>
    <row r="4526" spans="1:6" x14ac:dyDescent="0.25">
      <c r="A4526" s="4" t="s">
        <v>85</v>
      </c>
      <c r="B4526" s="4" t="s">
        <v>3</v>
      </c>
      <c r="C4526" s="4" t="s">
        <v>34</v>
      </c>
      <c r="D4526" s="4">
        <v>2029</v>
      </c>
      <c r="E4526" s="4">
        <v>0</v>
      </c>
      <c r="F4526" s="4" t="s">
        <v>29</v>
      </c>
    </row>
    <row r="4527" spans="1:6" x14ac:dyDescent="0.25">
      <c r="A4527" s="4" t="s">
        <v>85</v>
      </c>
      <c r="B4527" s="4" t="s">
        <v>3</v>
      </c>
      <c r="C4527" s="4" t="s">
        <v>34</v>
      </c>
      <c r="D4527" s="4">
        <v>2030</v>
      </c>
      <c r="E4527" s="4">
        <v>0</v>
      </c>
      <c r="F4527" s="4" t="s">
        <v>29</v>
      </c>
    </row>
    <row r="4528" spans="1:6" x14ac:dyDescent="0.25">
      <c r="A4528" s="4" t="s">
        <v>85</v>
      </c>
      <c r="B4528" s="4" t="s">
        <v>3</v>
      </c>
      <c r="C4528" s="4" t="s">
        <v>34</v>
      </c>
      <c r="D4528" s="4">
        <v>2031</v>
      </c>
      <c r="E4528" s="4">
        <v>0</v>
      </c>
      <c r="F4528" s="4" t="s">
        <v>29</v>
      </c>
    </row>
    <row r="4529" spans="1:6" x14ac:dyDescent="0.25">
      <c r="A4529" s="4" t="s">
        <v>85</v>
      </c>
      <c r="B4529" s="4" t="s">
        <v>3</v>
      </c>
      <c r="C4529" s="4" t="s">
        <v>34</v>
      </c>
      <c r="D4529" s="4">
        <v>2032</v>
      </c>
      <c r="E4529" s="4">
        <v>0</v>
      </c>
      <c r="F4529" s="4" t="s">
        <v>29</v>
      </c>
    </row>
    <row r="4530" spans="1:6" x14ac:dyDescent="0.25">
      <c r="A4530" s="4" t="s">
        <v>85</v>
      </c>
      <c r="B4530" s="4" t="s">
        <v>3</v>
      </c>
      <c r="C4530" s="4" t="s">
        <v>34</v>
      </c>
      <c r="D4530" s="4">
        <v>2033</v>
      </c>
      <c r="E4530" s="4">
        <v>0</v>
      </c>
      <c r="F4530" s="4" t="s">
        <v>29</v>
      </c>
    </row>
    <row r="4531" spans="1:6" x14ac:dyDescent="0.25">
      <c r="A4531" s="4" t="s">
        <v>85</v>
      </c>
      <c r="B4531" s="4" t="s">
        <v>3</v>
      </c>
      <c r="C4531" s="4" t="s">
        <v>34</v>
      </c>
      <c r="D4531" s="4">
        <v>2034</v>
      </c>
      <c r="E4531" s="4">
        <v>0</v>
      </c>
      <c r="F4531" s="4" t="s">
        <v>29</v>
      </c>
    </row>
    <row r="4532" spans="1:6" x14ac:dyDescent="0.25">
      <c r="A4532" s="4" t="s">
        <v>85</v>
      </c>
      <c r="B4532" s="4" t="s">
        <v>3</v>
      </c>
      <c r="C4532" s="4" t="s">
        <v>34</v>
      </c>
      <c r="D4532" s="4">
        <v>2035</v>
      </c>
      <c r="E4532" s="4">
        <v>0</v>
      </c>
      <c r="F4532" s="4" t="s">
        <v>29</v>
      </c>
    </row>
    <row r="4533" spans="1:6" x14ac:dyDescent="0.25">
      <c r="A4533" s="4" t="s">
        <v>85</v>
      </c>
      <c r="B4533" s="4" t="s">
        <v>3</v>
      </c>
      <c r="C4533" s="4" t="s">
        <v>34</v>
      </c>
      <c r="D4533" s="4">
        <v>2036</v>
      </c>
      <c r="E4533" s="4">
        <v>0</v>
      </c>
      <c r="F4533" s="4" t="s">
        <v>29</v>
      </c>
    </row>
    <row r="4534" spans="1:6" x14ac:dyDescent="0.25">
      <c r="A4534" s="4" t="s">
        <v>85</v>
      </c>
      <c r="B4534" s="4" t="s">
        <v>3</v>
      </c>
      <c r="C4534" s="4" t="s">
        <v>34</v>
      </c>
      <c r="D4534" s="4">
        <v>2037</v>
      </c>
      <c r="E4534" s="4">
        <v>0</v>
      </c>
      <c r="F4534" s="4" t="s">
        <v>29</v>
      </c>
    </row>
    <row r="4535" spans="1:6" x14ac:dyDescent="0.25">
      <c r="A4535" s="4" t="s">
        <v>85</v>
      </c>
      <c r="B4535" s="4" t="s">
        <v>3</v>
      </c>
      <c r="C4535" s="4" t="s">
        <v>34</v>
      </c>
      <c r="D4535" s="4">
        <v>2038</v>
      </c>
      <c r="E4535" s="4">
        <v>0</v>
      </c>
      <c r="F4535" s="4" t="s">
        <v>29</v>
      </c>
    </row>
    <row r="4536" spans="1:6" x14ac:dyDescent="0.25">
      <c r="A4536" s="4" t="s">
        <v>85</v>
      </c>
      <c r="B4536" s="4" t="s">
        <v>3</v>
      </c>
      <c r="C4536" s="4" t="s">
        <v>34</v>
      </c>
      <c r="D4536" s="4">
        <v>2039</v>
      </c>
      <c r="E4536" s="4">
        <v>0</v>
      </c>
      <c r="F4536" s="4" t="s">
        <v>29</v>
      </c>
    </row>
    <row r="4537" spans="1:6" x14ac:dyDescent="0.25">
      <c r="A4537" s="4" t="s">
        <v>85</v>
      </c>
      <c r="B4537" s="4" t="s">
        <v>3</v>
      </c>
      <c r="C4537" s="4" t="s">
        <v>34</v>
      </c>
      <c r="D4537" s="4">
        <v>2040</v>
      </c>
      <c r="E4537" s="4">
        <v>0</v>
      </c>
      <c r="F4537" s="4" t="s">
        <v>29</v>
      </c>
    </row>
    <row r="4538" spans="1:6" x14ac:dyDescent="0.25">
      <c r="A4538" s="4" t="s">
        <v>85</v>
      </c>
      <c r="B4538" s="4" t="s">
        <v>4</v>
      </c>
      <c r="C4538" s="4" t="s">
        <v>34</v>
      </c>
      <c r="D4538" s="4">
        <v>2005</v>
      </c>
      <c r="E4538" s="4">
        <v>0</v>
      </c>
      <c r="F4538" s="4" t="s">
        <v>29</v>
      </c>
    </row>
    <row r="4539" spans="1:6" x14ac:dyDescent="0.25">
      <c r="A4539" s="4" t="s">
        <v>85</v>
      </c>
      <c r="B4539" s="4" t="s">
        <v>4</v>
      </c>
      <c r="C4539" s="4" t="s">
        <v>34</v>
      </c>
      <c r="D4539" s="4">
        <v>2006</v>
      </c>
      <c r="E4539" s="4">
        <v>0</v>
      </c>
      <c r="F4539" s="4" t="s">
        <v>29</v>
      </c>
    </row>
    <row r="4540" spans="1:6" x14ac:dyDescent="0.25">
      <c r="A4540" s="4" t="s">
        <v>85</v>
      </c>
      <c r="B4540" s="4" t="s">
        <v>4</v>
      </c>
      <c r="C4540" s="4" t="s">
        <v>34</v>
      </c>
      <c r="D4540" s="4">
        <v>2007</v>
      </c>
      <c r="E4540" s="4">
        <v>0</v>
      </c>
      <c r="F4540" s="4" t="s">
        <v>29</v>
      </c>
    </row>
    <row r="4541" spans="1:6" x14ac:dyDescent="0.25">
      <c r="A4541" s="4" t="s">
        <v>85</v>
      </c>
      <c r="B4541" s="4" t="s">
        <v>4</v>
      </c>
      <c r="C4541" s="4" t="s">
        <v>34</v>
      </c>
      <c r="D4541" s="4">
        <v>2008</v>
      </c>
      <c r="E4541" s="4">
        <v>0</v>
      </c>
      <c r="F4541" s="4" t="s">
        <v>29</v>
      </c>
    </row>
    <row r="4542" spans="1:6" x14ac:dyDescent="0.25">
      <c r="A4542" s="4" t="s">
        <v>85</v>
      </c>
      <c r="B4542" s="4" t="s">
        <v>4</v>
      </c>
      <c r="C4542" s="4" t="s">
        <v>34</v>
      </c>
      <c r="D4542" s="4">
        <v>2009</v>
      </c>
      <c r="E4542" s="4">
        <v>0</v>
      </c>
      <c r="F4542" s="4" t="s">
        <v>29</v>
      </c>
    </row>
    <row r="4543" spans="1:6" x14ac:dyDescent="0.25">
      <c r="A4543" s="4" t="s">
        <v>85</v>
      </c>
      <c r="B4543" s="4" t="s">
        <v>4</v>
      </c>
      <c r="C4543" s="4" t="s">
        <v>34</v>
      </c>
      <c r="D4543" s="4">
        <v>2010</v>
      </c>
      <c r="E4543" s="4">
        <v>0</v>
      </c>
      <c r="F4543" s="4" t="s">
        <v>29</v>
      </c>
    </row>
    <row r="4544" spans="1:6" x14ac:dyDescent="0.25">
      <c r="A4544" s="4" t="s">
        <v>85</v>
      </c>
      <c r="B4544" s="4" t="s">
        <v>4</v>
      </c>
      <c r="C4544" s="4" t="s">
        <v>34</v>
      </c>
      <c r="D4544" s="4">
        <v>2011</v>
      </c>
      <c r="E4544" s="4">
        <v>0</v>
      </c>
      <c r="F4544" s="4" t="s">
        <v>29</v>
      </c>
    </row>
    <row r="4545" spans="1:6" x14ac:dyDescent="0.25">
      <c r="A4545" s="4" t="s">
        <v>85</v>
      </c>
      <c r="B4545" s="4" t="s">
        <v>4</v>
      </c>
      <c r="C4545" s="4" t="s">
        <v>34</v>
      </c>
      <c r="D4545" s="4">
        <v>2012</v>
      </c>
      <c r="E4545" s="4">
        <v>0</v>
      </c>
      <c r="F4545" s="4" t="s">
        <v>29</v>
      </c>
    </row>
    <row r="4546" spans="1:6" x14ac:dyDescent="0.25">
      <c r="A4546" s="4" t="s">
        <v>85</v>
      </c>
      <c r="B4546" s="4" t="s">
        <v>4</v>
      </c>
      <c r="C4546" s="4" t="s">
        <v>34</v>
      </c>
      <c r="D4546" s="4">
        <v>2013</v>
      </c>
      <c r="E4546" s="4">
        <v>0</v>
      </c>
      <c r="F4546" s="4" t="s">
        <v>29</v>
      </c>
    </row>
    <row r="4547" spans="1:6" x14ac:dyDescent="0.25">
      <c r="A4547" s="4" t="s">
        <v>85</v>
      </c>
      <c r="B4547" s="4" t="s">
        <v>4</v>
      </c>
      <c r="C4547" s="4" t="s">
        <v>34</v>
      </c>
      <c r="D4547" s="4">
        <v>2014</v>
      </c>
      <c r="E4547" s="4">
        <v>0</v>
      </c>
      <c r="F4547" s="4" t="s">
        <v>29</v>
      </c>
    </row>
    <row r="4548" spans="1:6" x14ac:dyDescent="0.25">
      <c r="A4548" s="4" t="s">
        <v>85</v>
      </c>
      <c r="B4548" s="4" t="s">
        <v>4</v>
      </c>
      <c r="C4548" s="4" t="s">
        <v>34</v>
      </c>
      <c r="D4548" s="4">
        <v>2015</v>
      </c>
      <c r="E4548" s="4">
        <v>0</v>
      </c>
      <c r="F4548" s="4" t="s">
        <v>29</v>
      </c>
    </row>
    <row r="4549" spans="1:6" x14ac:dyDescent="0.25">
      <c r="A4549" s="4" t="s">
        <v>85</v>
      </c>
      <c r="B4549" s="4" t="s">
        <v>4</v>
      </c>
      <c r="C4549" s="4" t="s">
        <v>34</v>
      </c>
      <c r="D4549" s="4">
        <v>2016</v>
      </c>
      <c r="E4549" s="4">
        <v>0</v>
      </c>
      <c r="F4549" s="4" t="s">
        <v>29</v>
      </c>
    </row>
    <row r="4550" spans="1:6" x14ac:dyDescent="0.25">
      <c r="A4550" s="4" t="s">
        <v>85</v>
      </c>
      <c r="B4550" s="4" t="s">
        <v>4</v>
      </c>
      <c r="C4550" s="4" t="s">
        <v>34</v>
      </c>
      <c r="D4550" s="4">
        <v>2017</v>
      </c>
      <c r="E4550" s="4">
        <v>0</v>
      </c>
      <c r="F4550" s="4" t="s">
        <v>29</v>
      </c>
    </row>
    <row r="4551" spans="1:6" x14ac:dyDescent="0.25">
      <c r="A4551" s="4" t="s">
        <v>85</v>
      </c>
      <c r="B4551" s="4" t="s">
        <v>4</v>
      </c>
      <c r="C4551" s="4" t="s">
        <v>34</v>
      </c>
      <c r="D4551" s="4">
        <v>2018</v>
      </c>
      <c r="E4551" s="4">
        <v>0</v>
      </c>
      <c r="F4551" s="4" t="s">
        <v>29</v>
      </c>
    </row>
    <row r="4552" spans="1:6" x14ac:dyDescent="0.25">
      <c r="A4552" s="4" t="s">
        <v>85</v>
      </c>
      <c r="B4552" s="4" t="s">
        <v>4</v>
      </c>
      <c r="C4552" s="4" t="s">
        <v>34</v>
      </c>
      <c r="D4552" s="4">
        <v>2019</v>
      </c>
      <c r="E4552" s="4">
        <v>0</v>
      </c>
      <c r="F4552" s="4" t="s">
        <v>29</v>
      </c>
    </row>
    <row r="4553" spans="1:6" x14ac:dyDescent="0.25">
      <c r="A4553" s="4" t="s">
        <v>85</v>
      </c>
      <c r="B4553" s="4" t="s">
        <v>4</v>
      </c>
      <c r="C4553" s="4" t="s">
        <v>34</v>
      </c>
      <c r="D4553" s="4">
        <v>2020</v>
      </c>
      <c r="E4553" s="4">
        <v>0</v>
      </c>
      <c r="F4553" s="4" t="s">
        <v>29</v>
      </c>
    </row>
    <row r="4554" spans="1:6" x14ac:dyDescent="0.25">
      <c r="A4554" s="4" t="s">
        <v>85</v>
      </c>
      <c r="B4554" s="4" t="s">
        <v>4</v>
      </c>
      <c r="C4554" s="4" t="s">
        <v>34</v>
      </c>
      <c r="D4554" s="4">
        <v>2021</v>
      </c>
      <c r="E4554" s="4">
        <v>0</v>
      </c>
      <c r="F4554" s="4" t="s">
        <v>29</v>
      </c>
    </row>
    <row r="4555" spans="1:6" x14ac:dyDescent="0.25">
      <c r="A4555" s="4" t="s">
        <v>85</v>
      </c>
      <c r="B4555" s="4" t="s">
        <v>4</v>
      </c>
      <c r="C4555" s="4" t="s">
        <v>34</v>
      </c>
      <c r="D4555" s="4">
        <v>2022</v>
      </c>
      <c r="E4555" s="4">
        <v>0</v>
      </c>
      <c r="F4555" s="4" t="s">
        <v>29</v>
      </c>
    </row>
    <row r="4556" spans="1:6" x14ac:dyDescent="0.25">
      <c r="A4556" s="4" t="s">
        <v>85</v>
      </c>
      <c r="B4556" s="4" t="s">
        <v>4</v>
      </c>
      <c r="C4556" s="4" t="s">
        <v>34</v>
      </c>
      <c r="D4556" s="4">
        <v>2023</v>
      </c>
      <c r="E4556" s="4">
        <v>0</v>
      </c>
      <c r="F4556" s="4" t="s">
        <v>29</v>
      </c>
    </row>
    <row r="4557" spans="1:6" x14ac:dyDescent="0.25">
      <c r="A4557" s="4" t="s">
        <v>85</v>
      </c>
      <c r="B4557" s="4" t="s">
        <v>4</v>
      </c>
      <c r="C4557" s="4" t="s">
        <v>34</v>
      </c>
      <c r="D4557" s="4">
        <v>2024</v>
      </c>
      <c r="E4557" s="4">
        <v>0</v>
      </c>
      <c r="F4557" s="4" t="s">
        <v>29</v>
      </c>
    </row>
    <row r="4558" spans="1:6" x14ac:dyDescent="0.25">
      <c r="A4558" s="4" t="s">
        <v>85</v>
      </c>
      <c r="B4558" s="4" t="s">
        <v>4</v>
      </c>
      <c r="C4558" s="4" t="s">
        <v>34</v>
      </c>
      <c r="D4558" s="4">
        <v>2025</v>
      </c>
      <c r="E4558" s="4">
        <v>0</v>
      </c>
      <c r="F4558" s="4" t="s">
        <v>29</v>
      </c>
    </row>
    <row r="4559" spans="1:6" x14ac:dyDescent="0.25">
      <c r="A4559" s="4" t="s">
        <v>85</v>
      </c>
      <c r="B4559" s="4" t="s">
        <v>4</v>
      </c>
      <c r="C4559" s="4" t="s">
        <v>34</v>
      </c>
      <c r="D4559" s="4">
        <v>2026</v>
      </c>
      <c r="E4559" s="4">
        <v>0</v>
      </c>
      <c r="F4559" s="4" t="s">
        <v>29</v>
      </c>
    </row>
    <row r="4560" spans="1:6" x14ac:dyDescent="0.25">
      <c r="A4560" s="4" t="s">
        <v>85</v>
      </c>
      <c r="B4560" s="4" t="s">
        <v>4</v>
      </c>
      <c r="C4560" s="4" t="s">
        <v>34</v>
      </c>
      <c r="D4560" s="4">
        <v>2027</v>
      </c>
      <c r="E4560" s="4">
        <v>0</v>
      </c>
      <c r="F4560" s="4" t="s">
        <v>29</v>
      </c>
    </row>
    <row r="4561" spans="1:6" x14ac:dyDescent="0.25">
      <c r="A4561" s="4" t="s">
        <v>85</v>
      </c>
      <c r="B4561" s="4" t="s">
        <v>4</v>
      </c>
      <c r="C4561" s="4" t="s">
        <v>34</v>
      </c>
      <c r="D4561" s="4">
        <v>2028</v>
      </c>
      <c r="E4561" s="4">
        <v>0</v>
      </c>
      <c r="F4561" s="4" t="s">
        <v>29</v>
      </c>
    </row>
    <row r="4562" spans="1:6" x14ac:dyDescent="0.25">
      <c r="A4562" s="4" t="s">
        <v>85</v>
      </c>
      <c r="B4562" s="4" t="s">
        <v>4</v>
      </c>
      <c r="C4562" s="4" t="s">
        <v>34</v>
      </c>
      <c r="D4562" s="4">
        <v>2029</v>
      </c>
      <c r="E4562" s="4">
        <v>0</v>
      </c>
      <c r="F4562" s="4" t="s">
        <v>29</v>
      </c>
    </row>
    <row r="4563" spans="1:6" x14ac:dyDescent="0.25">
      <c r="A4563" s="4" t="s">
        <v>85</v>
      </c>
      <c r="B4563" s="4" t="s">
        <v>4</v>
      </c>
      <c r="C4563" s="4" t="s">
        <v>34</v>
      </c>
      <c r="D4563" s="4">
        <v>2030</v>
      </c>
      <c r="E4563" s="4">
        <v>0</v>
      </c>
      <c r="F4563" s="4" t="s">
        <v>29</v>
      </c>
    </row>
    <row r="4564" spans="1:6" x14ac:dyDescent="0.25">
      <c r="A4564" s="4" t="s">
        <v>85</v>
      </c>
      <c r="B4564" s="4" t="s">
        <v>4</v>
      </c>
      <c r="C4564" s="4" t="s">
        <v>34</v>
      </c>
      <c r="D4564" s="4">
        <v>2031</v>
      </c>
      <c r="E4564" s="4">
        <v>0</v>
      </c>
      <c r="F4564" s="4" t="s">
        <v>29</v>
      </c>
    </row>
    <row r="4565" spans="1:6" x14ac:dyDescent="0.25">
      <c r="A4565" s="4" t="s">
        <v>85</v>
      </c>
      <c r="B4565" s="4" t="s">
        <v>4</v>
      </c>
      <c r="C4565" s="4" t="s">
        <v>34</v>
      </c>
      <c r="D4565" s="4">
        <v>2032</v>
      </c>
      <c r="E4565" s="4">
        <v>0</v>
      </c>
      <c r="F4565" s="4" t="s">
        <v>29</v>
      </c>
    </row>
    <row r="4566" spans="1:6" x14ac:dyDescent="0.25">
      <c r="A4566" s="4" t="s">
        <v>85</v>
      </c>
      <c r="B4566" s="4" t="s">
        <v>4</v>
      </c>
      <c r="C4566" s="4" t="s">
        <v>34</v>
      </c>
      <c r="D4566" s="4">
        <v>2033</v>
      </c>
      <c r="E4566" s="4">
        <v>0</v>
      </c>
      <c r="F4566" s="4" t="s">
        <v>29</v>
      </c>
    </row>
    <row r="4567" spans="1:6" x14ac:dyDescent="0.25">
      <c r="A4567" s="4" t="s">
        <v>85</v>
      </c>
      <c r="B4567" s="4" t="s">
        <v>4</v>
      </c>
      <c r="C4567" s="4" t="s">
        <v>34</v>
      </c>
      <c r="D4567" s="4">
        <v>2034</v>
      </c>
      <c r="E4567" s="4">
        <v>0</v>
      </c>
      <c r="F4567" s="4" t="s">
        <v>29</v>
      </c>
    </row>
    <row r="4568" spans="1:6" x14ac:dyDescent="0.25">
      <c r="A4568" s="4" t="s">
        <v>85</v>
      </c>
      <c r="B4568" s="4" t="s">
        <v>4</v>
      </c>
      <c r="C4568" s="4" t="s">
        <v>34</v>
      </c>
      <c r="D4568" s="4">
        <v>2035</v>
      </c>
      <c r="E4568" s="4">
        <v>0</v>
      </c>
      <c r="F4568" s="4" t="s">
        <v>29</v>
      </c>
    </row>
    <row r="4569" spans="1:6" x14ac:dyDescent="0.25">
      <c r="A4569" s="4" t="s">
        <v>85</v>
      </c>
      <c r="B4569" s="4" t="s">
        <v>4</v>
      </c>
      <c r="C4569" s="4" t="s">
        <v>34</v>
      </c>
      <c r="D4569" s="4">
        <v>2036</v>
      </c>
      <c r="E4569" s="4">
        <v>0</v>
      </c>
      <c r="F4569" s="4" t="s">
        <v>29</v>
      </c>
    </row>
    <row r="4570" spans="1:6" x14ac:dyDescent="0.25">
      <c r="A4570" s="4" t="s">
        <v>85</v>
      </c>
      <c r="B4570" s="4" t="s">
        <v>4</v>
      </c>
      <c r="C4570" s="4" t="s">
        <v>34</v>
      </c>
      <c r="D4570" s="4">
        <v>2037</v>
      </c>
      <c r="E4570" s="4">
        <v>0</v>
      </c>
      <c r="F4570" s="4" t="s">
        <v>29</v>
      </c>
    </row>
    <row r="4571" spans="1:6" x14ac:dyDescent="0.25">
      <c r="A4571" s="4" t="s">
        <v>85</v>
      </c>
      <c r="B4571" s="4" t="s">
        <v>4</v>
      </c>
      <c r="C4571" s="4" t="s">
        <v>34</v>
      </c>
      <c r="D4571" s="4">
        <v>2038</v>
      </c>
      <c r="E4571" s="4">
        <v>0</v>
      </c>
      <c r="F4571" s="4" t="s">
        <v>29</v>
      </c>
    </row>
    <row r="4572" spans="1:6" x14ac:dyDescent="0.25">
      <c r="A4572" s="4" t="s">
        <v>85</v>
      </c>
      <c r="B4572" s="4" t="s">
        <v>4</v>
      </c>
      <c r="C4572" s="4" t="s">
        <v>34</v>
      </c>
      <c r="D4572" s="4">
        <v>2039</v>
      </c>
      <c r="E4572" s="4">
        <v>0</v>
      </c>
      <c r="F4572" s="4" t="s">
        <v>29</v>
      </c>
    </row>
    <row r="4573" spans="1:6" x14ac:dyDescent="0.25">
      <c r="A4573" s="4" t="s">
        <v>85</v>
      </c>
      <c r="B4573" s="4" t="s">
        <v>4</v>
      </c>
      <c r="C4573" s="4" t="s">
        <v>34</v>
      </c>
      <c r="D4573" s="4">
        <v>2040</v>
      </c>
      <c r="E4573" s="4">
        <v>0</v>
      </c>
      <c r="F4573" s="4" t="s">
        <v>29</v>
      </c>
    </row>
    <row r="4574" spans="1:6" x14ac:dyDescent="0.25">
      <c r="A4574" s="4" t="s">
        <v>85</v>
      </c>
      <c r="B4574" s="4" t="s">
        <v>5</v>
      </c>
      <c r="C4574" s="4" t="s">
        <v>34</v>
      </c>
      <c r="D4574" s="4">
        <v>2005</v>
      </c>
      <c r="E4574" s="4">
        <v>0</v>
      </c>
      <c r="F4574" s="4" t="s">
        <v>29</v>
      </c>
    </row>
    <row r="4575" spans="1:6" x14ac:dyDescent="0.25">
      <c r="A4575" s="4" t="s">
        <v>85</v>
      </c>
      <c r="B4575" s="4" t="s">
        <v>5</v>
      </c>
      <c r="C4575" s="4" t="s">
        <v>34</v>
      </c>
      <c r="D4575" s="4">
        <v>2006</v>
      </c>
      <c r="E4575" s="4">
        <v>0</v>
      </c>
      <c r="F4575" s="4" t="s">
        <v>29</v>
      </c>
    </row>
    <row r="4576" spans="1:6" x14ac:dyDescent="0.25">
      <c r="A4576" s="4" t="s">
        <v>85</v>
      </c>
      <c r="B4576" s="4" t="s">
        <v>5</v>
      </c>
      <c r="C4576" s="4" t="s">
        <v>34</v>
      </c>
      <c r="D4576" s="4">
        <v>2007</v>
      </c>
      <c r="E4576" s="4">
        <v>0</v>
      </c>
      <c r="F4576" s="4" t="s">
        <v>29</v>
      </c>
    </row>
    <row r="4577" spans="1:6" x14ac:dyDescent="0.25">
      <c r="A4577" s="4" t="s">
        <v>85</v>
      </c>
      <c r="B4577" s="4" t="s">
        <v>5</v>
      </c>
      <c r="C4577" s="4" t="s">
        <v>34</v>
      </c>
      <c r="D4577" s="4">
        <v>2008</v>
      </c>
      <c r="E4577" s="4">
        <v>0</v>
      </c>
      <c r="F4577" s="4" t="s">
        <v>29</v>
      </c>
    </row>
    <row r="4578" spans="1:6" x14ac:dyDescent="0.25">
      <c r="A4578" s="4" t="s">
        <v>85</v>
      </c>
      <c r="B4578" s="4" t="s">
        <v>5</v>
      </c>
      <c r="C4578" s="4" t="s">
        <v>34</v>
      </c>
      <c r="D4578" s="4">
        <v>2009</v>
      </c>
      <c r="E4578" s="4">
        <v>0</v>
      </c>
      <c r="F4578" s="4" t="s">
        <v>29</v>
      </c>
    </row>
    <row r="4579" spans="1:6" x14ac:dyDescent="0.25">
      <c r="A4579" s="4" t="s">
        <v>85</v>
      </c>
      <c r="B4579" s="4" t="s">
        <v>5</v>
      </c>
      <c r="C4579" s="4" t="s">
        <v>34</v>
      </c>
      <c r="D4579" s="4">
        <v>2010</v>
      </c>
      <c r="E4579" s="4">
        <v>0</v>
      </c>
      <c r="F4579" s="4" t="s">
        <v>29</v>
      </c>
    </row>
    <row r="4580" spans="1:6" x14ac:dyDescent="0.25">
      <c r="A4580" s="4" t="s">
        <v>85</v>
      </c>
      <c r="B4580" s="4" t="s">
        <v>5</v>
      </c>
      <c r="C4580" s="4" t="s">
        <v>34</v>
      </c>
      <c r="D4580" s="4">
        <v>2011</v>
      </c>
      <c r="E4580" s="4">
        <v>0</v>
      </c>
      <c r="F4580" s="4" t="s">
        <v>29</v>
      </c>
    </row>
    <row r="4581" spans="1:6" x14ac:dyDescent="0.25">
      <c r="A4581" s="4" t="s">
        <v>85</v>
      </c>
      <c r="B4581" s="4" t="s">
        <v>5</v>
      </c>
      <c r="C4581" s="4" t="s">
        <v>34</v>
      </c>
      <c r="D4581" s="4">
        <v>2012</v>
      </c>
      <c r="E4581" s="4">
        <v>0</v>
      </c>
      <c r="F4581" s="4" t="s">
        <v>29</v>
      </c>
    </row>
    <row r="4582" spans="1:6" x14ac:dyDescent="0.25">
      <c r="A4582" s="4" t="s">
        <v>85</v>
      </c>
      <c r="B4582" s="4" t="s">
        <v>5</v>
      </c>
      <c r="C4582" s="4" t="s">
        <v>34</v>
      </c>
      <c r="D4582" s="4">
        <v>2013</v>
      </c>
      <c r="E4582" s="4">
        <v>0</v>
      </c>
      <c r="F4582" s="4" t="s">
        <v>29</v>
      </c>
    </row>
    <row r="4583" spans="1:6" x14ac:dyDescent="0.25">
      <c r="A4583" s="4" t="s">
        <v>85</v>
      </c>
      <c r="B4583" s="4" t="s">
        <v>5</v>
      </c>
      <c r="C4583" s="4" t="s">
        <v>34</v>
      </c>
      <c r="D4583" s="4">
        <v>2014</v>
      </c>
      <c r="E4583" s="4">
        <v>0</v>
      </c>
      <c r="F4583" s="4" t="s">
        <v>29</v>
      </c>
    </row>
    <row r="4584" spans="1:6" x14ac:dyDescent="0.25">
      <c r="A4584" s="4" t="s">
        <v>85</v>
      </c>
      <c r="B4584" s="4" t="s">
        <v>5</v>
      </c>
      <c r="C4584" s="4" t="s">
        <v>34</v>
      </c>
      <c r="D4584" s="4">
        <v>2015</v>
      </c>
      <c r="E4584" s="4">
        <v>0</v>
      </c>
      <c r="F4584" s="4" t="s">
        <v>29</v>
      </c>
    </row>
    <row r="4585" spans="1:6" x14ac:dyDescent="0.25">
      <c r="A4585" s="4" t="s">
        <v>85</v>
      </c>
      <c r="B4585" s="4" t="s">
        <v>5</v>
      </c>
      <c r="C4585" s="4" t="s">
        <v>34</v>
      </c>
      <c r="D4585" s="4">
        <v>2016</v>
      </c>
      <c r="E4585" s="4">
        <v>0</v>
      </c>
      <c r="F4585" s="4" t="s">
        <v>29</v>
      </c>
    </row>
    <row r="4586" spans="1:6" x14ac:dyDescent="0.25">
      <c r="A4586" s="4" t="s">
        <v>85</v>
      </c>
      <c r="B4586" s="4" t="s">
        <v>5</v>
      </c>
      <c r="C4586" s="4" t="s">
        <v>34</v>
      </c>
      <c r="D4586" s="4">
        <v>2017</v>
      </c>
      <c r="E4586" s="4">
        <v>0</v>
      </c>
      <c r="F4586" s="4" t="s">
        <v>29</v>
      </c>
    </row>
    <row r="4587" spans="1:6" x14ac:dyDescent="0.25">
      <c r="A4587" s="4" t="s">
        <v>85</v>
      </c>
      <c r="B4587" s="4" t="s">
        <v>5</v>
      </c>
      <c r="C4587" s="4" t="s">
        <v>34</v>
      </c>
      <c r="D4587" s="4">
        <v>2018</v>
      </c>
      <c r="E4587" s="4">
        <v>0</v>
      </c>
      <c r="F4587" s="4" t="s">
        <v>29</v>
      </c>
    </row>
    <row r="4588" spans="1:6" x14ac:dyDescent="0.25">
      <c r="A4588" s="4" t="s">
        <v>85</v>
      </c>
      <c r="B4588" s="4" t="s">
        <v>5</v>
      </c>
      <c r="C4588" s="4" t="s">
        <v>34</v>
      </c>
      <c r="D4588" s="4">
        <v>2019</v>
      </c>
      <c r="E4588" s="4">
        <v>0</v>
      </c>
      <c r="F4588" s="4" t="s">
        <v>29</v>
      </c>
    </row>
    <row r="4589" spans="1:6" x14ac:dyDescent="0.25">
      <c r="A4589" s="4" t="s">
        <v>85</v>
      </c>
      <c r="B4589" s="4" t="s">
        <v>5</v>
      </c>
      <c r="C4589" s="4" t="s">
        <v>34</v>
      </c>
      <c r="D4589" s="4">
        <v>2020</v>
      </c>
      <c r="E4589" s="4">
        <v>0</v>
      </c>
      <c r="F4589" s="4" t="s">
        <v>29</v>
      </c>
    </row>
    <row r="4590" spans="1:6" x14ac:dyDescent="0.25">
      <c r="A4590" s="4" t="s">
        <v>85</v>
      </c>
      <c r="B4590" s="4" t="s">
        <v>5</v>
      </c>
      <c r="C4590" s="4" t="s">
        <v>34</v>
      </c>
      <c r="D4590" s="4">
        <v>2021</v>
      </c>
      <c r="E4590" s="4">
        <v>0</v>
      </c>
      <c r="F4590" s="4" t="s">
        <v>29</v>
      </c>
    </row>
    <row r="4591" spans="1:6" x14ac:dyDescent="0.25">
      <c r="A4591" s="4" t="s">
        <v>85</v>
      </c>
      <c r="B4591" s="4" t="s">
        <v>5</v>
      </c>
      <c r="C4591" s="4" t="s">
        <v>34</v>
      </c>
      <c r="D4591" s="4">
        <v>2022</v>
      </c>
      <c r="E4591" s="4">
        <v>0</v>
      </c>
      <c r="F4591" s="4" t="s">
        <v>29</v>
      </c>
    </row>
    <row r="4592" spans="1:6" x14ac:dyDescent="0.25">
      <c r="A4592" s="4" t="s">
        <v>85</v>
      </c>
      <c r="B4592" s="4" t="s">
        <v>5</v>
      </c>
      <c r="C4592" s="4" t="s">
        <v>34</v>
      </c>
      <c r="D4592" s="4">
        <v>2023</v>
      </c>
      <c r="E4592" s="4">
        <v>0</v>
      </c>
      <c r="F4592" s="4" t="s">
        <v>29</v>
      </c>
    </row>
    <row r="4593" spans="1:6" x14ac:dyDescent="0.25">
      <c r="A4593" s="4" t="s">
        <v>85</v>
      </c>
      <c r="B4593" s="4" t="s">
        <v>5</v>
      </c>
      <c r="C4593" s="4" t="s">
        <v>34</v>
      </c>
      <c r="D4593" s="4">
        <v>2024</v>
      </c>
      <c r="E4593" s="4">
        <v>0</v>
      </c>
      <c r="F4593" s="4" t="s">
        <v>29</v>
      </c>
    </row>
    <row r="4594" spans="1:6" x14ac:dyDescent="0.25">
      <c r="A4594" s="4" t="s">
        <v>85</v>
      </c>
      <c r="B4594" s="4" t="s">
        <v>5</v>
      </c>
      <c r="C4594" s="4" t="s">
        <v>34</v>
      </c>
      <c r="D4594" s="4">
        <v>2025</v>
      </c>
      <c r="E4594" s="4">
        <v>0</v>
      </c>
      <c r="F4594" s="4" t="s">
        <v>29</v>
      </c>
    </row>
    <row r="4595" spans="1:6" x14ac:dyDescent="0.25">
      <c r="A4595" s="4" t="s">
        <v>85</v>
      </c>
      <c r="B4595" s="4" t="s">
        <v>5</v>
      </c>
      <c r="C4595" s="4" t="s">
        <v>34</v>
      </c>
      <c r="D4595" s="4">
        <v>2026</v>
      </c>
      <c r="E4595" s="4">
        <v>0</v>
      </c>
      <c r="F4595" s="4" t="s">
        <v>29</v>
      </c>
    </row>
    <row r="4596" spans="1:6" x14ac:dyDescent="0.25">
      <c r="A4596" s="4" t="s">
        <v>85</v>
      </c>
      <c r="B4596" s="4" t="s">
        <v>5</v>
      </c>
      <c r="C4596" s="4" t="s">
        <v>34</v>
      </c>
      <c r="D4596" s="4">
        <v>2027</v>
      </c>
      <c r="E4596" s="4">
        <v>0</v>
      </c>
      <c r="F4596" s="4" t="s">
        <v>29</v>
      </c>
    </row>
    <row r="4597" spans="1:6" x14ac:dyDescent="0.25">
      <c r="A4597" s="4" t="s">
        <v>85</v>
      </c>
      <c r="B4597" s="4" t="s">
        <v>5</v>
      </c>
      <c r="C4597" s="4" t="s">
        <v>34</v>
      </c>
      <c r="D4597" s="4">
        <v>2028</v>
      </c>
      <c r="E4597" s="4">
        <v>0</v>
      </c>
      <c r="F4597" s="4" t="s">
        <v>29</v>
      </c>
    </row>
    <row r="4598" spans="1:6" x14ac:dyDescent="0.25">
      <c r="A4598" s="4" t="s">
        <v>85</v>
      </c>
      <c r="B4598" s="4" t="s">
        <v>5</v>
      </c>
      <c r="C4598" s="4" t="s">
        <v>34</v>
      </c>
      <c r="D4598" s="4">
        <v>2029</v>
      </c>
      <c r="E4598" s="4">
        <v>0</v>
      </c>
      <c r="F4598" s="4" t="s">
        <v>29</v>
      </c>
    </row>
    <row r="4599" spans="1:6" x14ac:dyDescent="0.25">
      <c r="A4599" s="4" t="s">
        <v>85</v>
      </c>
      <c r="B4599" s="4" t="s">
        <v>5</v>
      </c>
      <c r="C4599" s="4" t="s">
        <v>34</v>
      </c>
      <c r="D4599" s="4">
        <v>2030</v>
      </c>
      <c r="E4599" s="4">
        <v>0</v>
      </c>
      <c r="F4599" s="4" t="s">
        <v>29</v>
      </c>
    </row>
    <row r="4600" spans="1:6" x14ac:dyDescent="0.25">
      <c r="A4600" s="4" t="s">
        <v>85</v>
      </c>
      <c r="B4600" s="4" t="s">
        <v>5</v>
      </c>
      <c r="C4600" s="4" t="s">
        <v>34</v>
      </c>
      <c r="D4600" s="4">
        <v>2031</v>
      </c>
      <c r="E4600" s="4">
        <v>0</v>
      </c>
      <c r="F4600" s="4" t="s">
        <v>29</v>
      </c>
    </row>
    <row r="4601" spans="1:6" x14ac:dyDescent="0.25">
      <c r="A4601" s="4" t="s">
        <v>85</v>
      </c>
      <c r="B4601" s="4" t="s">
        <v>5</v>
      </c>
      <c r="C4601" s="4" t="s">
        <v>34</v>
      </c>
      <c r="D4601" s="4">
        <v>2032</v>
      </c>
      <c r="E4601" s="4">
        <v>0</v>
      </c>
      <c r="F4601" s="4" t="s">
        <v>29</v>
      </c>
    </row>
    <row r="4602" spans="1:6" x14ac:dyDescent="0.25">
      <c r="A4602" s="4" t="s">
        <v>85</v>
      </c>
      <c r="B4602" s="4" t="s">
        <v>5</v>
      </c>
      <c r="C4602" s="4" t="s">
        <v>34</v>
      </c>
      <c r="D4602" s="4">
        <v>2033</v>
      </c>
      <c r="E4602" s="4">
        <v>0</v>
      </c>
      <c r="F4602" s="4" t="s">
        <v>29</v>
      </c>
    </row>
    <row r="4603" spans="1:6" x14ac:dyDescent="0.25">
      <c r="A4603" s="4" t="s">
        <v>85</v>
      </c>
      <c r="B4603" s="4" t="s">
        <v>5</v>
      </c>
      <c r="C4603" s="4" t="s">
        <v>34</v>
      </c>
      <c r="D4603" s="4">
        <v>2034</v>
      </c>
      <c r="E4603" s="4">
        <v>0</v>
      </c>
      <c r="F4603" s="4" t="s">
        <v>29</v>
      </c>
    </row>
    <row r="4604" spans="1:6" x14ac:dyDescent="0.25">
      <c r="A4604" s="4" t="s">
        <v>85</v>
      </c>
      <c r="B4604" s="4" t="s">
        <v>5</v>
      </c>
      <c r="C4604" s="4" t="s">
        <v>34</v>
      </c>
      <c r="D4604" s="4">
        <v>2035</v>
      </c>
      <c r="E4604" s="4">
        <v>0</v>
      </c>
      <c r="F4604" s="4" t="s">
        <v>29</v>
      </c>
    </row>
    <row r="4605" spans="1:6" x14ac:dyDescent="0.25">
      <c r="A4605" s="4" t="s">
        <v>85</v>
      </c>
      <c r="B4605" s="4" t="s">
        <v>5</v>
      </c>
      <c r="C4605" s="4" t="s">
        <v>34</v>
      </c>
      <c r="D4605" s="4">
        <v>2036</v>
      </c>
      <c r="E4605" s="4">
        <v>0</v>
      </c>
      <c r="F4605" s="4" t="s">
        <v>29</v>
      </c>
    </row>
    <row r="4606" spans="1:6" x14ac:dyDescent="0.25">
      <c r="A4606" s="4" t="s">
        <v>85</v>
      </c>
      <c r="B4606" s="4" t="s">
        <v>5</v>
      </c>
      <c r="C4606" s="4" t="s">
        <v>34</v>
      </c>
      <c r="D4606" s="4">
        <v>2037</v>
      </c>
      <c r="E4606" s="4">
        <v>0</v>
      </c>
      <c r="F4606" s="4" t="s">
        <v>29</v>
      </c>
    </row>
    <row r="4607" spans="1:6" x14ac:dyDescent="0.25">
      <c r="A4607" s="4" t="s">
        <v>85</v>
      </c>
      <c r="B4607" s="4" t="s">
        <v>5</v>
      </c>
      <c r="C4607" s="4" t="s">
        <v>34</v>
      </c>
      <c r="D4607" s="4">
        <v>2038</v>
      </c>
      <c r="E4607" s="4">
        <v>0</v>
      </c>
      <c r="F4607" s="4" t="s">
        <v>29</v>
      </c>
    </row>
    <row r="4608" spans="1:6" x14ac:dyDescent="0.25">
      <c r="A4608" s="4" t="s">
        <v>85</v>
      </c>
      <c r="B4608" s="4" t="s">
        <v>5</v>
      </c>
      <c r="C4608" s="4" t="s">
        <v>34</v>
      </c>
      <c r="D4608" s="4">
        <v>2039</v>
      </c>
      <c r="E4608" s="4">
        <v>0</v>
      </c>
      <c r="F4608" s="4" t="s">
        <v>29</v>
      </c>
    </row>
    <row r="4609" spans="1:6" x14ac:dyDescent="0.25">
      <c r="A4609" s="4" t="s">
        <v>85</v>
      </c>
      <c r="B4609" s="4" t="s">
        <v>5</v>
      </c>
      <c r="C4609" s="4" t="s">
        <v>34</v>
      </c>
      <c r="D4609" s="4">
        <v>2040</v>
      </c>
      <c r="E4609" s="4">
        <v>0</v>
      </c>
      <c r="F4609" s="4" t="s">
        <v>29</v>
      </c>
    </row>
    <row r="4610" spans="1:6" x14ac:dyDescent="0.25">
      <c r="A4610" s="4" t="s">
        <v>85</v>
      </c>
      <c r="B4610" s="4" t="s">
        <v>6</v>
      </c>
      <c r="C4610" s="4" t="s">
        <v>34</v>
      </c>
      <c r="D4610" s="4">
        <v>2005</v>
      </c>
      <c r="E4610" s="4">
        <v>0</v>
      </c>
      <c r="F4610" s="4" t="s">
        <v>29</v>
      </c>
    </row>
    <row r="4611" spans="1:6" x14ac:dyDescent="0.25">
      <c r="A4611" s="4" t="s">
        <v>85</v>
      </c>
      <c r="B4611" s="4" t="s">
        <v>6</v>
      </c>
      <c r="C4611" s="4" t="s">
        <v>34</v>
      </c>
      <c r="D4611" s="4">
        <v>2006</v>
      </c>
      <c r="E4611" s="4">
        <v>0</v>
      </c>
      <c r="F4611" s="4" t="s">
        <v>29</v>
      </c>
    </row>
    <row r="4612" spans="1:6" x14ac:dyDescent="0.25">
      <c r="A4612" s="4" t="s">
        <v>85</v>
      </c>
      <c r="B4612" s="4" t="s">
        <v>6</v>
      </c>
      <c r="C4612" s="4" t="s">
        <v>34</v>
      </c>
      <c r="D4612" s="4">
        <v>2007</v>
      </c>
      <c r="E4612" s="4">
        <v>0</v>
      </c>
      <c r="F4612" s="4" t="s">
        <v>29</v>
      </c>
    </row>
    <row r="4613" spans="1:6" x14ac:dyDescent="0.25">
      <c r="A4613" s="4" t="s">
        <v>85</v>
      </c>
      <c r="B4613" s="4" t="s">
        <v>6</v>
      </c>
      <c r="C4613" s="4" t="s">
        <v>34</v>
      </c>
      <c r="D4613" s="4">
        <v>2008</v>
      </c>
      <c r="E4613" s="4">
        <v>0</v>
      </c>
      <c r="F4613" s="4" t="s">
        <v>29</v>
      </c>
    </row>
    <row r="4614" spans="1:6" x14ac:dyDescent="0.25">
      <c r="A4614" s="4" t="s">
        <v>85</v>
      </c>
      <c r="B4614" s="4" t="s">
        <v>6</v>
      </c>
      <c r="C4614" s="4" t="s">
        <v>34</v>
      </c>
      <c r="D4614" s="4">
        <v>2009</v>
      </c>
      <c r="E4614" s="4">
        <v>0</v>
      </c>
      <c r="F4614" s="4" t="s">
        <v>29</v>
      </c>
    </row>
    <row r="4615" spans="1:6" x14ac:dyDescent="0.25">
      <c r="A4615" s="4" t="s">
        <v>85</v>
      </c>
      <c r="B4615" s="4" t="s">
        <v>6</v>
      </c>
      <c r="C4615" s="4" t="s">
        <v>34</v>
      </c>
      <c r="D4615" s="4">
        <v>2010</v>
      </c>
      <c r="E4615" s="4">
        <v>0</v>
      </c>
      <c r="F4615" s="4" t="s">
        <v>29</v>
      </c>
    </row>
    <row r="4616" spans="1:6" x14ac:dyDescent="0.25">
      <c r="A4616" s="4" t="s">
        <v>85</v>
      </c>
      <c r="B4616" s="4" t="s">
        <v>6</v>
      </c>
      <c r="C4616" s="4" t="s">
        <v>34</v>
      </c>
      <c r="D4616" s="4">
        <v>2011</v>
      </c>
      <c r="E4616" s="4">
        <v>0</v>
      </c>
      <c r="F4616" s="4" t="s">
        <v>29</v>
      </c>
    </row>
    <row r="4617" spans="1:6" x14ac:dyDescent="0.25">
      <c r="A4617" s="4" t="s">
        <v>85</v>
      </c>
      <c r="B4617" s="4" t="s">
        <v>6</v>
      </c>
      <c r="C4617" s="4" t="s">
        <v>34</v>
      </c>
      <c r="D4617" s="4">
        <v>2012</v>
      </c>
      <c r="E4617" s="4">
        <v>0</v>
      </c>
      <c r="F4617" s="4" t="s">
        <v>29</v>
      </c>
    </row>
    <row r="4618" spans="1:6" x14ac:dyDescent="0.25">
      <c r="A4618" s="4" t="s">
        <v>85</v>
      </c>
      <c r="B4618" s="4" t="s">
        <v>6</v>
      </c>
      <c r="C4618" s="4" t="s">
        <v>34</v>
      </c>
      <c r="D4618" s="4">
        <v>2013</v>
      </c>
      <c r="E4618" s="4">
        <v>0</v>
      </c>
      <c r="F4618" s="4" t="s">
        <v>29</v>
      </c>
    </row>
    <row r="4619" spans="1:6" x14ac:dyDescent="0.25">
      <c r="A4619" s="4" t="s">
        <v>85</v>
      </c>
      <c r="B4619" s="4" t="s">
        <v>6</v>
      </c>
      <c r="C4619" s="4" t="s">
        <v>34</v>
      </c>
      <c r="D4619" s="4">
        <v>2014</v>
      </c>
      <c r="E4619" s="4">
        <v>0</v>
      </c>
      <c r="F4619" s="4" t="s">
        <v>29</v>
      </c>
    </row>
    <row r="4620" spans="1:6" x14ac:dyDescent="0.25">
      <c r="A4620" s="4" t="s">
        <v>85</v>
      </c>
      <c r="B4620" s="4" t="s">
        <v>6</v>
      </c>
      <c r="C4620" s="4" t="s">
        <v>34</v>
      </c>
      <c r="D4620" s="4">
        <v>2015</v>
      </c>
      <c r="E4620" s="4">
        <v>0</v>
      </c>
      <c r="F4620" s="4" t="s">
        <v>29</v>
      </c>
    </row>
    <row r="4621" spans="1:6" x14ac:dyDescent="0.25">
      <c r="A4621" s="4" t="s">
        <v>85</v>
      </c>
      <c r="B4621" s="4" t="s">
        <v>6</v>
      </c>
      <c r="C4621" s="4" t="s">
        <v>34</v>
      </c>
      <c r="D4621" s="4">
        <v>2016</v>
      </c>
      <c r="E4621" s="4">
        <v>0</v>
      </c>
      <c r="F4621" s="4" t="s">
        <v>29</v>
      </c>
    </row>
    <row r="4622" spans="1:6" x14ac:dyDescent="0.25">
      <c r="A4622" s="4" t="s">
        <v>85</v>
      </c>
      <c r="B4622" s="4" t="s">
        <v>6</v>
      </c>
      <c r="C4622" s="4" t="s">
        <v>34</v>
      </c>
      <c r="D4622" s="4">
        <v>2017</v>
      </c>
      <c r="E4622" s="4">
        <v>0</v>
      </c>
      <c r="F4622" s="4" t="s">
        <v>29</v>
      </c>
    </row>
    <row r="4623" spans="1:6" x14ac:dyDescent="0.25">
      <c r="A4623" s="4" t="s">
        <v>85</v>
      </c>
      <c r="B4623" s="4" t="s">
        <v>6</v>
      </c>
      <c r="C4623" s="4" t="s">
        <v>34</v>
      </c>
      <c r="D4623" s="4">
        <v>2018</v>
      </c>
      <c r="E4623" s="4">
        <v>0</v>
      </c>
      <c r="F4623" s="4" t="s">
        <v>29</v>
      </c>
    </row>
    <row r="4624" spans="1:6" x14ac:dyDescent="0.25">
      <c r="A4624" s="4" t="s">
        <v>85</v>
      </c>
      <c r="B4624" s="4" t="s">
        <v>6</v>
      </c>
      <c r="C4624" s="4" t="s">
        <v>34</v>
      </c>
      <c r="D4624" s="4">
        <v>2019</v>
      </c>
      <c r="E4624" s="4">
        <v>0</v>
      </c>
      <c r="F4624" s="4" t="s">
        <v>29</v>
      </c>
    </row>
    <row r="4625" spans="1:6" x14ac:dyDescent="0.25">
      <c r="A4625" s="4" t="s">
        <v>85</v>
      </c>
      <c r="B4625" s="4" t="s">
        <v>6</v>
      </c>
      <c r="C4625" s="4" t="s">
        <v>34</v>
      </c>
      <c r="D4625" s="4">
        <v>2020</v>
      </c>
      <c r="E4625" s="4">
        <v>0</v>
      </c>
      <c r="F4625" s="4" t="s">
        <v>29</v>
      </c>
    </row>
    <row r="4626" spans="1:6" x14ac:dyDescent="0.25">
      <c r="A4626" s="4" t="s">
        <v>85</v>
      </c>
      <c r="B4626" s="4" t="s">
        <v>6</v>
      </c>
      <c r="C4626" s="4" t="s">
        <v>34</v>
      </c>
      <c r="D4626" s="4">
        <v>2021</v>
      </c>
      <c r="E4626" s="4">
        <v>0</v>
      </c>
      <c r="F4626" s="4" t="s">
        <v>29</v>
      </c>
    </row>
    <row r="4627" spans="1:6" x14ac:dyDescent="0.25">
      <c r="A4627" s="4" t="s">
        <v>85</v>
      </c>
      <c r="B4627" s="4" t="s">
        <v>6</v>
      </c>
      <c r="C4627" s="4" t="s">
        <v>34</v>
      </c>
      <c r="D4627" s="4">
        <v>2022</v>
      </c>
      <c r="E4627" s="4">
        <v>0</v>
      </c>
      <c r="F4627" s="4" t="s">
        <v>29</v>
      </c>
    </row>
    <row r="4628" spans="1:6" x14ac:dyDescent="0.25">
      <c r="A4628" s="4" t="s">
        <v>85</v>
      </c>
      <c r="B4628" s="4" t="s">
        <v>6</v>
      </c>
      <c r="C4628" s="4" t="s">
        <v>34</v>
      </c>
      <c r="D4628" s="4">
        <v>2023</v>
      </c>
      <c r="E4628" s="4">
        <v>0</v>
      </c>
      <c r="F4628" s="4" t="s">
        <v>29</v>
      </c>
    </row>
    <row r="4629" spans="1:6" x14ac:dyDescent="0.25">
      <c r="A4629" s="4" t="s">
        <v>85</v>
      </c>
      <c r="B4629" s="4" t="s">
        <v>6</v>
      </c>
      <c r="C4629" s="4" t="s">
        <v>34</v>
      </c>
      <c r="D4629" s="4">
        <v>2024</v>
      </c>
      <c r="E4629" s="4">
        <v>0</v>
      </c>
      <c r="F4629" s="4" t="s">
        <v>29</v>
      </c>
    </row>
    <row r="4630" spans="1:6" x14ac:dyDescent="0.25">
      <c r="A4630" s="4" t="s">
        <v>85</v>
      </c>
      <c r="B4630" s="4" t="s">
        <v>6</v>
      </c>
      <c r="C4630" s="4" t="s">
        <v>34</v>
      </c>
      <c r="D4630" s="4">
        <v>2025</v>
      </c>
      <c r="E4630" s="4">
        <v>0</v>
      </c>
      <c r="F4630" s="4" t="s">
        <v>29</v>
      </c>
    </row>
    <row r="4631" spans="1:6" x14ac:dyDescent="0.25">
      <c r="A4631" s="4" t="s">
        <v>85</v>
      </c>
      <c r="B4631" s="4" t="s">
        <v>6</v>
      </c>
      <c r="C4631" s="4" t="s">
        <v>34</v>
      </c>
      <c r="D4631" s="4">
        <v>2026</v>
      </c>
      <c r="E4631" s="4">
        <v>0</v>
      </c>
      <c r="F4631" s="4" t="s">
        <v>29</v>
      </c>
    </row>
    <row r="4632" spans="1:6" x14ac:dyDescent="0.25">
      <c r="A4632" s="4" t="s">
        <v>85</v>
      </c>
      <c r="B4632" s="4" t="s">
        <v>6</v>
      </c>
      <c r="C4632" s="4" t="s">
        <v>34</v>
      </c>
      <c r="D4632" s="4">
        <v>2027</v>
      </c>
      <c r="E4632" s="4">
        <v>0</v>
      </c>
      <c r="F4632" s="4" t="s">
        <v>29</v>
      </c>
    </row>
    <row r="4633" spans="1:6" x14ac:dyDescent="0.25">
      <c r="A4633" s="4" t="s">
        <v>85</v>
      </c>
      <c r="B4633" s="4" t="s">
        <v>6</v>
      </c>
      <c r="C4633" s="4" t="s">
        <v>34</v>
      </c>
      <c r="D4633" s="4">
        <v>2028</v>
      </c>
      <c r="E4633" s="4">
        <v>0</v>
      </c>
      <c r="F4633" s="4" t="s">
        <v>29</v>
      </c>
    </row>
    <row r="4634" spans="1:6" x14ac:dyDescent="0.25">
      <c r="A4634" s="4" t="s">
        <v>85</v>
      </c>
      <c r="B4634" s="4" t="s">
        <v>6</v>
      </c>
      <c r="C4634" s="4" t="s">
        <v>34</v>
      </c>
      <c r="D4634" s="4">
        <v>2029</v>
      </c>
      <c r="E4634" s="4">
        <v>0</v>
      </c>
      <c r="F4634" s="4" t="s">
        <v>29</v>
      </c>
    </row>
    <row r="4635" spans="1:6" x14ac:dyDescent="0.25">
      <c r="A4635" s="4" t="s">
        <v>85</v>
      </c>
      <c r="B4635" s="4" t="s">
        <v>6</v>
      </c>
      <c r="C4635" s="4" t="s">
        <v>34</v>
      </c>
      <c r="D4635" s="4">
        <v>2030</v>
      </c>
      <c r="E4635" s="4">
        <v>0</v>
      </c>
      <c r="F4635" s="4" t="s">
        <v>29</v>
      </c>
    </row>
    <row r="4636" spans="1:6" x14ac:dyDescent="0.25">
      <c r="A4636" s="4" t="s">
        <v>85</v>
      </c>
      <c r="B4636" s="4" t="s">
        <v>6</v>
      </c>
      <c r="C4636" s="4" t="s">
        <v>34</v>
      </c>
      <c r="D4636" s="4">
        <v>2031</v>
      </c>
      <c r="E4636" s="4">
        <v>0</v>
      </c>
      <c r="F4636" s="4" t="s">
        <v>29</v>
      </c>
    </row>
    <row r="4637" spans="1:6" x14ac:dyDescent="0.25">
      <c r="A4637" s="4" t="s">
        <v>85</v>
      </c>
      <c r="B4637" s="4" t="s">
        <v>6</v>
      </c>
      <c r="C4637" s="4" t="s">
        <v>34</v>
      </c>
      <c r="D4637" s="4">
        <v>2032</v>
      </c>
      <c r="E4637" s="4">
        <v>0</v>
      </c>
      <c r="F4637" s="4" t="s">
        <v>29</v>
      </c>
    </row>
    <row r="4638" spans="1:6" x14ac:dyDescent="0.25">
      <c r="A4638" s="4" t="s">
        <v>85</v>
      </c>
      <c r="B4638" s="4" t="s">
        <v>6</v>
      </c>
      <c r="C4638" s="4" t="s">
        <v>34</v>
      </c>
      <c r="D4638" s="4">
        <v>2033</v>
      </c>
      <c r="E4638" s="4">
        <v>0</v>
      </c>
      <c r="F4638" s="4" t="s">
        <v>29</v>
      </c>
    </row>
    <row r="4639" spans="1:6" x14ac:dyDescent="0.25">
      <c r="A4639" s="4" t="s">
        <v>85</v>
      </c>
      <c r="B4639" s="4" t="s">
        <v>6</v>
      </c>
      <c r="C4639" s="4" t="s">
        <v>34</v>
      </c>
      <c r="D4639" s="4">
        <v>2034</v>
      </c>
      <c r="E4639" s="4">
        <v>0</v>
      </c>
      <c r="F4639" s="4" t="s">
        <v>29</v>
      </c>
    </row>
    <row r="4640" spans="1:6" x14ac:dyDescent="0.25">
      <c r="A4640" s="4" t="s">
        <v>85</v>
      </c>
      <c r="B4640" s="4" t="s">
        <v>6</v>
      </c>
      <c r="C4640" s="4" t="s">
        <v>34</v>
      </c>
      <c r="D4640" s="4">
        <v>2035</v>
      </c>
      <c r="E4640" s="4">
        <v>0</v>
      </c>
      <c r="F4640" s="4" t="s">
        <v>29</v>
      </c>
    </row>
    <row r="4641" spans="1:6" x14ac:dyDescent="0.25">
      <c r="A4641" s="4" t="s">
        <v>85</v>
      </c>
      <c r="B4641" s="4" t="s">
        <v>6</v>
      </c>
      <c r="C4641" s="4" t="s">
        <v>34</v>
      </c>
      <c r="D4641" s="4">
        <v>2036</v>
      </c>
      <c r="E4641" s="4">
        <v>0</v>
      </c>
      <c r="F4641" s="4" t="s">
        <v>29</v>
      </c>
    </row>
    <row r="4642" spans="1:6" x14ac:dyDescent="0.25">
      <c r="A4642" s="4" t="s">
        <v>85</v>
      </c>
      <c r="B4642" s="4" t="s">
        <v>6</v>
      </c>
      <c r="C4642" s="4" t="s">
        <v>34</v>
      </c>
      <c r="D4642" s="4">
        <v>2037</v>
      </c>
      <c r="E4642" s="4">
        <v>0</v>
      </c>
      <c r="F4642" s="4" t="s">
        <v>29</v>
      </c>
    </row>
    <row r="4643" spans="1:6" x14ac:dyDescent="0.25">
      <c r="A4643" s="4" t="s">
        <v>85</v>
      </c>
      <c r="B4643" s="4" t="s">
        <v>6</v>
      </c>
      <c r="C4643" s="4" t="s">
        <v>34</v>
      </c>
      <c r="D4643" s="4">
        <v>2038</v>
      </c>
      <c r="E4643" s="4">
        <v>0</v>
      </c>
      <c r="F4643" s="4" t="s">
        <v>29</v>
      </c>
    </row>
    <row r="4644" spans="1:6" x14ac:dyDescent="0.25">
      <c r="A4644" s="4" t="s">
        <v>85</v>
      </c>
      <c r="B4644" s="4" t="s">
        <v>6</v>
      </c>
      <c r="C4644" s="4" t="s">
        <v>34</v>
      </c>
      <c r="D4644" s="4">
        <v>2039</v>
      </c>
      <c r="E4644" s="4">
        <v>0</v>
      </c>
      <c r="F4644" s="4" t="s">
        <v>29</v>
      </c>
    </row>
    <row r="4645" spans="1:6" x14ac:dyDescent="0.25">
      <c r="A4645" s="4" t="s">
        <v>85</v>
      </c>
      <c r="B4645" s="4" t="s">
        <v>6</v>
      </c>
      <c r="C4645" s="4" t="s">
        <v>34</v>
      </c>
      <c r="D4645" s="4">
        <v>2040</v>
      </c>
      <c r="E4645" s="4">
        <v>0</v>
      </c>
      <c r="F4645" s="4" t="s">
        <v>29</v>
      </c>
    </row>
    <row r="4646" spans="1:6" x14ac:dyDescent="0.25">
      <c r="A4646" s="4" t="s">
        <v>85</v>
      </c>
      <c r="B4646" s="4" t="s">
        <v>23</v>
      </c>
      <c r="C4646" s="4" t="s">
        <v>34</v>
      </c>
      <c r="D4646" s="4">
        <v>2005</v>
      </c>
      <c r="E4646" s="4">
        <v>0</v>
      </c>
      <c r="F4646" s="4" t="s">
        <v>29</v>
      </c>
    </row>
    <row r="4647" spans="1:6" x14ac:dyDescent="0.25">
      <c r="A4647" s="4" t="s">
        <v>85</v>
      </c>
      <c r="B4647" s="4" t="s">
        <v>23</v>
      </c>
      <c r="C4647" s="4" t="s">
        <v>34</v>
      </c>
      <c r="D4647" s="4">
        <v>2006</v>
      </c>
      <c r="E4647" s="4">
        <v>0</v>
      </c>
      <c r="F4647" s="4" t="s">
        <v>29</v>
      </c>
    </row>
    <row r="4648" spans="1:6" x14ac:dyDescent="0.25">
      <c r="A4648" s="4" t="s">
        <v>85</v>
      </c>
      <c r="B4648" s="4" t="s">
        <v>23</v>
      </c>
      <c r="C4648" s="4" t="s">
        <v>34</v>
      </c>
      <c r="D4648" s="4">
        <v>2007</v>
      </c>
      <c r="E4648" s="4">
        <v>0</v>
      </c>
      <c r="F4648" s="4" t="s">
        <v>29</v>
      </c>
    </row>
    <row r="4649" spans="1:6" x14ac:dyDescent="0.25">
      <c r="A4649" s="4" t="s">
        <v>85</v>
      </c>
      <c r="B4649" s="4" t="s">
        <v>23</v>
      </c>
      <c r="C4649" s="4" t="s">
        <v>34</v>
      </c>
      <c r="D4649" s="4">
        <v>2008</v>
      </c>
      <c r="E4649" s="4">
        <v>0</v>
      </c>
      <c r="F4649" s="4" t="s">
        <v>29</v>
      </c>
    </row>
    <row r="4650" spans="1:6" x14ac:dyDescent="0.25">
      <c r="A4650" s="4" t="s">
        <v>85</v>
      </c>
      <c r="B4650" s="4" t="s">
        <v>23</v>
      </c>
      <c r="C4650" s="4" t="s">
        <v>34</v>
      </c>
      <c r="D4650" s="4">
        <v>2009</v>
      </c>
      <c r="E4650" s="4">
        <v>0</v>
      </c>
      <c r="F4650" s="4" t="s">
        <v>29</v>
      </c>
    </row>
    <row r="4651" spans="1:6" x14ac:dyDescent="0.25">
      <c r="A4651" s="4" t="s">
        <v>85</v>
      </c>
      <c r="B4651" s="4" t="s">
        <v>23</v>
      </c>
      <c r="C4651" s="4" t="s">
        <v>34</v>
      </c>
      <c r="D4651" s="4">
        <v>2010</v>
      </c>
      <c r="E4651" s="4">
        <v>0</v>
      </c>
      <c r="F4651" s="4" t="s">
        <v>29</v>
      </c>
    </row>
    <row r="4652" spans="1:6" x14ac:dyDescent="0.25">
      <c r="A4652" s="4" t="s">
        <v>85</v>
      </c>
      <c r="B4652" s="4" t="s">
        <v>23</v>
      </c>
      <c r="C4652" s="4" t="s">
        <v>34</v>
      </c>
      <c r="D4652" s="4">
        <v>2011</v>
      </c>
      <c r="E4652" s="4">
        <v>0</v>
      </c>
      <c r="F4652" s="4" t="s">
        <v>29</v>
      </c>
    </row>
    <row r="4653" spans="1:6" x14ac:dyDescent="0.25">
      <c r="A4653" s="4" t="s">
        <v>85</v>
      </c>
      <c r="B4653" s="4" t="s">
        <v>23</v>
      </c>
      <c r="C4653" s="4" t="s">
        <v>34</v>
      </c>
      <c r="D4653" s="4">
        <v>2012</v>
      </c>
      <c r="E4653" s="4">
        <v>0</v>
      </c>
      <c r="F4653" s="4" t="s">
        <v>29</v>
      </c>
    </row>
    <row r="4654" spans="1:6" x14ac:dyDescent="0.25">
      <c r="A4654" s="4" t="s">
        <v>85</v>
      </c>
      <c r="B4654" s="4" t="s">
        <v>23</v>
      </c>
      <c r="C4654" s="4" t="s">
        <v>34</v>
      </c>
      <c r="D4654" s="4">
        <v>2013</v>
      </c>
      <c r="E4654" s="4">
        <v>0</v>
      </c>
      <c r="F4654" s="4" t="s">
        <v>29</v>
      </c>
    </row>
    <row r="4655" spans="1:6" x14ac:dyDescent="0.25">
      <c r="A4655" s="4" t="s">
        <v>85</v>
      </c>
      <c r="B4655" s="4" t="s">
        <v>23</v>
      </c>
      <c r="C4655" s="4" t="s">
        <v>34</v>
      </c>
      <c r="D4655" s="4">
        <v>2014</v>
      </c>
      <c r="E4655" s="4">
        <v>0</v>
      </c>
      <c r="F4655" s="4" t="s">
        <v>29</v>
      </c>
    </row>
    <row r="4656" spans="1:6" x14ac:dyDescent="0.25">
      <c r="A4656" s="4" t="s">
        <v>85</v>
      </c>
      <c r="B4656" s="4" t="s">
        <v>23</v>
      </c>
      <c r="C4656" s="4" t="s">
        <v>34</v>
      </c>
      <c r="D4656" s="4">
        <v>2015</v>
      </c>
      <c r="E4656" s="4">
        <v>0</v>
      </c>
      <c r="F4656" s="4" t="s">
        <v>29</v>
      </c>
    </row>
    <row r="4657" spans="1:6" x14ac:dyDescent="0.25">
      <c r="A4657" s="4" t="s">
        <v>85</v>
      </c>
      <c r="B4657" s="4" t="s">
        <v>23</v>
      </c>
      <c r="C4657" s="4" t="s">
        <v>34</v>
      </c>
      <c r="D4657" s="4">
        <v>2016</v>
      </c>
      <c r="E4657" s="4">
        <v>0</v>
      </c>
      <c r="F4657" s="4" t="s">
        <v>29</v>
      </c>
    </row>
    <row r="4658" spans="1:6" x14ac:dyDescent="0.25">
      <c r="A4658" s="4" t="s">
        <v>85</v>
      </c>
      <c r="B4658" s="4" t="s">
        <v>23</v>
      </c>
      <c r="C4658" s="4" t="s">
        <v>34</v>
      </c>
      <c r="D4658" s="4">
        <v>2017</v>
      </c>
      <c r="E4658" s="4">
        <v>0</v>
      </c>
      <c r="F4658" s="4" t="s">
        <v>29</v>
      </c>
    </row>
    <row r="4659" spans="1:6" x14ac:dyDescent="0.25">
      <c r="A4659" s="4" t="s">
        <v>85</v>
      </c>
      <c r="B4659" s="4" t="s">
        <v>23</v>
      </c>
      <c r="C4659" s="4" t="s">
        <v>34</v>
      </c>
      <c r="D4659" s="4">
        <v>2018</v>
      </c>
      <c r="E4659" s="4">
        <v>0</v>
      </c>
      <c r="F4659" s="4" t="s">
        <v>29</v>
      </c>
    </row>
    <row r="4660" spans="1:6" x14ac:dyDescent="0.25">
      <c r="A4660" s="4" t="s">
        <v>85</v>
      </c>
      <c r="B4660" s="4" t="s">
        <v>23</v>
      </c>
      <c r="C4660" s="4" t="s">
        <v>34</v>
      </c>
      <c r="D4660" s="4">
        <v>2019</v>
      </c>
      <c r="E4660" s="4">
        <v>0</v>
      </c>
      <c r="F4660" s="4" t="s">
        <v>29</v>
      </c>
    </row>
    <row r="4661" spans="1:6" x14ac:dyDescent="0.25">
      <c r="A4661" s="4" t="s">
        <v>85</v>
      </c>
      <c r="B4661" s="4" t="s">
        <v>23</v>
      </c>
      <c r="C4661" s="4" t="s">
        <v>34</v>
      </c>
      <c r="D4661" s="4">
        <v>2020</v>
      </c>
      <c r="E4661" s="4">
        <v>0</v>
      </c>
      <c r="F4661" s="4" t="s">
        <v>29</v>
      </c>
    </row>
    <row r="4662" spans="1:6" x14ac:dyDescent="0.25">
      <c r="A4662" s="4" t="s">
        <v>85</v>
      </c>
      <c r="B4662" s="4" t="s">
        <v>23</v>
      </c>
      <c r="C4662" s="4" t="s">
        <v>34</v>
      </c>
      <c r="D4662" s="4">
        <v>2021</v>
      </c>
      <c r="E4662" s="4">
        <v>0</v>
      </c>
      <c r="F4662" s="4" t="s">
        <v>29</v>
      </c>
    </row>
    <row r="4663" spans="1:6" x14ac:dyDescent="0.25">
      <c r="A4663" s="4" t="s">
        <v>85</v>
      </c>
      <c r="B4663" s="4" t="s">
        <v>23</v>
      </c>
      <c r="C4663" s="4" t="s">
        <v>34</v>
      </c>
      <c r="D4663" s="4">
        <v>2022</v>
      </c>
      <c r="E4663" s="4">
        <v>0</v>
      </c>
      <c r="F4663" s="4" t="s">
        <v>29</v>
      </c>
    </row>
    <row r="4664" spans="1:6" x14ac:dyDescent="0.25">
      <c r="A4664" s="4" t="s">
        <v>85</v>
      </c>
      <c r="B4664" s="4" t="s">
        <v>23</v>
      </c>
      <c r="C4664" s="4" t="s">
        <v>34</v>
      </c>
      <c r="D4664" s="4">
        <v>2023</v>
      </c>
      <c r="E4664" s="4">
        <v>0</v>
      </c>
      <c r="F4664" s="4" t="s">
        <v>29</v>
      </c>
    </row>
    <row r="4665" spans="1:6" x14ac:dyDescent="0.25">
      <c r="A4665" s="4" t="s">
        <v>85</v>
      </c>
      <c r="B4665" s="4" t="s">
        <v>23</v>
      </c>
      <c r="C4665" s="4" t="s">
        <v>34</v>
      </c>
      <c r="D4665" s="4">
        <v>2024</v>
      </c>
      <c r="E4665" s="4">
        <v>0</v>
      </c>
      <c r="F4665" s="4" t="s">
        <v>29</v>
      </c>
    </row>
    <row r="4666" spans="1:6" x14ac:dyDescent="0.25">
      <c r="A4666" s="4" t="s">
        <v>85</v>
      </c>
      <c r="B4666" s="4" t="s">
        <v>23</v>
      </c>
      <c r="C4666" s="4" t="s">
        <v>34</v>
      </c>
      <c r="D4666" s="4">
        <v>2025</v>
      </c>
      <c r="E4666" s="4">
        <v>0</v>
      </c>
      <c r="F4666" s="4" t="s">
        <v>29</v>
      </c>
    </row>
    <row r="4667" spans="1:6" x14ac:dyDescent="0.25">
      <c r="A4667" s="4" t="s">
        <v>85</v>
      </c>
      <c r="B4667" s="4" t="s">
        <v>23</v>
      </c>
      <c r="C4667" s="4" t="s">
        <v>34</v>
      </c>
      <c r="D4667" s="4">
        <v>2026</v>
      </c>
      <c r="E4667" s="4">
        <v>0</v>
      </c>
      <c r="F4667" s="4" t="s">
        <v>29</v>
      </c>
    </row>
    <row r="4668" spans="1:6" x14ac:dyDescent="0.25">
      <c r="A4668" s="4" t="s">
        <v>85</v>
      </c>
      <c r="B4668" s="4" t="s">
        <v>23</v>
      </c>
      <c r="C4668" s="4" t="s">
        <v>34</v>
      </c>
      <c r="D4668" s="4">
        <v>2027</v>
      </c>
      <c r="E4668" s="4">
        <v>0</v>
      </c>
      <c r="F4668" s="4" t="s">
        <v>29</v>
      </c>
    </row>
    <row r="4669" spans="1:6" x14ac:dyDescent="0.25">
      <c r="A4669" s="4" t="s">
        <v>85</v>
      </c>
      <c r="B4669" s="4" t="s">
        <v>23</v>
      </c>
      <c r="C4669" s="4" t="s">
        <v>34</v>
      </c>
      <c r="D4669" s="4">
        <v>2028</v>
      </c>
      <c r="E4669" s="4">
        <v>0</v>
      </c>
      <c r="F4669" s="4" t="s">
        <v>29</v>
      </c>
    </row>
    <row r="4670" spans="1:6" x14ac:dyDescent="0.25">
      <c r="A4670" s="4" t="s">
        <v>85</v>
      </c>
      <c r="B4670" s="4" t="s">
        <v>23</v>
      </c>
      <c r="C4670" s="4" t="s">
        <v>34</v>
      </c>
      <c r="D4670" s="4">
        <v>2029</v>
      </c>
      <c r="E4670" s="4">
        <v>0</v>
      </c>
      <c r="F4670" s="4" t="s">
        <v>29</v>
      </c>
    </row>
    <row r="4671" spans="1:6" x14ac:dyDescent="0.25">
      <c r="A4671" s="4" t="s">
        <v>85</v>
      </c>
      <c r="B4671" s="4" t="s">
        <v>23</v>
      </c>
      <c r="C4671" s="4" t="s">
        <v>34</v>
      </c>
      <c r="D4671" s="4">
        <v>2030</v>
      </c>
      <c r="E4671" s="4">
        <v>0</v>
      </c>
      <c r="F4671" s="4" t="s">
        <v>29</v>
      </c>
    </row>
    <row r="4672" spans="1:6" x14ac:dyDescent="0.25">
      <c r="A4672" s="4" t="s">
        <v>85</v>
      </c>
      <c r="B4672" s="4" t="s">
        <v>23</v>
      </c>
      <c r="C4672" s="4" t="s">
        <v>34</v>
      </c>
      <c r="D4672" s="4">
        <v>2031</v>
      </c>
      <c r="E4672" s="4">
        <v>0</v>
      </c>
      <c r="F4672" s="4" t="s">
        <v>29</v>
      </c>
    </row>
    <row r="4673" spans="1:6" x14ac:dyDescent="0.25">
      <c r="A4673" s="4" t="s">
        <v>85</v>
      </c>
      <c r="B4673" s="4" t="s">
        <v>23</v>
      </c>
      <c r="C4673" s="4" t="s">
        <v>34</v>
      </c>
      <c r="D4673" s="4">
        <v>2032</v>
      </c>
      <c r="E4673" s="4">
        <v>0</v>
      </c>
      <c r="F4673" s="4" t="s">
        <v>29</v>
      </c>
    </row>
    <row r="4674" spans="1:6" x14ac:dyDescent="0.25">
      <c r="A4674" s="4" t="s">
        <v>85</v>
      </c>
      <c r="B4674" s="4" t="s">
        <v>23</v>
      </c>
      <c r="C4674" s="4" t="s">
        <v>34</v>
      </c>
      <c r="D4674" s="4">
        <v>2033</v>
      </c>
      <c r="E4674" s="4">
        <v>0</v>
      </c>
      <c r="F4674" s="4" t="s">
        <v>29</v>
      </c>
    </row>
    <row r="4675" spans="1:6" x14ac:dyDescent="0.25">
      <c r="A4675" s="4" t="s">
        <v>85</v>
      </c>
      <c r="B4675" s="4" t="s">
        <v>23</v>
      </c>
      <c r="C4675" s="4" t="s">
        <v>34</v>
      </c>
      <c r="D4675" s="4">
        <v>2034</v>
      </c>
      <c r="E4675" s="4">
        <v>0</v>
      </c>
      <c r="F4675" s="4" t="s">
        <v>29</v>
      </c>
    </row>
    <row r="4676" spans="1:6" x14ac:dyDescent="0.25">
      <c r="A4676" s="4" t="s">
        <v>85</v>
      </c>
      <c r="B4676" s="4" t="s">
        <v>23</v>
      </c>
      <c r="C4676" s="4" t="s">
        <v>34</v>
      </c>
      <c r="D4676" s="4">
        <v>2035</v>
      </c>
      <c r="E4676" s="4">
        <v>0</v>
      </c>
      <c r="F4676" s="4" t="s">
        <v>29</v>
      </c>
    </row>
    <row r="4677" spans="1:6" x14ac:dyDescent="0.25">
      <c r="A4677" s="4" t="s">
        <v>85</v>
      </c>
      <c r="B4677" s="4" t="s">
        <v>23</v>
      </c>
      <c r="C4677" s="4" t="s">
        <v>34</v>
      </c>
      <c r="D4677" s="4">
        <v>2036</v>
      </c>
      <c r="E4677" s="4">
        <v>0</v>
      </c>
      <c r="F4677" s="4" t="s">
        <v>29</v>
      </c>
    </row>
    <row r="4678" spans="1:6" x14ac:dyDescent="0.25">
      <c r="A4678" s="4" t="s">
        <v>85</v>
      </c>
      <c r="B4678" s="4" t="s">
        <v>23</v>
      </c>
      <c r="C4678" s="4" t="s">
        <v>34</v>
      </c>
      <c r="D4678" s="4">
        <v>2037</v>
      </c>
      <c r="E4678" s="4">
        <v>0</v>
      </c>
      <c r="F4678" s="4" t="s">
        <v>29</v>
      </c>
    </row>
    <row r="4679" spans="1:6" x14ac:dyDescent="0.25">
      <c r="A4679" s="4" t="s">
        <v>85</v>
      </c>
      <c r="B4679" s="4" t="s">
        <v>23</v>
      </c>
      <c r="C4679" s="4" t="s">
        <v>34</v>
      </c>
      <c r="D4679" s="4">
        <v>2038</v>
      </c>
      <c r="E4679" s="4">
        <v>0</v>
      </c>
      <c r="F4679" s="4" t="s">
        <v>29</v>
      </c>
    </row>
    <row r="4680" spans="1:6" x14ac:dyDescent="0.25">
      <c r="A4680" s="4" t="s">
        <v>85</v>
      </c>
      <c r="B4680" s="4" t="s">
        <v>23</v>
      </c>
      <c r="C4680" s="4" t="s">
        <v>34</v>
      </c>
      <c r="D4680" s="4">
        <v>2039</v>
      </c>
      <c r="E4680" s="4">
        <v>0</v>
      </c>
      <c r="F4680" s="4" t="s">
        <v>29</v>
      </c>
    </row>
    <row r="4681" spans="1:6" x14ac:dyDescent="0.25">
      <c r="A4681" s="4" t="s">
        <v>85</v>
      </c>
      <c r="B4681" s="4" t="s">
        <v>23</v>
      </c>
      <c r="C4681" s="4" t="s">
        <v>34</v>
      </c>
      <c r="D4681" s="4">
        <v>2040</v>
      </c>
      <c r="E4681" s="4">
        <v>0</v>
      </c>
      <c r="F4681" s="4" t="s">
        <v>29</v>
      </c>
    </row>
    <row r="4682" spans="1:6" x14ac:dyDescent="0.25">
      <c r="A4682" s="4" t="s">
        <v>0</v>
      </c>
      <c r="B4682" s="4" t="s">
        <v>1</v>
      </c>
      <c r="C4682" s="4" t="s">
        <v>35</v>
      </c>
      <c r="D4682" s="4">
        <v>2005</v>
      </c>
      <c r="E4682" s="4">
        <v>120393.94465812801</v>
      </c>
      <c r="F4682" s="4" t="s">
        <v>29</v>
      </c>
    </row>
    <row r="4683" spans="1:6" x14ac:dyDescent="0.25">
      <c r="A4683" s="4" t="s">
        <v>0</v>
      </c>
      <c r="B4683" s="4" t="s">
        <v>1</v>
      </c>
      <c r="C4683" s="4" t="s">
        <v>35</v>
      </c>
      <c r="D4683" s="4">
        <v>2006</v>
      </c>
      <c r="E4683" s="4">
        <v>119335.10154082894</v>
      </c>
      <c r="F4683" s="4" t="s">
        <v>29</v>
      </c>
    </row>
    <row r="4684" spans="1:6" x14ac:dyDescent="0.25">
      <c r="A4684" s="4" t="s">
        <v>0</v>
      </c>
      <c r="B4684" s="4" t="s">
        <v>1</v>
      </c>
      <c r="C4684" s="4" t="s">
        <v>35</v>
      </c>
      <c r="D4684" s="4">
        <v>2007</v>
      </c>
      <c r="E4684" s="4">
        <v>128495.40715258461</v>
      </c>
      <c r="F4684" s="4" t="s">
        <v>29</v>
      </c>
    </row>
    <row r="4685" spans="1:6" x14ac:dyDescent="0.25">
      <c r="A4685" s="4" t="s">
        <v>0</v>
      </c>
      <c r="B4685" s="4" t="s">
        <v>1</v>
      </c>
      <c r="C4685" s="4" t="s">
        <v>35</v>
      </c>
      <c r="D4685" s="4">
        <v>2008</v>
      </c>
      <c r="E4685" s="4">
        <v>126621.04200308448</v>
      </c>
      <c r="F4685" s="4" t="s">
        <v>29</v>
      </c>
    </row>
    <row r="4686" spans="1:6" x14ac:dyDescent="0.25">
      <c r="A4686" s="4" t="s">
        <v>0</v>
      </c>
      <c r="B4686" s="4" t="s">
        <v>1</v>
      </c>
      <c r="C4686" s="4" t="s">
        <v>35</v>
      </c>
      <c r="D4686" s="4">
        <v>2009</v>
      </c>
      <c r="E4686" s="4">
        <v>113421.70271813478</v>
      </c>
      <c r="F4686" s="4" t="s">
        <v>29</v>
      </c>
    </row>
    <row r="4687" spans="1:6" x14ac:dyDescent="0.25">
      <c r="A4687" s="4" t="s">
        <v>0</v>
      </c>
      <c r="B4687" s="4" t="s">
        <v>1</v>
      </c>
      <c r="C4687" s="4" t="s">
        <v>35</v>
      </c>
      <c r="D4687" s="4">
        <v>2010</v>
      </c>
      <c r="E4687" s="4">
        <v>115275.72885841444</v>
      </c>
      <c r="F4687" s="4" t="s">
        <v>29</v>
      </c>
    </row>
    <row r="4688" spans="1:6" x14ac:dyDescent="0.25">
      <c r="A4688" s="4" t="s">
        <v>0</v>
      </c>
      <c r="B4688" s="4" t="s">
        <v>1</v>
      </c>
      <c r="C4688" s="4" t="s">
        <v>35</v>
      </c>
      <c r="D4688" s="4">
        <v>2011</v>
      </c>
      <c r="E4688" s="4">
        <v>119783.42174049366</v>
      </c>
      <c r="F4688" s="4" t="s">
        <v>29</v>
      </c>
    </row>
    <row r="4689" spans="1:6" x14ac:dyDescent="0.25">
      <c r="A4689" s="4" t="s">
        <v>0</v>
      </c>
      <c r="B4689" s="4" t="s">
        <v>1</v>
      </c>
      <c r="C4689" s="4" t="s">
        <v>35</v>
      </c>
      <c r="D4689" s="4">
        <v>2012</v>
      </c>
      <c r="E4689" s="4">
        <v>121609.88327665607</v>
      </c>
      <c r="F4689" s="4" t="s">
        <v>29</v>
      </c>
    </row>
    <row r="4690" spans="1:6" x14ac:dyDescent="0.25">
      <c r="A4690" s="4" t="s">
        <v>0</v>
      </c>
      <c r="B4690" s="4" t="s">
        <v>1</v>
      </c>
      <c r="C4690" s="4" t="s">
        <v>35</v>
      </c>
      <c r="D4690" s="4">
        <v>2013</v>
      </c>
      <c r="E4690" s="4">
        <v>130779.05255603722</v>
      </c>
      <c r="F4690" s="4" t="s">
        <v>29</v>
      </c>
    </row>
    <row r="4691" spans="1:6" x14ac:dyDescent="0.25">
      <c r="A4691" s="4" t="s">
        <v>0</v>
      </c>
      <c r="B4691" s="4" t="s">
        <v>1</v>
      </c>
      <c r="C4691" s="4" t="s">
        <v>35</v>
      </c>
      <c r="D4691" s="4">
        <v>2014</v>
      </c>
      <c r="E4691" s="4">
        <v>130908.71006835497</v>
      </c>
      <c r="F4691" s="4" t="s">
        <v>29</v>
      </c>
    </row>
    <row r="4692" spans="1:6" x14ac:dyDescent="0.25">
      <c r="A4692" s="4" t="s">
        <v>0</v>
      </c>
      <c r="B4692" s="4" t="s">
        <v>1</v>
      </c>
      <c r="C4692" s="4" t="s">
        <v>35</v>
      </c>
      <c r="D4692" s="4">
        <v>2015</v>
      </c>
      <c r="E4692" s="4">
        <v>114675.48064994118</v>
      </c>
      <c r="F4692" s="4" t="s">
        <v>29</v>
      </c>
    </row>
    <row r="4693" spans="1:6" x14ac:dyDescent="0.25">
      <c r="A4693" s="4" t="s">
        <v>0</v>
      </c>
      <c r="B4693" s="4" t="s">
        <v>1</v>
      </c>
      <c r="C4693" s="4" t="s">
        <v>35</v>
      </c>
      <c r="D4693" s="4">
        <v>2016</v>
      </c>
      <c r="E4693" s="4">
        <v>107569.05421700577</v>
      </c>
      <c r="F4693" s="4" t="s">
        <v>29</v>
      </c>
    </row>
    <row r="4694" spans="1:6" x14ac:dyDescent="0.25">
      <c r="A4694" s="4" t="s">
        <v>0</v>
      </c>
      <c r="B4694" s="4" t="s">
        <v>1</v>
      </c>
      <c r="C4694" s="4" t="s">
        <v>35</v>
      </c>
      <c r="D4694" s="4">
        <v>2017</v>
      </c>
      <c r="E4694" s="4">
        <v>106408.59598512293</v>
      </c>
      <c r="F4694" s="4" t="s">
        <v>29</v>
      </c>
    </row>
    <row r="4695" spans="1:6" x14ac:dyDescent="0.25">
      <c r="A4695" s="4" t="s">
        <v>0</v>
      </c>
      <c r="B4695" s="4" t="s">
        <v>1</v>
      </c>
      <c r="C4695" s="4" t="s">
        <v>35</v>
      </c>
      <c r="D4695" s="4">
        <v>2018</v>
      </c>
      <c r="E4695" s="4">
        <v>101212.2436954661</v>
      </c>
      <c r="F4695" s="4" t="s">
        <v>29</v>
      </c>
    </row>
    <row r="4696" spans="1:6" x14ac:dyDescent="0.25">
      <c r="A4696" s="4" t="s">
        <v>0</v>
      </c>
      <c r="B4696" s="4" t="s">
        <v>1</v>
      </c>
      <c r="C4696" s="4" t="s">
        <v>35</v>
      </c>
      <c r="D4696" s="4">
        <v>2019</v>
      </c>
      <c r="E4696" s="4">
        <v>98711.240095526664</v>
      </c>
      <c r="F4696" s="4" t="s">
        <v>29</v>
      </c>
    </row>
    <row r="4697" spans="1:6" x14ac:dyDescent="0.25">
      <c r="A4697" s="4" t="s">
        <v>0</v>
      </c>
      <c r="B4697" s="4" t="s">
        <v>1</v>
      </c>
      <c r="C4697" s="4" t="s">
        <v>35</v>
      </c>
      <c r="D4697" s="4">
        <v>2020</v>
      </c>
      <c r="E4697" s="4">
        <v>86963.276578457706</v>
      </c>
      <c r="F4697" s="4" t="s">
        <v>29</v>
      </c>
    </row>
    <row r="4698" spans="1:6" x14ac:dyDescent="0.25">
      <c r="A4698" s="4" t="s">
        <v>0</v>
      </c>
      <c r="B4698" s="4" t="s">
        <v>1</v>
      </c>
      <c r="C4698" s="4" t="s">
        <v>35</v>
      </c>
      <c r="D4698" s="4">
        <v>2021</v>
      </c>
      <c r="E4698" s="4">
        <v>83586.071739343359</v>
      </c>
      <c r="F4698" s="4" t="s">
        <v>29</v>
      </c>
    </row>
    <row r="4699" spans="1:6" x14ac:dyDescent="0.25">
      <c r="A4699" s="4" t="s">
        <v>0</v>
      </c>
      <c r="B4699" s="4" t="s">
        <v>1</v>
      </c>
      <c r="C4699" s="4" t="s">
        <v>35</v>
      </c>
      <c r="D4699" s="4">
        <v>2022</v>
      </c>
      <c r="E4699" s="4">
        <v>78075.734535222437</v>
      </c>
      <c r="F4699" s="4" t="s">
        <v>29</v>
      </c>
    </row>
    <row r="4700" spans="1:6" x14ac:dyDescent="0.25">
      <c r="A4700" s="4" t="s">
        <v>0</v>
      </c>
      <c r="B4700" s="4" t="s">
        <v>1</v>
      </c>
      <c r="C4700" s="4" t="s">
        <v>35</v>
      </c>
      <c r="D4700" s="4">
        <v>2023</v>
      </c>
      <c r="E4700" s="4">
        <v>79925.73905560105</v>
      </c>
      <c r="F4700" s="4" t="s">
        <v>29</v>
      </c>
    </row>
    <row r="4701" spans="1:6" x14ac:dyDescent="0.25">
      <c r="A4701" s="4" t="s">
        <v>0</v>
      </c>
      <c r="B4701" s="4" t="s">
        <v>1</v>
      </c>
      <c r="C4701" s="4" t="s">
        <v>35</v>
      </c>
      <c r="D4701" s="4">
        <v>2024</v>
      </c>
      <c r="E4701" s="4">
        <v>77090.303706477061</v>
      </c>
      <c r="F4701" s="4" t="s">
        <v>29</v>
      </c>
    </row>
    <row r="4702" spans="1:6" x14ac:dyDescent="0.25">
      <c r="A4702" s="4" t="s">
        <v>0</v>
      </c>
      <c r="B4702" s="4" t="s">
        <v>1</v>
      </c>
      <c r="C4702" s="4" t="s">
        <v>35</v>
      </c>
      <c r="D4702" s="4">
        <v>2025</v>
      </c>
      <c r="E4702" s="4">
        <v>73770.200019659213</v>
      </c>
      <c r="F4702" s="4" t="s">
        <v>29</v>
      </c>
    </row>
    <row r="4703" spans="1:6" x14ac:dyDescent="0.25">
      <c r="A4703" s="4" t="s">
        <v>0</v>
      </c>
      <c r="B4703" s="4" t="s">
        <v>1</v>
      </c>
      <c r="C4703" s="4" t="s">
        <v>35</v>
      </c>
      <c r="D4703" s="4">
        <v>2026</v>
      </c>
      <c r="E4703" s="4">
        <v>65734.014130782656</v>
      </c>
      <c r="F4703" s="4" t="s">
        <v>29</v>
      </c>
    </row>
    <row r="4704" spans="1:6" x14ac:dyDescent="0.25">
      <c r="A4704" s="4" t="s">
        <v>0</v>
      </c>
      <c r="B4704" s="4" t="s">
        <v>1</v>
      </c>
      <c r="C4704" s="4" t="s">
        <v>35</v>
      </c>
      <c r="D4704" s="4">
        <v>2027</v>
      </c>
      <c r="E4704" s="4">
        <v>62532.074910738957</v>
      </c>
      <c r="F4704" s="4" t="s">
        <v>29</v>
      </c>
    </row>
    <row r="4705" spans="1:6" x14ac:dyDescent="0.25">
      <c r="A4705" s="4" t="s">
        <v>0</v>
      </c>
      <c r="B4705" s="4" t="s">
        <v>1</v>
      </c>
      <c r="C4705" s="4" t="s">
        <v>35</v>
      </c>
      <c r="D4705" s="4">
        <v>2028</v>
      </c>
      <c r="E4705" s="4">
        <v>59461.328756797913</v>
      </c>
      <c r="F4705" s="4" t="s">
        <v>29</v>
      </c>
    </row>
    <row r="4706" spans="1:6" x14ac:dyDescent="0.25">
      <c r="A4706" s="4" t="s">
        <v>0</v>
      </c>
      <c r="B4706" s="4" t="s">
        <v>1</v>
      </c>
      <c r="C4706" s="4" t="s">
        <v>35</v>
      </c>
      <c r="D4706" s="4">
        <v>2029</v>
      </c>
      <c r="E4706" s="4">
        <v>57624.970230808918</v>
      </c>
      <c r="F4706" s="4" t="s">
        <v>29</v>
      </c>
    </row>
    <row r="4707" spans="1:6" x14ac:dyDescent="0.25">
      <c r="A4707" s="4" t="s">
        <v>0</v>
      </c>
      <c r="B4707" s="4" t="s">
        <v>1</v>
      </c>
      <c r="C4707" s="4" t="s">
        <v>35</v>
      </c>
      <c r="D4707" s="4">
        <v>2030</v>
      </c>
      <c r="E4707" s="4">
        <v>54243.367288252979</v>
      </c>
      <c r="F4707" s="4" t="s">
        <v>29</v>
      </c>
    </row>
    <row r="4708" spans="1:6" x14ac:dyDescent="0.25">
      <c r="A4708" s="4" t="s">
        <v>0</v>
      </c>
      <c r="B4708" s="4" t="s">
        <v>1</v>
      </c>
      <c r="C4708" s="4" t="s">
        <v>35</v>
      </c>
      <c r="D4708" s="4">
        <v>2031</v>
      </c>
      <c r="E4708" s="4">
        <v>50894.570998147668</v>
      </c>
      <c r="F4708" s="4" t="s">
        <v>29</v>
      </c>
    </row>
    <row r="4709" spans="1:6" x14ac:dyDescent="0.25">
      <c r="A4709" s="4" t="s">
        <v>0</v>
      </c>
      <c r="B4709" s="4" t="s">
        <v>1</v>
      </c>
      <c r="C4709" s="4" t="s">
        <v>35</v>
      </c>
      <c r="D4709" s="4">
        <v>2032</v>
      </c>
      <c r="E4709" s="4">
        <v>45382.753621864373</v>
      </c>
      <c r="F4709" s="4" t="s">
        <v>29</v>
      </c>
    </row>
    <row r="4710" spans="1:6" x14ac:dyDescent="0.25">
      <c r="A4710" s="4" t="s">
        <v>0</v>
      </c>
      <c r="B4710" s="4" t="s">
        <v>1</v>
      </c>
      <c r="C4710" s="4" t="s">
        <v>35</v>
      </c>
      <c r="D4710" s="4">
        <v>2033</v>
      </c>
      <c r="E4710" s="4">
        <v>43766.355681063498</v>
      </c>
      <c r="F4710" s="4" t="s">
        <v>29</v>
      </c>
    </row>
    <row r="4711" spans="1:6" x14ac:dyDescent="0.25">
      <c r="A4711" s="4" t="s">
        <v>0</v>
      </c>
      <c r="B4711" s="4" t="s">
        <v>1</v>
      </c>
      <c r="C4711" s="4" t="s">
        <v>35</v>
      </c>
      <c r="D4711" s="4">
        <v>2034</v>
      </c>
      <c r="E4711" s="4">
        <v>42387.821748536575</v>
      </c>
      <c r="F4711" s="4" t="s">
        <v>29</v>
      </c>
    </row>
    <row r="4712" spans="1:6" x14ac:dyDescent="0.25">
      <c r="A4712" s="4" t="s">
        <v>0</v>
      </c>
      <c r="B4712" s="4" t="s">
        <v>1</v>
      </c>
      <c r="C4712" s="4" t="s">
        <v>35</v>
      </c>
      <c r="D4712" s="4">
        <v>2035</v>
      </c>
      <c r="E4712" s="4">
        <v>41199.249329417871</v>
      </c>
      <c r="F4712" s="4" t="s">
        <v>29</v>
      </c>
    </row>
    <row r="4713" spans="1:6" x14ac:dyDescent="0.25">
      <c r="A4713" s="4" t="s">
        <v>0</v>
      </c>
      <c r="B4713" s="4" t="s">
        <v>1</v>
      </c>
      <c r="C4713" s="4" t="s">
        <v>35</v>
      </c>
      <c r="D4713" s="4">
        <v>2036</v>
      </c>
      <c r="E4713" s="4">
        <v>39917.484388230005</v>
      </c>
      <c r="F4713" s="4" t="s">
        <v>29</v>
      </c>
    </row>
    <row r="4714" spans="1:6" x14ac:dyDescent="0.25">
      <c r="A4714" s="4" t="s">
        <v>0</v>
      </c>
      <c r="B4714" s="4" t="s">
        <v>1</v>
      </c>
      <c r="C4714" s="4" t="s">
        <v>35</v>
      </c>
      <c r="D4714" s="4">
        <v>2037</v>
      </c>
      <c r="E4714" s="4">
        <v>38625.371495566702</v>
      </c>
      <c r="F4714" s="4" t="s">
        <v>29</v>
      </c>
    </row>
    <row r="4715" spans="1:6" x14ac:dyDescent="0.25">
      <c r="A4715" s="4" t="s">
        <v>0</v>
      </c>
      <c r="B4715" s="4" t="s">
        <v>1</v>
      </c>
      <c r="C4715" s="4" t="s">
        <v>35</v>
      </c>
      <c r="D4715" s="4">
        <v>2038</v>
      </c>
      <c r="E4715" s="4">
        <v>37153.360507142803</v>
      </c>
      <c r="F4715" s="4" t="s">
        <v>29</v>
      </c>
    </row>
    <row r="4716" spans="1:6" x14ac:dyDescent="0.25">
      <c r="A4716" s="4" t="s">
        <v>0</v>
      </c>
      <c r="B4716" s="4" t="s">
        <v>1</v>
      </c>
      <c r="C4716" s="4" t="s">
        <v>35</v>
      </c>
      <c r="D4716" s="4">
        <v>2039</v>
      </c>
      <c r="E4716" s="4">
        <v>35977.353672336467</v>
      </c>
      <c r="F4716" s="4" t="s">
        <v>29</v>
      </c>
    </row>
    <row r="4717" spans="1:6" x14ac:dyDescent="0.25">
      <c r="A4717" s="4" t="s">
        <v>0</v>
      </c>
      <c r="B4717" s="4" t="s">
        <v>1</v>
      </c>
      <c r="C4717" s="4" t="s">
        <v>35</v>
      </c>
      <c r="D4717" s="4">
        <v>2040</v>
      </c>
      <c r="E4717" s="4">
        <v>34686.064343202648</v>
      </c>
      <c r="F4717" s="4" t="s">
        <v>29</v>
      </c>
    </row>
    <row r="4718" spans="1:6" x14ac:dyDescent="0.25">
      <c r="A4718" s="4" t="s">
        <v>0</v>
      </c>
      <c r="B4718" s="4" t="s">
        <v>2</v>
      </c>
      <c r="C4718" s="4" t="s">
        <v>35</v>
      </c>
      <c r="D4718" s="4">
        <v>2005</v>
      </c>
      <c r="E4718" s="4">
        <v>95714.371685317979</v>
      </c>
      <c r="F4718" s="4" t="s">
        <v>29</v>
      </c>
    </row>
    <row r="4719" spans="1:6" x14ac:dyDescent="0.25">
      <c r="A4719" s="4" t="s">
        <v>0</v>
      </c>
      <c r="B4719" s="4" t="s">
        <v>2</v>
      </c>
      <c r="C4719" s="4" t="s">
        <v>35</v>
      </c>
      <c r="D4719" s="4">
        <v>2006</v>
      </c>
      <c r="E4719" s="4">
        <v>94533.324805817247</v>
      </c>
      <c r="F4719" s="4" t="s">
        <v>29</v>
      </c>
    </row>
    <row r="4720" spans="1:6" x14ac:dyDescent="0.25">
      <c r="A4720" s="4" t="s">
        <v>0</v>
      </c>
      <c r="B4720" s="4" t="s">
        <v>2</v>
      </c>
      <c r="C4720" s="4" t="s">
        <v>35</v>
      </c>
      <c r="D4720" s="4">
        <v>2007</v>
      </c>
      <c r="E4720" s="4">
        <v>92093.948245520878</v>
      </c>
      <c r="F4720" s="4" t="s">
        <v>29</v>
      </c>
    </row>
    <row r="4721" spans="1:6" x14ac:dyDescent="0.25">
      <c r="A4721" s="4" t="s">
        <v>0</v>
      </c>
      <c r="B4721" s="4" t="s">
        <v>2</v>
      </c>
      <c r="C4721" s="4" t="s">
        <v>35</v>
      </c>
      <c r="D4721" s="4">
        <v>2008</v>
      </c>
      <c r="E4721" s="4">
        <v>87985.541330248874</v>
      </c>
      <c r="F4721" s="4" t="s">
        <v>29</v>
      </c>
    </row>
    <row r="4722" spans="1:6" x14ac:dyDescent="0.25">
      <c r="A4722" s="4" t="s">
        <v>0</v>
      </c>
      <c r="B4722" s="4" t="s">
        <v>2</v>
      </c>
      <c r="C4722" s="4" t="s">
        <v>35</v>
      </c>
      <c r="D4722" s="4">
        <v>2009</v>
      </c>
      <c r="E4722" s="4">
        <v>80184.157122495002</v>
      </c>
      <c r="F4722" s="4" t="s">
        <v>29</v>
      </c>
    </row>
    <row r="4723" spans="1:6" x14ac:dyDescent="0.25">
      <c r="A4723" s="4" t="s">
        <v>0</v>
      </c>
      <c r="B4723" s="4" t="s">
        <v>2</v>
      </c>
      <c r="C4723" s="4" t="s">
        <v>35</v>
      </c>
      <c r="D4723" s="4">
        <v>2010</v>
      </c>
      <c r="E4723" s="4">
        <v>79544.775663474953</v>
      </c>
      <c r="F4723" s="4" t="s">
        <v>29</v>
      </c>
    </row>
    <row r="4724" spans="1:6" x14ac:dyDescent="0.25">
      <c r="A4724" s="4" t="s">
        <v>0</v>
      </c>
      <c r="B4724" s="4" t="s">
        <v>2</v>
      </c>
      <c r="C4724" s="4" t="s">
        <v>35</v>
      </c>
      <c r="D4724" s="4">
        <v>2011</v>
      </c>
      <c r="E4724" s="4">
        <v>79770.543291508366</v>
      </c>
      <c r="F4724" s="4" t="s">
        <v>29</v>
      </c>
    </row>
    <row r="4725" spans="1:6" x14ac:dyDescent="0.25">
      <c r="A4725" s="4" t="s">
        <v>0</v>
      </c>
      <c r="B4725" s="4" t="s">
        <v>2</v>
      </c>
      <c r="C4725" s="4" t="s">
        <v>35</v>
      </c>
      <c r="D4725" s="4">
        <v>2012</v>
      </c>
      <c r="E4725" s="4">
        <v>86935.674939329067</v>
      </c>
      <c r="F4725" s="4" t="s">
        <v>29</v>
      </c>
    </row>
    <row r="4726" spans="1:6" x14ac:dyDescent="0.25">
      <c r="A4726" s="4" t="s">
        <v>0</v>
      </c>
      <c r="B4726" s="4" t="s">
        <v>2</v>
      </c>
      <c r="C4726" s="4" t="s">
        <v>35</v>
      </c>
      <c r="D4726" s="4">
        <v>2013</v>
      </c>
      <c r="E4726" s="4">
        <v>89225.079665544938</v>
      </c>
      <c r="F4726" s="4" t="s">
        <v>29</v>
      </c>
    </row>
    <row r="4727" spans="1:6" x14ac:dyDescent="0.25">
      <c r="A4727" s="4" t="s">
        <v>0</v>
      </c>
      <c r="B4727" s="4" t="s">
        <v>2</v>
      </c>
      <c r="C4727" s="4" t="s">
        <v>35</v>
      </c>
      <c r="D4727" s="4">
        <v>2014</v>
      </c>
      <c r="E4727" s="4">
        <v>98750.054845239487</v>
      </c>
      <c r="F4727" s="4" t="s">
        <v>29</v>
      </c>
    </row>
    <row r="4728" spans="1:6" x14ac:dyDescent="0.25">
      <c r="A4728" s="4" t="s">
        <v>0</v>
      </c>
      <c r="B4728" s="4" t="s">
        <v>2</v>
      </c>
      <c r="C4728" s="4" t="s">
        <v>35</v>
      </c>
      <c r="D4728" s="4">
        <v>2015</v>
      </c>
      <c r="E4728" s="4">
        <v>86709.106279142259</v>
      </c>
      <c r="F4728" s="4" t="s">
        <v>29</v>
      </c>
    </row>
    <row r="4729" spans="1:6" x14ac:dyDescent="0.25">
      <c r="A4729" s="4" t="s">
        <v>0</v>
      </c>
      <c r="B4729" s="4" t="s">
        <v>2</v>
      </c>
      <c r="C4729" s="4" t="s">
        <v>35</v>
      </c>
      <c r="D4729" s="4">
        <v>2016</v>
      </c>
      <c r="E4729" s="4">
        <v>81282.378465617643</v>
      </c>
      <c r="F4729" s="4" t="s">
        <v>29</v>
      </c>
    </row>
    <row r="4730" spans="1:6" x14ac:dyDescent="0.25">
      <c r="A4730" s="4" t="s">
        <v>0</v>
      </c>
      <c r="B4730" s="4" t="s">
        <v>2</v>
      </c>
      <c r="C4730" s="4" t="s">
        <v>35</v>
      </c>
      <c r="D4730" s="4">
        <v>2017</v>
      </c>
      <c r="E4730" s="4">
        <v>85919.878422883514</v>
      </c>
      <c r="F4730" s="4" t="s">
        <v>29</v>
      </c>
    </row>
    <row r="4731" spans="1:6" x14ac:dyDescent="0.25">
      <c r="A4731" s="4" t="s">
        <v>0</v>
      </c>
      <c r="B4731" s="4" t="s">
        <v>2</v>
      </c>
      <c r="C4731" s="4" t="s">
        <v>35</v>
      </c>
      <c r="D4731" s="4">
        <v>2018</v>
      </c>
      <c r="E4731" s="4">
        <v>96132.676737281741</v>
      </c>
      <c r="F4731" s="4" t="s">
        <v>29</v>
      </c>
    </row>
    <row r="4732" spans="1:6" x14ac:dyDescent="0.25">
      <c r="A4732" s="4" t="s">
        <v>0</v>
      </c>
      <c r="B4732" s="4" t="s">
        <v>2</v>
      </c>
      <c r="C4732" s="4" t="s">
        <v>35</v>
      </c>
      <c r="D4732" s="4">
        <v>2019</v>
      </c>
      <c r="E4732" s="4">
        <v>100285.43759145023</v>
      </c>
      <c r="F4732" s="4" t="s">
        <v>29</v>
      </c>
    </row>
    <row r="4733" spans="1:6" x14ac:dyDescent="0.25">
      <c r="A4733" s="4" t="s">
        <v>0</v>
      </c>
      <c r="B4733" s="4" t="s">
        <v>2</v>
      </c>
      <c r="C4733" s="4" t="s">
        <v>35</v>
      </c>
      <c r="D4733" s="4">
        <v>2020</v>
      </c>
      <c r="E4733" s="4">
        <v>102991.59483652886</v>
      </c>
      <c r="F4733" s="4" t="s">
        <v>29</v>
      </c>
    </row>
    <row r="4734" spans="1:6" x14ac:dyDescent="0.25">
      <c r="A4734" s="4" t="s">
        <v>0</v>
      </c>
      <c r="B4734" s="4" t="s">
        <v>2</v>
      </c>
      <c r="C4734" s="4" t="s">
        <v>35</v>
      </c>
      <c r="D4734" s="4">
        <v>2021</v>
      </c>
      <c r="E4734" s="4">
        <v>103252.93279015934</v>
      </c>
      <c r="F4734" s="4" t="s">
        <v>29</v>
      </c>
    </row>
    <row r="4735" spans="1:6" x14ac:dyDescent="0.25">
      <c r="A4735" s="4" t="s">
        <v>0</v>
      </c>
      <c r="B4735" s="4" t="s">
        <v>2</v>
      </c>
      <c r="C4735" s="4" t="s">
        <v>35</v>
      </c>
      <c r="D4735" s="4">
        <v>2022</v>
      </c>
      <c r="E4735" s="4">
        <v>100633.79105958068</v>
      </c>
      <c r="F4735" s="4" t="s">
        <v>29</v>
      </c>
    </row>
    <row r="4736" spans="1:6" x14ac:dyDescent="0.25">
      <c r="A4736" s="4" t="s">
        <v>0</v>
      </c>
      <c r="B4736" s="4" t="s">
        <v>2</v>
      </c>
      <c r="C4736" s="4" t="s">
        <v>35</v>
      </c>
      <c r="D4736" s="4">
        <v>2023</v>
      </c>
      <c r="E4736" s="4">
        <v>97677.069125809838</v>
      </c>
      <c r="F4736" s="4" t="s">
        <v>29</v>
      </c>
    </row>
    <row r="4737" spans="1:6" x14ac:dyDescent="0.25">
      <c r="A4737" s="4" t="s">
        <v>0</v>
      </c>
      <c r="B4737" s="4" t="s">
        <v>2</v>
      </c>
      <c r="C4737" s="4" t="s">
        <v>35</v>
      </c>
      <c r="D4737" s="4">
        <v>2024</v>
      </c>
      <c r="E4737" s="4">
        <v>95578.49730673086</v>
      </c>
      <c r="F4737" s="4" t="s">
        <v>29</v>
      </c>
    </row>
    <row r="4738" spans="1:6" x14ac:dyDescent="0.25">
      <c r="A4738" s="4" t="s">
        <v>0</v>
      </c>
      <c r="B4738" s="4" t="s">
        <v>2</v>
      </c>
      <c r="C4738" s="4" t="s">
        <v>35</v>
      </c>
      <c r="D4738" s="4">
        <v>2025</v>
      </c>
      <c r="E4738" s="4">
        <v>92590.12213591265</v>
      </c>
      <c r="F4738" s="4" t="s">
        <v>29</v>
      </c>
    </row>
    <row r="4739" spans="1:6" x14ac:dyDescent="0.25">
      <c r="A4739" s="4" t="s">
        <v>0</v>
      </c>
      <c r="B4739" s="4" t="s">
        <v>2</v>
      </c>
      <c r="C4739" s="4" t="s">
        <v>35</v>
      </c>
      <c r="D4739" s="4">
        <v>2026</v>
      </c>
      <c r="E4739" s="4">
        <v>88042.867037182994</v>
      </c>
      <c r="F4739" s="4" t="s">
        <v>29</v>
      </c>
    </row>
    <row r="4740" spans="1:6" x14ac:dyDescent="0.25">
      <c r="A4740" s="4" t="s">
        <v>0</v>
      </c>
      <c r="B4740" s="4" t="s">
        <v>2</v>
      </c>
      <c r="C4740" s="4" t="s">
        <v>35</v>
      </c>
      <c r="D4740" s="4">
        <v>2027</v>
      </c>
      <c r="E4740" s="4">
        <v>83833.978280474999</v>
      </c>
      <c r="F4740" s="4" t="s">
        <v>29</v>
      </c>
    </row>
    <row r="4741" spans="1:6" x14ac:dyDescent="0.25">
      <c r="A4741" s="4" t="s">
        <v>0</v>
      </c>
      <c r="B4741" s="4" t="s">
        <v>2</v>
      </c>
      <c r="C4741" s="4" t="s">
        <v>35</v>
      </c>
      <c r="D4741" s="4">
        <v>2028</v>
      </c>
      <c r="E4741" s="4">
        <v>79458.947809711302</v>
      </c>
      <c r="F4741" s="4" t="s">
        <v>29</v>
      </c>
    </row>
    <row r="4742" spans="1:6" x14ac:dyDescent="0.25">
      <c r="A4742" s="4" t="s">
        <v>0</v>
      </c>
      <c r="B4742" s="4" t="s">
        <v>2</v>
      </c>
      <c r="C4742" s="4" t="s">
        <v>35</v>
      </c>
      <c r="D4742" s="4">
        <v>2029</v>
      </c>
      <c r="E4742" s="4">
        <v>75296.340432256999</v>
      </c>
      <c r="F4742" s="4" t="s">
        <v>29</v>
      </c>
    </row>
    <row r="4743" spans="1:6" x14ac:dyDescent="0.25">
      <c r="A4743" s="4" t="s">
        <v>0</v>
      </c>
      <c r="B4743" s="4" t="s">
        <v>2</v>
      </c>
      <c r="C4743" s="4" t="s">
        <v>35</v>
      </c>
      <c r="D4743" s="4">
        <v>2030</v>
      </c>
      <c r="E4743" s="4">
        <v>71669.458402966848</v>
      </c>
      <c r="F4743" s="4" t="s">
        <v>29</v>
      </c>
    </row>
    <row r="4744" spans="1:6" x14ac:dyDescent="0.25">
      <c r="A4744" s="4" t="s">
        <v>0</v>
      </c>
      <c r="B4744" s="4" t="s">
        <v>2</v>
      </c>
      <c r="C4744" s="4" t="s">
        <v>35</v>
      </c>
      <c r="D4744" s="4">
        <v>2031</v>
      </c>
      <c r="E4744" s="4">
        <v>68651.458556008176</v>
      </c>
      <c r="F4744" s="4" t="s">
        <v>29</v>
      </c>
    </row>
    <row r="4745" spans="1:6" x14ac:dyDescent="0.25">
      <c r="A4745" s="4" t="s">
        <v>0</v>
      </c>
      <c r="B4745" s="4" t="s">
        <v>2</v>
      </c>
      <c r="C4745" s="4" t="s">
        <v>35</v>
      </c>
      <c r="D4745" s="4">
        <v>2032</v>
      </c>
      <c r="E4745" s="4">
        <v>65676.372037970039</v>
      </c>
      <c r="F4745" s="4" t="s">
        <v>29</v>
      </c>
    </row>
    <row r="4746" spans="1:6" x14ac:dyDescent="0.25">
      <c r="A4746" s="4" t="s">
        <v>0</v>
      </c>
      <c r="B4746" s="4" t="s">
        <v>2</v>
      </c>
      <c r="C4746" s="4" t="s">
        <v>35</v>
      </c>
      <c r="D4746" s="4">
        <v>2033</v>
      </c>
      <c r="E4746" s="4">
        <v>62910.992951884051</v>
      </c>
      <c r="F4746" s="4" t="s">
        <v>29</v>
      </c>
    </row>
    <row r="4747" spans="1:6" x14ac:dyDescent="0.25">
      <c r="A4747" s="4" t="s">
        <v>0</v>
      </c>
      <c r="B4747" s="4" t="s">
        <v>2</v>
      </c>
      <c r="C4747" s="4" t="s">
        <v>35</v>
      </c>
      <c r="D4747" s="4">
        <v>2034</v>
      </c>
      <c r="E4747" s="4">
        <v>60362.741067094517</v>
      </c>
      <c r="F4747" s="4" t="s">
        <v>29</v>
      </c>
    </row>
    <row r="4748" spans="1:6" x14ac:dyDescent="0.25">
      <c r="A4748" s="4" t="s">
        <v>0</v>
      </c>
      <c r="B4748" s="4" t="s">
        <v>2</v>
      </c>
      <c r="C4748" s="4" t="s">
        <v>35</v>
      </c>
      <c r="D4748" s="4">
        <v>2035</v>
      </c>
      <c r="E4748" s="4">
        <v>58263.069099559834</v>
      </c>
      <c r="F4748" s="4" t="s">
        <v>29</v>
      </c>
    </row>
    <row r="4749" spans="1:6" x14ac:dyDescent="0.25">
      <c r="A4749" s="4" t="s">
        <v>0</v>
      </c>
      <c r="B4749" s="4" t="s">
        <v>2</v>
      </c>
      <c r="C4749" s="4" t="s">
        <v>35</v>
      </c>
      <c r="D4749" s="4">
        <v>2036</v>
      </c>
      <c r="E4749" s="4">
        <v>56033.37622071962</v>
      </c>
      <c r="F4749" s="4" t="s">
        <v>29</v>
      </c>
    </row>
    <row r="4750" spans="1:6" x14ac:dyDescent="0.25">
      <c r="A4750" s="4" t="s">
        <v>0</v>
      </c>
      <c r="B4750" s="4" t="s">
        <v>2</v>
      </c>
      <c r="C4750" s="4" t="s">
        <v>35</v>
      </c>
      <c r="D4750" s="4">
        <v>2037</v>
      </c>
      <c r="E4750" s="4">
        <v>54667.04610335621</v>
      </c>
      <c r="F4750" s="4" t="s">
        <v>29</v>
      </c>
    </row>
    <row r="4751" spans="1:6" x14ac:dyDescent="0.25">
      <c r="A4751" s="4" t="s">
        <v>0</v>
      </c>
      <c r="B4751" s="4" t="s">
        <v>2</v>
      </c>
      <c r="C4751" s="4" t="s">
        <v>35</v>
      </c>
      <c r="D4751" s="4">
        <v>2038</v>
      </c>
      <c r="E4751" s="4">
        <v>53083.953379305392</v>
      </c>
      <c r="F4751" s="4" t="s">
        <v>29</v>
      </c>
    </row>
    <row r="4752" spans="1:6" x14ac:dyDescent="0.25">
      <c r="A4752" s="4" t="s">
        <v>0</v>
      </c>
      <c r="B4752" s="4" t="s">
        <v>2</v>
      </c>
      <c r="C4752" s="4" t="s">
        <v>35</v>
      </c>
      <c r="D4752" s="4">
        <v>2039</v>
      </c>
      <c r="E4752" s="4">
        <v>51459.987239663067</v>
      </c>
      <c r="F4752" s="4" t="s">
        <v>29</v>
      </c>
    </row>
    <row r="4753" spans="1:6" x14ac:dyDescent="0.25">
      <c r="A4753" s="4" t="s">
        <v>0</v>
      </c>
      <c r="B4753" s="4" t="s">
        <v>2</v>
      </c>
      <c r="C4753" s="4" t="s">
        <v>35</v>
      </c>
      <c r="D4753" s="4">
        <v>2040</v>
      </c>
      <c r="E4753" s="4">
        <v>49930.383873494655</v>
      </c>
      <c r="F4753" s="4" t="s">
        <v>29</v>
      </c>
    </row>
    <row r="4754" spans="1:6" x14ac:dyDescent="0.25">
      <c r="A4754" s="4" t="s">
        <v>0</v>
      </c>
      <c r="B4754" s="4" t="s">
        <v>3</v>
      </c>
      <c r="C4754" s="4" t="s">
        <v>35</v>
      </c>
      <c r="D4754" s="4">
        <v>2005</v>
      </c>
      <c r="E4754" s="4">
        <v>24140</v>
      </c>
      <c r="F4754" s="4" t="s">
        <v>29</v>
      </c>
    </row>
    <row r="4755" spans="1:6" x14ac:dyDescent="0.25">
      <c r="A4755" s="4" t="s">
        <v>0</v>
      </c>
      <c r="B4755" s="4" t="s">
        <v>3</v>
      </c>
      <c r="C4755" s="4" t="s">
        <v>35</v>
      </c>
      <c r="D4755" s="4">
        <v>2006</v>
      </c>
      <c r="E4755" s="4">
        <v>24810</v>
      </c>
      <c r="F4755" s="4" t="s">
        <v>29</v>
      </c>
    </row>
    <row r="4756" spans="1:6" x14ac:dyDescent="0.25">
      <c r="A4756" s="4" t="s">
        <v>0</v>
      </c>
      <c r="B4756" s="4" t="s">
        <v>3</v>
      </c>
      <c r="C4756" s="4" t="s">
        <v>35</v>
      </c>
      <c r="D4756" s="4">
        <v>2007</v>
      </c>
      <c r="E4756" s="4">
        <v>24540</v>
      </c>
      <c r="F4756" s="4" t="s">
        <v>29</v>
      </c>
    </row>
    <row r="4757" spans="1:6" x14ac:dyDescent="0.25">
      <c r="A4757" s="4" t="s">
        <v>0</v>
      </c>
      <c r="B4757" s="4" t="s">
        <v>3</v>
      </c>
      <c r="C4757" s="4" t="s">
        <v>35</v>
      </c>
      <c r="D4757" s="4">
        <v>2008</v>
      </c>
      <c r="E4757" s="4">
        <v>23110</v>
      </c>
      <c r="F4757" s="4" t="s">
        <v>29</v>
      </c>
    </row>
    <row r="4758" spans="1:6" x14ac:dyDescent="0.25">
      <c r="A4758" s="4" t="s">
        <v>0</v>
      </c>
      <c r="B4758" s="4" t="s">
        <v>3</v>
      </c>
      <c r="C4758" s="4" t="s">
        <v>35</v>
      </c>
      <c r="D4758" s="4">
        <v>2009</v>
      </c>
      <c r="E4758" s="4">
        <v>21400</v>
      </c>
      <c r="F4758" s="4" t="s">
        <v>29</v>
      </c>
    </row>
    <row r="4759" spans="1:6" x14ac:dyDescent="0.25">
      <c r="A4759" s="4" t="s">
        <v>0</v>
      </c>
      <c r="B4759" s="4" t="s">
        <v>3</v>
      </c>
      <c r="C4759" s="4" t="s">
        <v>35</v>
      </c>
      <c r="D4759" s="4">
        <v>2010</v>
      </c>
      <c r="E4759" s="4">
        <v>20920</v>
      </c>
      <c r="F4759" s="4" t="s">
        <v>29</v>
      </c>
    </row>
    <row r="4760" spans="1:6" x14ac:dyDescent="0.25">
      <c r="A4760" s="4" t="s">
        <v>0</v>
      </c>
      <c r="B4760" s="4" t="s">
        <v>3</v>
      </c>
      <c r="C4760" s="4" t="s">
        <v>35</v>
      </c>
      <c r="D4760" s="4">
        <v>2011</v>
      </c>
      <c r="E4760" s="4">
        <v>20460</v>
      </c>
      <c r="F4760" s="4" t="s">
        <v>29</v>
      </c>
    </row>
    <row r="4761" spans="1:6" x14ac:dyDescent="0.25">
      <c r="A4761" s="4" t="s">
        <v>0</v>
      </c>
      <c r="B4761" s="4" t="s">
        <v>3</v>
      </c>
      <c r="C4761" s="4" t="s">
        <v>35</v>
      </c>
      <c r="D4761" s="4">
        <v>2012</v>
      </c>
      <c r="E4761" s="4">
        <v>20000</v>
      </c>
      <c r="F4761" s="4" t="s">
        <v>29</v>
      </c>
    </row>
    <row r="4762" spans="1:6" x14ac:dyDescent="0.25">
      <c r="A4762" s="4" t="s">
        <v>0</v>
      </c>
      <c r="B4762" s="4" t="s">
        <v>3</v>
      </c>
      <c r="C4762" s="4" t="s">
        <v>35</v>
      </c>
      <c r="D4762" s="4">
        <v>2013</v>
      </c>
      <c r="E4762" s="4">
        <v>21050</v>
      </c>
      <c r="F4762" s="4" t="s">
        <v>29</v>
      </c>
    </row>
    <row r="4763" spans="1:6" x14ac:dyDescent="0.25">
      <c r="A4763" s="4" t="s">
        <v>0</v>
      </c>
      <c r="B4763" s="4" t="s">
        <v>3</v>
      </c>
      <c r="C4763" s="4" t="s">
        <v>35</v>
      </c>
      <c r="D4763" s="4">
        <v>2014</v>
      </c>
      <c r="E4763" s="4">
        <v>24800</v>
      </c>
      <c r="F4763" s="4" t="s">
        <v>29</v>
      </c>
    </row>
    <row r="4764" spans="1:6" x14ac:dyDescent="0.25">
      <c r="A4764" s="4" t="s">
        <v>0</v>
      </c>
      <c r="B4764" s="4" t="s">
        <v>3</v>
      </c>
      <c r="C4764" s="4" t="s">
        <v>35</v>
      </c>
      <c r="D4764" s="4">
        <v>2015</v>
      </c>
      <c r="E4764" s="4">
        <v>30699.223013698629</v>
      </c>
      <c r="F4764" s="4" t="s">
        <v>29</v>
      </c>
    </row>
    <row r="4765" spans="1:6" x14ac:dyDescent="0.25">
      <c r="A4765" s="4" t="s">
        <v>0</v>
      </c>
      <c r="B4765" s="4" t="s">
        <v>3</v>
      </c>
      <c r="C4765" s="4" t="s">
        <v>35</v>
      </c>
      <c r="D4765" s="4">
        <v>2016</v>
      </c>
      <c r="E4765" s="4">
        <v>32409.198894809721</v>
      </c>
      <c r="F4765" s="4" t="s">
        <v>29</v>
      </c>
    </row>
    <row r="4766" spans="1:6" x14ac:dyDescent="0.25">
      <c r="A4766" s="4" t="s">
        <v>0</v>
      </c>
      <c r="B4766" s="4" t="s">
        <v>3</v>
      </c>
      <c r="C4766" s="4" t="s">
        <v>35</v>
      </c>
      <c r="D4766" s="4">
        <v>2017</v>
      </c>
      <c r="E4766" s="4">
        <v>39484.485890410957</v>
      </c>
      <c r="F4766" s="4" t="s">
        <v>29</v>
      </c>
    </row>
    <row r="4767" spans="1:6" x14ac:dyDescent="0.25">
      <c r="A4767" s="4" t="s">
        <v>0</v>
      </c>
      <c r="B4767" s="4" t="s">
        <v>3</v>
      </c>
      <c r="C4767" s="4" t="s">
        <v>35</v>
      </c>
      <c r="D4767" s="4">
        <v>2018</v>
      </c>
      <c r="E4767" s="4">
        <v>39674.071419852662</v>
      </c>
      <c r="F4767" s="4" t="s">
        <v>29</v>
      </c>
    </row>
    <row r="4768" spans="1:6" x14ac:dyDescent="0.25">
      <c r="A4768" s="4" t="s">
        <v>0</v>
      </c>
      <c r="B4768" s="4" t="s">
        <v>3</v>
      </c>
      <c r="C4768" s="4" t="s">
        <v>35</v>
      </c>
      <c r="D4768" s="4">
        <v>2019</v>
      </c>
      <c r="E4768" s="4">
        <v>37709.156677084116</v>
      </c>
      <c r="F4768" s="4" t="s">
        <v>29</v>
      </c>
    </row>
    <row r="4769" spans="1:6" x14ac:dyDescent="0.25">
      <c r="A4769" s="4" t="s">
        <v>0</v>
      </c>
      <c r="B4769" s="4" t="s">
        <v>3</v>
      </c>
      <c r="C4769" s="4" t="s">
        <v>35</v>
      </c>
      <c r="D4769" s="4">
        <v>2020</v>
      </c>
      <c r="E4769" s="4">
        <v>35812.5345440901</v>
      </c>
      <c r="F4769" s="4" t="s">
        <v>29</v>
      </c>
    </row>
    <row r="4770" spans="1:6" x14ac:dyDescent="0.25">
      <c r="A4770" s="4" t="s">
        <v>0</v>
      </c>
      <c r="B4770" s="4" t="s">
        <v>3</v>
      </c>
      <c r="C4770" s="4" t="s">
        <v>35</v>
      </c>
      <c r="D4770" s="4">
        <v>2021</v>
      </c>
      <c r="E4770" s="4">
        <v>34212.063916353742</v>
      </c>
      <c r="F4770" s="4" t="s">
        <v>29</v>
      </c>
    </row>
    <row r="4771" spans="1:6" x14ac:dyDescent="0.25">
      <c r="A4771" s="4" t="s">
        <v>0</v>
      </c>
      <c r="B4771" s="4" t="s">
        <v>3</v>
      </c>
      <c r="C4771" s="4" t="s">
        <v>35</v>
      </c>
      <c r="D4771" s="4">
        <v>2022</v>
      </c>
      <c r="E4771" s="4">
        <v>32674.420549228282</v>
      </c>
      <c r="F4771" s="4" t="s">
        <v>29</v>
      </c>
    </row>
    <row r="4772" spans="1:6" x14ac:dyDescent="0.25">
      <c r="A4772" s="4" t="s">
        <v>0</v>
      </c>
      <c r="B4772" s="4" t="s">
        <v>3</v>
      </c>
      <c r="C4772" s="4" t="s">
        <v>35</v>
      </c>
      <c r="D4772" s="4">
        <v>2023</v>
      </c>
      <c r="E4772" s="4">
        <v>31483.904280938743</v>
      </c>
      <c r="F4772" s="4" t="s">
        <v>29</v>
      </c>
    </row>
    <row r="4773" spans="1:6" x14ac:dyDescent="0.25">
      <c r="A4773" s="4" t="s">
        <v>0</v>
      </c>
      <c r="B4773" s="4" t="s">
        <v>3</v>
      </c>
      <c r="C4773" s="4" t="s">
        <v>35</v>
      </c>
      <c r="D4773" s="4">
        <v>2024</v>
      </c>
      <c r="E4773" s="4">
        <v>30512.587485526969</v>
      </c>
      <c r="F4773" s="4" t="s">
        <v>29</v>
      </c>
    </row>
    <row r="4774" spans="1:6" x14ac:dyDescent="0.25">
      <c r="A4774" s="4" t="s">
        <v>0</v>
      </c>
      <c r="B4774" s="4" t="s">
        <v>3</v>
      </c>
      <c r="C4774" s="4" t="s">
        <v>35</v>
      </c>
      <c r="D4774" s="4">
        <v>2025</v>
      </c>
      <c r="E4774" s="4">
        <v>29752.490494472899</v>
      </c>
      <c r="F4774" s="4" t="s">
        <v>29</v>
      </c>
    </row>
    <row r="4775" spans="1:6" x14ac:dyDescent="0.25">
      <c r="A4775" s="4" t="s">
        <v>0</v>
      </c>
      <c r="B4775" s="4" t="s">
        <v>3</v>
      </c>
      <c r="C4775" s="4" t="s">
        <v>35</v>
      </c>
      <c r="D4775" s="4">
        <v>2026</v>
      </c>
      <c r="E4775" s="4">
        <v>29081.199846868745</v>
      </c>
      <c r="F4775" s="4" t="s">
        <v>29</v>
      </c>
    </row>
    <row r="4776" spans="1:6" x14ac:dyDescent="0.25">
      <c r="A4776" s="4" t="s">
        <v>0</v>
      </c>
      <c r="B4776" s="4" t="s">
        <v>3</v>
      </c>
      <c r="C4776" s="4" t="s">
        <v>35</v>
      </c>
      <c r="D4776" s="4">
        <v>2027</v>
      </c>
      <c r="E4776" s="4">
        <v>28398.967084474902</v>
      </c>
      <c r="F4776" s="4" t="s">
        <v>29</v>
      </c>
    </row>
    <row r="4777" spans="1:6" x14ac:dyDescent="0.25">
      <c r="A4777" s="4" t="s">
        <v>0</v>
      </c>
      <c r="B4777" s="4" t="s">
        <v>3</v>
      </c>
      <c r="C4777" s="4" t="s">
        <v>35</v>
      </c>
      <c r="D4777" s="4">
        <v>2028</v>
      </c>
      <c r="E4777" s="4">
        <v>27747.724447652916</v>
      </c>
      <c r="F4777" s="4" t="s">
        <v>29</v>
      </c>
    </row>
    <row r="4778" spans="1:6" x14ac:dyDescent="0.25">
      <c r="A4778" s="4" t="s">
        <v>0</v>
      </c>
      <c r="B4778" s="4" t="s">
        <v>3</v>
      </c>
      <c r="C4778" s="4" t="s">
        <v>35</v>
      </c>
      <c r="D4778" s="4">
        <v>2029</v>
      </c>
      <c r="E4778" s="4">
        <v>27147.042873759925</v>
      </c>
      <c r="F4778" s="4" t="s">
        <v>29</v>
      </c>
    </row>
    <row r="4779" spans="1:6" x14ac:dyDescent="0.25">
      <c r="A4779" s="4" t="s">
        <v>0</v>
      </c>
      <c r="B4779" s="4" t="s">
        <v>3</v>
      </c>
      <c r="C4779" s="4" t="s">
        <v>35</v>
      </c>
      <c r="D4779" s="4">
        <v>2030</v>
      </c>
      <c r="E4779" s="4">
        <v>26592.971926866667</v>
      </c>
      <c r="F4779" s="4" t="s">
        <v>29</v>
      </c>
    </row>
    <row r="4780" spans="1:6" x14ac:dyDescent="0.25">
      <c r="A4780" s="4" t="s">
        <v>0</v>
      </c>
      <c r="B4780" s="4" t="s">
        <v>3</v>
      </c>
      <c r="C4780" s="4" t="s">
        <v>35</v>
      </c>
      <c r="D4780" s="4">
        <v>2031</v>
      </c>
      <c r="E4780" s="4">
        <v>26101.526226733309</v>
      </c>
      <c r="F4780" s="4" t="s">
        <v>29</v>
      </c>
    </row>
    <row r="4781" spans="1:6" x14ac:dyDescent="0.25">
      <c r="A4781" s="4" t="s">
        <v>0</v>
      </c>
      <c r="B4781" s="4" t="s">
        <v>3</v>
      </c>
      <c r="C4781" s="4" t="s">
        <v>35</v>
      </c>
      <c r="D4781" s="4">
        <v>2032</v>
      </c>
      <c r="E4781" s="4">
        <v>25659.529010857888</v>
      </c>
      <c r="F4781" s="4" t="s">
        <v>29</v>
      </c>
    </row>
    <row r="4782" spans="1:6" x14ac:dyDescent="0.25">
      <c r="A4782" s="4" t="s">
        <v>0</v>
      </c>
      <c r="B4782" s="4" t="s">
        <v>3</v>
      </c>
      <c r="C4782" s="4" t="s">
        <v>35</v>
      </c>
      <c r="D4782" s="4">
        <v>2033</v>
      </c>
      <c r="E4782" s="4">
        <v>25234.002166637874</v>
      </c>
      <c r="F4782" s="4" t="s">
        <v>29</v>
      </c>
    </row>
    <row r="4783" spans="1:6" x14ac:dyDescent="0.25">
      <c r="A4783" s="4" t="s">
        <v>0</v>
      </c>
      <c r="B4783" s="4" t="s">
        <v>3</v>
      </c>
      <c r="C4783" s="4" t="s">
        <v>35</v>
      </c>
      <c r="D4783" s="4">
        <v>2034</v>
      </c>
      <c r="E4783" s="4">
        <v>24862.791009417146</v>
      </c>
      <c r="F4783" s="4" t="s">
        <v>29</v>
      </c>
    </row>
    <row r="4784" spans="1:6" x14ac:dyDescent="0.25">
      <c r="A4784" s="4" t="s">
        <v>0</v>
      </c>
      <c r="B4784" s="4" t="s">
        <v>3</v>
      </c>
      <c r="C4784" s="4" t="s">
        <v>35</v>
      </c>
      <c r="D4784" s="4">
        <v>2035</v>
      </c>
      <c r="E4784" s="4">
        <v>24525.905345274776</v>
      </c>
      <c r="F4784" s="4" t="s">
        <v>29</v>
      </c>
    </row>
    <row r="4785" spans="1:6" x14ac:dyDescent="0.25">
      <c r="A4785" s="4" t="s">
        <v>0</v>
      </c>
      <c r="B4785" s="4" t="s">
        <v>3</v>
      </c>
      <c r="C4785" s="4" t="s">
        <v>35</v>
      </c>
      <c r="D4785" s="4">
        <v>2036</v>
      </c>
      <c r="E4785" s="4">
        <v>24244.97138209856</v>
      </c>
      <c r="F4785" s="4" t="s">
        <v>29</v>
      </c>
    </row>
    <row r="4786" spans="1:6" x14ac:dyDescent="0.25">
      <c r="A4786" s="4" t="s">
        <v>0</v>
      </c>
      <c r="B4786" s="4" t="s">
        <v>3</v>
      </c>
      <c r="C4786" s="4" t="s">
        <v>35</v>
      </c>
      <c r="D4786" s="4">
        <v>2037</v>
      </c>
      <c r="E4786" s="4">
        <v>23988.926039193488</v>
      </c>
      <c r="F4786" s="4" t="s">
        <v>29</v>
      </c>
    </row>
    <row r="4787" spans="1:6" x14ac:dyDescent="0.25">
      <c r="A4787" s="4" t="s">
        <v>0</v>
      </c>
      <c r="B4787" s="4" t="s">
        <v>3</v>
      </c>
      <c r="C4787" s="4" t="s">
        <v>35</v>
      </c>
      <c r="D4787" s="4">
        <v>2038</v>
      </c>
      <c r="E4787" s="4">
        <v>23684.258745529882</v>
      </c>
      <c r="F4787" s="4" t="s">
        <v>29</v>
      </c>
    </row>
    <row r="4788" spans="1:6" x14ac:dyDescent="0.25">
      <c r="A4788" s="4" t="s">
        <v>0</v>
      </c>
      <c r="B4788" s="4" t="s">
        <v>3</v>
      </c>
      <c r="C4788" s="4" t="s">
        <v>35</v>
      </c>
      <c r="D4788" s="4">
        <v>2039</v>
      </c>
      <c r="E4788" s="4">
        <v>23402.313784090056</v>
      </c>
      <c r="F4788" s="4" t="s">
        <v>29</v>
      </c>
    </row>
    <row r="4789" spans="1:6" x14ac:dyDescent="0.25">
      <c r="A4789" s="4" t="s">
        <v>0</v>
      </c>
      <c r="B4789" s="4" t="s">
        <v>3</v>
      </c>
      <c r="C4789" s="4" t="s">
        <v>35</v>
      </c>
      <c r="D4789" s="4">
        <v>2040</v>
      </c>
      <c r="E4789" s="4">
        <v>23201.558808511061</v>
      </c>
      <c r="F4789" s="4" t="s">
        <v>29</v>
      </c>
    </row>
    <row r="4790" spans="1:6" x14ac:dyDescent="0.25">
      <c r="A4790" s="4" t="s">
        <v>0</v>
      </c>
      <c r="B4790" s="4" t="s">
        <v>4</v>
      </c>
      <c r="C4790" s="4" t="s">
        <v>35</v>
      </c>
      <c r="D4790" s="4">
        <v>2005</v>
      </c>
      <c r="E4790" s="4">
        <v>2090</v>
      </c>
      <c r="F4790" s="4" t="s">
        <v>29</v>
      </c>
    </row>
    <row r="4791" spans="1:6" x14ac:dyDescent="0.25">
      <c r="A4791" s="4" t="s">
        <v>0</v>
      </c>
      <c r="B4791" s="4" t="s">
        <v>4</v>
      </c>
      <c r="C4791" s="4" t="s">
        <v>35</v>
      </c>
      <c r="D4791" s="4">
        <v>2006</v>
      </c>
      <c r="E4791" s="4">
        <v>2350</v>
      </c>
      <c r="F4791" s="4" t="s">
        <v>29</v>
      </c>
    </row>
    <row r="4792" spans="1:6" x14ac:dyDescent="0.25">
      <c r="A4792" s="4" t="s">
        <v>0</v>
      </c>
      <c r="B4792" s="4" t="s">
        <v>4</v>
      </c>
      <c r="C4792" s="4" t="s">
        <v>35</v>
      </c>
      <c r="D4792" s="4">
        <v>2007</v>
      </c>
      <c r="E4792" s="4">
        <v>2750</v>
      </c>
      <c r="F4792" s="4" t="s">
        <v>29</v>
      </c>
    </row>
    <row r="4793" spans="1:6" x14ac:dyDescent="0.25">
      <c r="A4793" s="4" t="s">
        <v>0</v>
      </c>
      <c r="B4793" s="4" t="s">
        <v>4</v>
      </c>
      <c r="C4793" s="4" t="s">
        <v>35</v>
      </c>
      <c r="D4793" s="4">
        <v>2008</v>
      </c>
      <c r="E4793" s="4">
        <v>3130</v>
      </c>
      <c r="F4793" s="4" t="s">
        <v>29</v>
      </c>
    </row>
    <row r="4794" spans="1:6" x14ac:dyDescent="0.25">
      <c r="A4794" s="4" t="s">
        <v>0</v>
      </c>
      <c r="B4794" s="4" t="s">
        <v>4</v>
      </c>
      <c r="C4794" s="4" t="s">
        <v>35</v>
      </c>
      <c r="D4794" s="4">
        <v>2009</v>
      </c>
      <c r="E4794" s="4">
        <v>2900</v>
      </c>
      <c r="F4794" s="4" t="s">
        <v>29</v>
      </c>
    </row>
    <row r="4795" spans="1:6" x14ac:dyDescent="0.25">
      <c r="A4795" s="4" t="s">
        <v>0</v>
      </c>
      <c r="B4795" s="4" t="s">
        <v>4</v>
      </c>
      <c r="C4795" s="4" t="s">
        <v>35</v>
      </c>
      <c r="D4795" s="4">
        <v>2010</v>
      </c>
      <c r="E4795" s="4">
        <v>2710</v>
      </c>
      <c r="F4795" s="4" t="s">
        <v>29</v>
      </c>
    </row>
    <row r="4796" spans="1:6" x14ac:dyDescent="0.25">
      <c r="A4796" s="4" t="s">
        <v>0</v>
      </c>
      <c r="B4796" s="4" t="s">
        <v>4</v>
      </c>
      <c r="C4796" s="4" t="s">
        <v>35</v>
      </c>
      <c r="D4796" s="4">
        <v>2011</v>
      </c>
      <c r="E4796" s="4">
        <v>2820</v>
      </c>
      <c r="F4796" s="4" t="s">
        <v>29</v>
      </c>
    </row>
    <row r="4797" spans="1:6" x14ac:dyDescent="0.25">
      <c r="A4797" s="4" t="s">
        <v>0</v>
      </c>
      <c r="B4797" s="4" t="s">
        <v>4</v>
      </c>
      <c r="C4797" s="4" t="s">
        <v>35</v>
      </c>
      <c r="D4797" s="4">
        <v>2012</v>
      </c>
      <c r="E4797" s="4">
        <v>2900</v>
      </c>
      <c r="F4797" s="4" t="s">
        <v>29</v>
      </c>
    </row>
    <row r="4798" spans="1:6" x14ac:dyDescent="0.25">
      <c r="A4798" s="4" t="s">
        <v>0</v>
      </c>
      <c r="B4798" s="4" t="s">
        <v>4</v>
      </c>
      <c r="C4798" s="4" t="s">
        <v>35</v>
      </c>
      <c r="D4798" s="4">
        <v>2013</v>
      </c>
      <c r="E4798" s="4">
        <v>3550</v>
      </c>
      <c r="F4798" s="4" t="s">
        <v>29</v>
      </c>
    </row>
    <row r="4799" spans="1:6" x14ac:dyDescent="0.25">
      <c r="A4799" s="4" t="s">
        <v>0</v>
      </c>
      <c r="B4799" s="4" t="s">
        <v>4</v>
      </c>
      <c r="C4799" s="4" t="s">
        <v>35</v>
      </c>
      <c r="D4799" s="4">
        <v>2014</v>
      </c>
      <c r="E4799" s="4">
        <v>5210</v>
      </c>
      <c r="F4799" s="4" t="s">
        <v>29</v>
      </c>
    </row>
    <row r="4800" spans="1:6" x14ac:dyDescent="0.25">
      <c r="A4800" s="4" t="s">
        <v>0</v>
      </c>
      <c r="B4800" s="4" t="s">
        <v>4</v>
      </c>
      <c r="C4800" s="4" t="s">
        <v>35</v>
      </c>
      <c r="D4800" s="4">
        <v>2015</v>
      </c>
      <c r="E4800" s="4">
        <v>5570</v>
      </c>
      <c r="F4800" s="4" t="s">
        <v>29</v>
      </c>
    </row>
    <row r="4801" spans="1:6" x14ac:dyDescent="0.25">
      <c r="A4801" s="4" t="s">
        <v>0</v>
      </c>
      <c r="B4801" s="4" t="s">
        <v>4</v>
      </c>
      <c r="C4801" s="4" t="s">
        <v>35</v>
      </c>
      <c r="D4801" s="4">
        <v>2016</v>
      </c>
      <c r="E4801" s="4">
        <v>10168.111506849318</v>
      </c>
      <c r="F4801" s="4" t="s">
        <v>29</v>
      </c>
    </row>
    <row r="4802" spans="1:6" x14ac:dyDescent="0.25">
      <c r="A4802" s="4" t="s">
        <v>0</v>
      </c>
      <c r="B4802" s="4" t="s">
        <v>4</v>
      </c>
      <c r="C4802" s="4" t="s">
        <v>35</v>
      </c>
      <c r="D4802" s="4">
        <v>2017</v>
      </c>
      <c r="E4802" s="4">
        <v>12126.514109589039</v>
      </c>
      <c r="F4802" s="4" t="s">
        <v>29</v>
      </c>
    </row>
    <row r="4803" spans="1:6" x14ac:dyDescent="0.25">
      <c r="A4803" s="4" t="s">
        <v>0</v>
      </c>
      <c r="B4803" s="4" t="s">
        <v>4</v>
      </c>
      <c r="C4803" s="4" t="s">
        <v>35</v>
      </c>
      <c r="D4803" s="4">
        <v>2018</v>
      </c>
      <c r="E4803" s="4">
        <v>12370.496179843112</v>
      </c>
      <c r="F4803" s="4" t="s">
        <v>29</v>
      </c>
    </row>
    <row r="4804" spans="1:6" x14ac:dyDescent="0.25">
      <c r="A4804" s="4" t="s">
        <v>0</v>
      </c>
      <c r="B4804" s="4" t="s">
        <v>4</v>
      </c>
      <c r="C4804" s="4" t="s">
        <v>35</v>
      </c>
      <c r="D4804" s="4">
        <v>2019</v>
      </c>
      <c r="E4804" s="4">
        <v>11898.832950844162</v>
      </c>
      <c r="F4804" s="4" t="s">
        <v>29</v>
      </c>
    </row>
    <row r="4805" spans="1:6" x14ac:dyDescent="0.25">
      <c r="A4805" s="4" t="s">
        <v>0</v>
      </c>
      <c r="B4805" s="4" t="s">
        <v>4</v>
      </c>
      <c r="C4805" s="4" t="s">
        <v>35</v>
      </c>
      <c r="D4805" s="4">
        <v>2020</v>
      </c>
      <c r="E4805" s="4">
        <v>11425.812748769778</v>
      </c>
      <c r="F4805" s="4" t="s">
        <v>29</v>
      </c>
    </row>
    <row r="4806" spans="1:6" x14ac:dyDescent="0.25">
      <c r="A4806" s="4" t="s">
        <v>0</v>
      </c>
      <c r="B4806" s="4" t="s">
        <v>4</v>
      </c>
      <c r="C4806" s="4" t="s">
        <v>35</v>
      </c>
      <c r="D4806" s="4">
        <v>2021</v>
      </c>
      <c r="E4806" s="4">
        <v>11046.078176455412</v>
      </c>
      <c r="F4806" s="4" t="s">
        <v>29</v>
      </c>
    </row>
    <row r="4807" spans="1:6" x14ac:dyDescent="0.25">
      <c r="A4807" s="4" t="s">
        <v>0</v>
      </c>
      <c r="B4807" s="4" t="s">
        <v>4</v>
      </c>
      <c r="C4807" s="4" t="s">
        <v>35</v>
      </c>
      <c r="D4807" s="4">
        <v>2022</v>
      </c>
      <c r="E4807" s="4">
        <v>10727.537251085101</v>
      </c>
      <c r="F4807" s="4" t="s">
        <v>29</v>
      </c>
    </row>
    <row r="4808" spans="1:6" x14ac:dyDescent="0.25">
      <c r="A4808" s="4" t="s">
        <v>0</v>
      </c>
      <c r="B4808" s="4" t="s">
        <v>4</v>
      </c>
      <c r="C4808" s="4" t="s">
        <v>35</v>
      </c>
      <c r="D4808" s="4">
        <v>2023</v>
      </c>
      <c r="E4808" s="4">
        <v>10459.878982069014</v>
      </c>
      <c r="F4808" s="4" t="s">
        <v>29</v>
      </c>
    </row>
    <row r="4809" spans="1:6" x14ac:dyDescent="0.25">
      <c r="A4809" s="4" t="s">
        <v>0</v>
      </c>
      <c r="B4809" s="4" t="s">
        <v>4</v>
      </c>
      <c r="C4809" s="4" t="s">
        <v>35</v>
      </c>
      <c r="D4809" s="4">
        <v>2024</v>
      </c>
      <c r="E4809" s="4">
        <v>10258.220614268397</v>
      </c>
      <c r="F4809" s="4" t="s">
        <v>29</v>
      </c>
    </row>
    <row r="4810" spans="1:6" x14ac:dyDescent="0.25">
      <c r="A4810" s="4" t="s">
        <v>0</v>
      </c>
      <c r="B4810" s="4" t="s">
        <v>4</v>
      </c>
      <c r="C4810" s="4" t="s">
        <v>35</v>
      </c>
      <c r="D4810" s="4">
        <v>2025</v>
      </c>
      <c r="E4810" s="4">
        <v>10122.062980071119</v>
      </c>
      <c r="F4810" s="4" t="s">
        <v>29</v>
      </c>
    </row>
    <row r="4811" spans="1:6" x14ac:dyDescent="0.25">
      <c r="A4811" s="4" t="s">
        <v>0</v>
      </c>
      <c r="B4811" s="4" t="s">
        <v>4</v>
      </c>
      <c r="C4811" s="4" t="s">
        <v>35</v>
      </c>
      <c r="D4811" s="4">
        <v>2026</v>
      </c>
      <c r="E4811" s="4">
        <v>10011.793592546333</v>
      </c>
      <c r="F4811" s="4" t="s">
        <v>29</v>
      </c>
    </row>
    <row r="4812" spans="1:6" x14ac:dyDescent="0.25">
      <c r="A4812" s="4" t="s">
        <v>0</v>
      </c>
      <c r="B4812" s="4" t="s">
        <v>4</v>
      </c>
      <c r="C4812" s="4" t="s">
        <v>35</v>
      </c>
      <c r="D4812" s="4">
        <v>2027</v>
      </c>
      <c r="E4812" s="4">
        <v>9893.1766872302505</v>
      </c>
      <c r="F4812" s="4" t="s">
        <v>29</v>
      </c>
    </row>
    <row r="4813" spans="1:6" x14ac:dyDescent="0.25">
      <c r="A4813" s="4" t="s">
        <v>0</v>
      </c>
      <c r="B4813" s="4" t="s">
        <v>4</v>
      </c>
      <c r="C4813" s="4" t="s">
        <v>35</v>
      </c>
      <c r="D4813" s="4">
        <v>2028</v>
      </c>
      <c r="E4813" s="4">
        <v>9780.6382270697904</v>
      </c>
      <c r="F4813" s="4" t="s">
        <v>29</v>
      </c>
    </row>
    <row r="4814" spans="1:6" x14ac:dyDescent="0.25">
      <c r="A4814" s="4" t="s">
        <v>0</v>
      </c>
      <c r="B4814" s="4" t="s">
        <v>4</v>
      </c>
      <c r="C4814" s="4" t="s">
        <v>35</v>
      </c>
      <c r="D4814" s="4">
        <v>2029</v>
      </c>
      <c r="E4814" s="4">
        <v>9681.504280066747</v>
      </c>
      <c r="F4814" s="4" t="s">
        <v>29</v>
      </c>
    </row>
    <row r="4815" spans="1:6" x14ac:dyDescent="0.25">
      <c r="A4815" s="4" t="s">
        <v>0</v>
      </c>
      <c r="B4815" s="4" t="s">
        <v>4</v>
      </c>
      <c r="C4815" s="4" t="s">
        <v>35</v>
      </c>
      <c r="D4815" s="4">
        <v>2030</v>
      </c>
      <c r="E4815" s="4">
        <v>9595.2327787361537</v>
      </c>
      <c r="F4815" s="4" t="s">
        <v>29</v>
      </c>
    </row>
    <row r="4816" spans="1:6" x14ac:dyDescent="0.25">
      <c r="A4816" s="4" t="s">
        <v>0</v>
      </c>
      <c r="B4816" s="4" t="s">
        <v>4</v>
      </c>
      <c r="C4816" s="4" t="s">
        <v>35</v>
      </c>
      <c r="D4816" s="4">
        <v>2031</v>
      </c>
      <c r="E4816" s="4">
        <v>9527.5072359025726</v>
      </c>
      <c r="F4816" s="4" t="s">
        <v>29</v>
      </c>
    </row>
    <row r="4817" spans="1:6" x14ac:dyDescent="0.25">
      <c r="A4817" s="4" t="s">
        <v>0</v>
      </c>
      <c r="B4817" s="4" t="s">
        <v>4</v>
      </c>
      <c r="C4817" s="4" t="s">
        <v>35</v>
      </c>
      <c r="D4817" s="4">
        <v>2032</v>
      </c>
      <c r="E4817" s="4">
        <v>9475.1720235586763</v>
      </c>
      <c r="F4817" s="4" t="s">
        <v>29</v>
      </c>
    </row>
    <row r="4818" spans="1:6" x14ac:dyDescent="0.25">
      <c r="A4818" s="4" t="s">
        <v>0</v>
      </c>
      <c r="B4818" s="4" t="s">
        <v>4</v>
      </c>
      <c r="C4818" s="4" t="s">
        <v>35</v>
      </c>
      <c r="D4818" s="4">
        <v>2033</v>
      </c>
      <c r="E4818" s="4">
        <v>9425.9459892908726</v>
      </c>
      <c r="F4818" s="4" t="s">
        <v>29</v>
      </c>
    </row>
    <row r="4819" spans="1:6" x14ac:dyDescent="0.25">
      <c r="A4819" s="4" t="s">
        <v>0</v>
      </c>
      <c r="B4819" s="4" t="s">
        <v>4</v>
      </c>
      <c r="C4819" s="4" t="s">
        <v>35</v>
      </c>
      <c r="D4819" s="4">
        <v>2034</v>
      </c>
      <c r="E4819" s="4">
        <v>9394.2229483724041</v>
      </c>
      <c r="F4819" s="4" t="s">
        <v>29</v>
      </c>
    </row>
    <row r="4820" spans="1:6" x14ac:dyDescent="0.25">
      <c r="A4820" s="4" t="s">
        <v>0</v>
      </c>
      <c r="B4820" s="4" t="s">
        <v>4</v>
      </c>
      <c r="C4820" s="4" t="s">
        <v>35</v>
      </c>
      <c r="D4820" s="4">
        <v>2035</v>
      </c>
      <c r="E4820" s="4">
        <v>9373.1516739411527</v>
      </c>
      <c r="F4820" s="4" t="s">
        <v>29</v>
      </c>
    </row>
    <row r="4821" spans="1:6" x14ac:dyDescent="0.25">
      <c r="A4821" s="4" t="s">
        <v>0</v>
      </c>
      <c r="B4821" s="4" t="s">
        <v>4</v>
      </c>
      <c r="C4821" s="4" t="s">
        <v>35</v>
      </c>
      <c r="D4821" s="4">
        <v>2036</v>
      </c>
      <c r="E4821" s="4">
        <v>9370.8365341960634</v>
      </c>
      <c r="F4821" s="4" t="s">
        <v>29</v>
      </c>
    </row>
    <row r="4822" spans="1:6" x14ac:dyDescent="0.25">
      <c r="A4822" s="4" t="s">
        <v>0</v>
      </c>
      <c r="B4822" s="4" t="s">
        <v>4</v>
      </c>
      <c r="C4822" s="4" t="s">
        <v>35</v>
      </c>
      <c r="D4822" s="4">
        <v>2037</v>
      </c>
      <c r="E4822" s="4">
        <v>9377.4193972761441</v>
      </c>
      <c r="F4822" s="4" t="s">
        <v>29</v>
      </c>
    </row>
    <row r="4823" spans="1:6" x14ac:dyDescent="0.25">
      <c r="A4823" s="4" t="s">
        <v>0</v>
      </c>
      <c r="B4823" s="4" t="s">
        <v>4</v>
      </c>
      <c r="C4823" s="4" t="s">
        <v>35</v>
      </c>
      <c r="D4823" s="4">
        <v>2038</v>
      </c>
      <c r="E4823" s="4">
        <v>9363.1257514838162</v>
      </c>
      <c r="F4823" s="4" t="s">
        <v>29</v>
      </c>
    </row>
    <row r="4824" spans="1:6" x14ac:dyDescent="0.25">
      <c r="A4824" s="4" t="s">
        <v>0</v>
      </c>
      <c r="B4824" s="4" t="s">
        <v>4</v>
      </c>
      <c r="C4824" s="4" t="s">
        <v>35</v>
      </c>
      <c r="D4824" s="4">
        <v>2039</v>
      </c>
      <c r="E4824" s="4">
        <v>9355.5571095705454</v>
      </c>
      <c r="F4824" s="4" t="s">
        <v>29</v>
      </c>
    </row>
    <row r="4825" spans="1:6" x14ac:dyDescent="0.25">
      <c r="A4825" s="4" t="s">
        <v>0</v>
      </c>
      <c r="B4825" s="4" t="s">
        <v>4</v>
      </c>
      <c r="C4825" s="4" t="s">
        <v>35</v>
      </c>
      <c r="D4825" s="4">
        <v>2040</v>
      </c>
      <c r="E4825" s="4">
        <v>9378.9375843374692</v>
      </c>
      <c r="F4825" s="4" t="s">
        <v>29</v>
      </c>
    </row>
    <row r="4826" spans="1:6" x14ac:dyDescent="0.25">
      <c r="A4826" s="4" t="s">
        <v>0</v>
      </c>
      <c r="B4826" s="4" t="s">
        <v>5</v>
      </c>
      <c r="C4826" s="4" t="s">
        <v>35</v>
      </c>
      <c r="D4826" s="4">
        <v>2005</v>
      </c>
      <c r="E4826" s="4">
        <v>99600</v>
      </c>
      <c r="F4826" s="4" t="s">
        <v>29</v>
      </c>
    </row>
    <row r="4827" spans="1:6" x14ac:dyDescent="0.25">
      <c r="A4827" s="4" t="s">
        <v>0</v>
      </c>
      <c r="B4827" s="4" t="s">
        <v>5</v>
      </c>
      <c r="C4827" s="4" t="s">
        <v>35</v>
      </c>
      <c r="D4827" s="4">
        <v>2006</v>
      </c>
      <c r="E4827" s="4">
        <v>120900</v>
      </c>
      <c r="F4827" s="4" t="s">
        <v>29</v>
      </c>
    </row>
    <row r="4828" spans="1:6" x14ac:dyDescent="0.25">
      <c r="A4828" s="4" t="s">
        <v>0</v>
      </c>
      <c r="B4828" s="4" t="s">
        <v>5</v>
      </c>
      <c r="C4828" s="4" t="s">
        <v>35</v>
      </c>
      <c r="D4828" s="4">
        <v>2007</v>
      </c>
      <c r="E4828" s="4">
        <v>124700</v>
      </c>
      <c r="F4828" s="4" t="s">
        <v>29</v>
      </c>
    </row>
    <row r="4829" spans="1:6" x14ac:dyDescent="0.25">
      <c r="A4829" s="4" t="s">
        <v>0</v>
      </c>
      <c r="B4829" s="4" t="s">
        <v>5</v>
      </c>
      <c r="C4829" s="4" t="s">
        <v>35</v>
      </c>
      <c r="D4829" s="4">
        <v>2008</v>
      </c>
      <c r="E4829" s="4">
        <v>114700</v>
      </c>
      <c r="F4829" s="4" t="s">
        <v>29</v>
      </c>
    </row>
    <row r="4830" spans="1:6" x14ac:dyDescent="0.25">
      <c r="A4830" s="4" t="s">
        <v>0</v>
      </c>
      <c r="B4830" s="4" t="s">
        <v>5</v>
      </c>
      <c r="C4830" s="4" t="s">
        <v>35</v>
      </c>
      <c r="D4830" s="4">
        <v>2009</v>
      </c>
      <c r="E4830" s="4">
        <v>131200</v>
      </c>
      <c r="F4830" s="4" t="s">
        <v>29</v>
      </c>
    </row>
    <row r="4831" spans="1:6" x14ac:dyDescent="0.25">
      <c r="A4831" s="4" t="s">
        <v>0</v>
      </c>
      <c r="B4831" s="4" t="s">
        <v>5</v>
      </c>
      <c r="C4831" s="4" t="s">
        <v>35</v>
      </c>
      <c r="D4831" s="4">
        <v>2010</v>
      </c>
      <c r="E4831" s="4">
        <v>136242.99205479454</v>
      </c>
      <c r="F4831" s="4" t="s">
        <v>29</v>
      </c>
    </row>
    <row r="4832" spans="1:6" x14ac:dyDescent="0.25">
      <c r="A4832" s="4" t="s">
        <v>0</v>
      </c>
      <c r="B4832" s="4" t="s">
        <v>5</v>
      </c>
      <c r="C4832" s="4" t="s">
        <v>35</v>
      </c>
      <c r="D4832" s="4">
        <v>2011</v>
      </c>
      <c r="E4832" s="4">
        <v>141899.05890410958</v>
      </c>
      <c r="F4832" s="4" t="s">
        <v>29</v>
      </c>
    </row>
    <row r="4833" spans="1:6" x14ac:dyDescent="0.25">
      <c r="A4833" s="4" t="s">
        <v>0</v>
      </c>
      <c r="B4833" s="4" t="s">
        <v>5</v>
      </c>
      <c r="C4833" s="4" t="s">
        <v>35</v>
      </c>
      <c r="D4833" s="4">
        <v>2012</v>
      </c>
      <c r="E4833" s="4">
        <v>148216.19643835619</v>
      </c>
      <c r="F4833" s="4" t="s">
        <v>29</v>
      </c>
    </row>
    <row r="4834" spans="1:6" x14ac:dyDescent="0.25">
      <c r="A4834" s="4" t="s">
        <v>0</v>
      </c>
      <c r="B4834" s="4" t="s">
        <v>5</v>
      </c>
      <c r="C4834" s="4" t="s">
        <v>35</v>
      </c>
      <c r="D4834" s="4">
        <v>2013</v>
      </c>
      <c r="E4834" s="4">
        <v>155178.08602739728</v>
      </c>
      <c r="F4834" s="4" t="s">
        <v>29</v>
      </c>
    </row>
    <row r="4835" spans="1:6" x14ac:dyDescent="0.25">
      <c r="A4835" s="4" t="s">
        <v>0</v>
      </c>
      <c r="B4835" s="4" t="s">
        <v>5</v>
      </c>
      <c r="C4835" s="4" t="s">
        <v>35</v>
      </c>
      <c r="D4835" s="4">
        <v>2014</v>
      </c>
      <c r="E4835" s="4">
        <v>152653.42301369866</v>
      </c>
      <c r="F4835" s="4" t="s">
        <v>29</v>
      </c>
    </row>
    <row r="4836" spans="1:6" x14ac:dyDescent="0.25">
      <c r="A4836" s="4" t="s">
        <v>0</v>
      </c>
      <c r="B4836" s="4" t="s">
        <v>5</v>
      </c>
      <c r="C4836" s="4" t="s">
        <v>35</v>
      </c>
      <c r="D4836" s="4">
        <v>2015</v>
      </c>
      <c r="E4836" s="4">
        <v>184650.64986301371</v>
      </c>
      <c r="F4836" s="4" t="s">
        <v>29</v>
      </c>
    </row>
    <row r="4837" spans="1:6" x14ac:dyDescent="0.25">
      <c r="A4837" s="4" t="s">
        <v>0</v>
      </c>
      <c r="B4837" s="4" t="s">
        <v>5</v>
      </c>
      <c r="C4837" s="4" t="s">
        <v>35</v>
      </c>
      <c r="D4837" s="4">
        <v>2016</v>
      </c>
      <c r="E4837" s="4">
        <v>182833.43972602743</v>
      </c>
      <c r="F4837" s="4" t="s">
        <v>29</v>
      </c>
    </row>
    <row r="4838" spans="1:6" x14ac:dyDescent="0.25">
      <c r="A4838" s="4" t="s">
        <v>0</v>
      </c>
      <c r="B4838" s="4" t="s">
        <v>5</v>
      </c>
      <c r="C4838" s="4" t="s">
        <v>35</v>
      </c>
      <c r="D4838" s="4">
        <v>2017</v>
      </c>
      <c r="E4838" s="4">
        <v>202815.78219178083</v>
      </c>
      <c r="F4838" s="4" t="s">
        <v>29</v>
      </c>
    </row>
    <row r="4839" spans="1:6" x14ac:dyDescent="0.25">
      <c r="A4839" s="4" t="s">
        <v>0</v>
      </c>
      <c r="B4839" s="4" t="s">
        <v>5</v>
      </c>
      <c r="C4839" s="4" t="s">
        <v>35</v>
      </c>
      <c r="D4839" s="4">
        <v>2018</v>
      </c>
      <c r="E4839" s="4">
        <v>230827.34128777066</v>
      </c>
      <c r="F4839" s="4" t="s">
        <v>29</v>
      </c>
    </row>
    <row r="4840" spans="1:6" x14ac:dyDescent="0.25">
      <c r="A4840" s="4" t="s">
        <v>0</v>
      </c>
      <c r="B4840" s="4" t="s">
        <v>5</v>
      </c>
      <c r="C4840" s="4" t="s">
        <v>35</v>
      </c>
      <c r="D4840" s="4">
        <v>2019</v>
      </c>
      <c r="E4840" s="4">
        <v>252610.17220383271</v>
      </c>
      <c r="F4840" s="4" t="s">
        <v>29</v>
      </c>
    </row>
    <row r="4841" spans="1:6" x14ac:dyDescent="0.25">
      <c r="A4841" s="4" t="s">
        <v>0</v>
      </c>
      <c r="B4841" s="4" t="s">
        <v>5</v>
      </c>
      <c r="C4841" s="4" t="s">
        <v>35</v>
      </c>
      <c r="D4841" s="4">
        <v>2020</v>
      </c>
      <c r="E4841" s="4">
        <v>255214.62797112894</v>
      </c>
      <c r="F4841" s="4" t="s">
        <v>29</v>
      </c>
    </row>
    <row r="4842" spans="1:6" x14ac:dyDescent="0.25">
      <c r="A4842" s="4" t="s">
        <v>0</v>
      </c>
      <c r="B4842" s="4" t="s">
        <v>5</v>
      </c>
      <c r="C4842" s="4" t="s">
        <v>35</v>
      </c>
      <c r="D4842" s="4">
        <v>2021</v>
      </c>
      <c r="E4842" s="4">
        <v>255219.26784659942</v>
      </c>
      <c r="F4842" s="4" t="s">
        <v>29</v>
      </c>
    </row>
    <row r="4843" spans="1:6" x14ac:dyDescent="0.25">
      <c r="A4843" s="4" t="s">
        <v>0</v>
      </c>
      <c r="B4843" s="4" t="s">
        <v>5</v>
      </c>
      <c r="C4843" s="4" t="s">
        <v>35</v>
      </c>
      <c r="D4843" s="4">
        <v>2022</v>
      </c>
      <c r="E4843" s="4">
        <v>255218.37891407206</v>
      </c>
      <c r="F4843" s="4" t="s">
        <v>29</v>
      </c>
    </row>
    <row r="4844" spans="1:6" x14ac:dyDescent="0.25">
      <c r="A4844" s="4" t="s">
        <v>0</v>
      </c>
      <c r="B4844" s="4" t="s">
        <v>5</v>
      </c>
      <c r="C4844" s="4" t="s">
        <v>35</v>
      </c>
      <c r="D4844" s="4">
        <v>2023</v>
      </c>
      <c r="E4844" s="4">
        <v>255218.34310268139</v>
      </c>
      <c r="F4844" s="4" t="s">
        <v>29</v>
      </c>
    </row>
    <row r="4845" spans="1:6" x14ac:dyDescent="0.25">
      <c r="A4845" s="4" t="s">
        <v>0</v>
      </c>
      <c r="B4845" s="4" t="s">
        <v>5</v>
      </c>
      <c r="C4845" s="4" t="s">
        <v>35</v>
      </c>
      <c r="D4845" s="4">
        <v>2024</v>
      </c>
      <c r="E4845" s="4">
        <v>255218.3540049924</v>
      </c>
      <c r="F4845" s="4" t="s">
        <v>29</v>
      </c>
    </row>
    <row r="4846" spans="1:6" x14ac:dyDescent="0.25">
      <c r="A4846" s="4" t="s">
        <v>0</v>
      </c>
      <c r="B4846" s="4" t="s">
        <v>5</v>
      </c>
      <c r="C4846" s="4" t="s">
        <v>35</v>
      </c>
      <c r="D4846" s="4">
        <v>2025</v>
      </c>
      <c r="E4846" s="4">
        <v>255218.35460781632</v>
      </c>
      <c r="F4846" s="4" t="s">
        <v>29</v>
      </c>
    </row>
    <row r="4847" spans="1:6" x14ac:dyDescent="0.25">
      <c r="A4847" s="4" t="s">
        <v>0</v>
      </c>
      <c r="B4847" s="4" t="s">
        <v>5</v>
      </c>
      <c r="C4847" s="4" t="s">
        <v>35</v>
      </c>
      <c r="D4847" s="4">
        <v>2026</v>
      </c>
      <c r="E4847" s="4">
        <v>254754.52785425811</v>
      </c>
      <c r="F4847" s="4" t="s">
        <v>29</v>
      </c>
    </row>
    <row r="4848" spans="1:6" x14ac:dyDescent="0.25">
      <c r="A4848" s="4" t="s">
        <v>0</v>
      </c>
      <c r="B4848" s="4" t="s">
        <v>5</v>
      </c>
      <c r="C4848" s="4" t="s">
        <v>35</v>
      </c>
      <c r="D4848" s="4">
        <v>2027</v>
      </c>
      <c r="E4848" s="4">
        <v>253905.33573839106</v>
      </c>
      <c r="F4848" s="4" t="s">
        <v>29</v>
      </c>
    </row>
    <row r="4849" spans="1:6" x14ac:dyDescent="0.25">
      <c r="A4849" s="4" t="s">
        <v>0</v>
      </c>
      <c r="B4849" s="4" t="s">
        <v>5</v>
      </c>
      <c r="C4849" s="4" t="s">
        <v>35</v>
      </c>
      <c r="D4849" s="4">
        <v>2028</v>
      </c>
      <c r="E4849" s="4">
        <v>253066.2780788033</v>
      </c>
      <c r="F4849" s="4" t="s">
        <v>29</v>
      </c>
    </row>
    <row r="4850" spans="1:6" x14ac:dyDescent="0.25">
      <c r="A4850" s="4" t="s">
        <v>0</v>
      </c>
      <c r="B4850" s="4" t="s">
        <v>5</v>
      </c>
      <c r="C4850" s="4" t="s">
        <v>35</v>
      </c>
      <c r="D4850" s="4">
        <v>2029</v>
      </c>
      <c r="E4850" s="4">
        <v>252237.23391600058</v>
      </c>
      <c r="F4850" s="4" t="s">
        <v>29</v>
      </c>
    </row>
    <row r="4851" spans="1:6" x14ac:dyDescent="0.25">
      <c r="A4851" s="4" t="s">
        <v>0</v>
      </c>
      <c r="B4851" s="4" t="s">
        <v>5</v>
      </c>
      <c r="C4851" s="4" t="s">
        <v>35</v>
      </c>
      <c r="D4851" s="4">
        <v>2030</v>
      </c>
      <c r="E4851" s="4">
        <v>251418.08374805184</v>
      </c>
      <c r="F4851" s="4" t="s">
        <v>29</v>
      </c>
    </row>
    <row r="4852" spans="1:6" x14ac:dyDescent="0.25">
      <c r="A4852" s="4" t="s">
        <v>0</v>
      </c>
      <c r="B4852" s="4" t="s">
        <v>5</v>
      </c>
      <c r="C4852" s="4" t="s">
        <v>35</v>
      </c>
      <c r="D4852" s="4">
        <v>2031</v>
      </c>
      <c r="E4852" s="4">
        <v>250099.36226325965</v>
      </c>
      <c r="F4852" s="4" t="s">
        <v>29</v>
      </c>
    </row>
    <row r="4853" spans="1:6" x14ac:dyDescent="0.25">
      <c r="A4853" s="4" t="s">
        <v>0</v>
      </c>
      <c r="B4853" s="4" t="s">
        <v>5</v>
      </c>
      <c r="C4853" s="4" t="s">
        <v>35</v>
      </c>
      <c r="D4853" s="4">
        <v>2032</v>
      </c>
      <c r="E4853" s="4">
        <v>248367.11421334581</v>
      </c>
      <c r="F4853" s="4" t="s">
        <v>29</v>
      </c>
    </row>
    <row r="4854" spans="1:6" x14ac:dyDescent="0.25">
      <c r="A4854" s="4" t="s">
        <v>0</v>
      </c>
      <c r="B4854" s="4" t="s">
        <v>5</v>
      </c>
      <c r="C4854" s="4" t="s">
        <v>35</v>
      </c>
      <c r="D4854" s="4">
        <v>2033</v>
      </c>
      <c r="E4854" s="4">
        <v>246655.53919189793</v>
      </c>
      <c r="F4854" s="4" t="s">
        <v>29</v>
      </c>
    </row>
    <row r="4855" spans="1:6" x14ac:dyDescent="0.25">
      <c r="A4855" s="4" t="s">
        <v>0</v>
      </c>
      <c r="B4855" s="4" t="s">
        <v>5</v>
      </c>
      <c r="C4855" s="4" t="s">
        <v>35</v>
      </c>
      <c r="D4855" s="4">
        <v>2034</v>
      </c>
      <c r="E4855" s="4">
        <v>244964.39048245654</v>
      </c>
      <c r="F4855" s="4" t="s">
        <v>29</v>
      </c>
    </row>
    <row r="4856" spans="1:6" x14ac:dyDescent="0.25">
      <c r="A4856" s="4" t="s">
        <v>0</v>
      </c>
      <c r="B4856" s="4" t="s">
        <v>5</v>
      </c>
      <c r="C4856" s="4" t="s">
        <v>35</v>
      </c>
      <c r="D4856" s="4">
        <v>2035</v>
      </c>
      <c r="E4856" s="4">
        <v>243293.4243129307</v>
      </c>
      <c r="F4856" s="4" t="s">
        <v>29</v>
      </c>
    </row>
    <row r="4857" spans="1:6" x14ac:dyDescent="0.25">
      <c r="A4857" s="4" t="s">
        <v>0</v>
      </c>
      <c r="B4857" s="4" t="s">
        <v>5</v>
      </c>
      <c r="C4857" s="4" t="s">
        <v>35</v>
      </c>
      <c r="D4857" s="4">
        <v>2036</v>
      </c>
      <c r="E4857" s="4">
        <v>241642.39982045861</v>
      </c>
      <c r="F4857" s="4" t="s">
        <v>29</v>
      </c>
    </row>
    <row r="4858" spans="1:6" x14ac:dyDescent="0.25">
      <c r="A4858" s="4" t="s">
        <v>0</v>
      </c>
      <c r="B4858" s="4" t="s">
        <v>5</v>
      </c>
      <c r="C4858" s="4" t="s">
        <v>35</v>
      </c>
      <c r="D4858" s="4">
        <v>2037</v>
      </c>
      <c r="E4858" s="4">
        <v>240011.07901668912</v>
      </c>
      <c r="F4858" s="4" t="s">
        <v>29</v>
      </c>
    </row>
    <row r="4859" spans="1:6" x14ac:dyDescent="0.25">
      <c r="A4859" s="4" t="s">
        <v>0</v>
      </c>
      <c r="B4859" s="4" t="s">
        <v>5</v>
      </c>
      <c r="C4859" s="4" t="s">
        <v>35</v>
      </c>
      <c r="D4859" s="4">
        <v>2038</v>
      </c>
      <c r="E4859" s="4">
        <v>238399.22675347622</v>
      </c>
      <c r="F4859" s="4" t="s">
        <v>29</v>
      </c>
    </row>
    <row r="4860" spans="1:6" x14ac:dyDescent="0.25">
      <c r="A4860" s="4" t="s">
        <v>0</v>
      </c>
      <c r="B4860" s="4" t="s">
        <v>5</v>
      </c>
      <c r="C4860" s="4" t="s">
        <v>35</v>
      </c>
      <c r="D4860" s="4">
        <v>2039</v>
      </c>
      <c r="E4860" s="4">
        <v>236806.61068898335</v>
      </c>
      <c r="F4860" s="4" t="s">
        <v>29</v>
      </c>
    </row>
    <row r="4861" spans="1:6" x14ac:dyDescent="0.25">
      <c r="A4861" s="4" t="s">
        <v>0</v>
      </c>
      <c r="B4861" s="4" t="s">
        <v>5</v>
      </c>
      <c r="C4861" s="4" t="s">
        <v>35</v>
      </c>
      <c r="D4861" s="4">
        <v>2040</v>
      </c>
      <c r="E4861" s="4">
        <v>235233.00125419264</v>
      </c>
      <c r="F4861" s="4" t="s">
        <v>29</v>
      </c>
    </row>
    <row r="4862" spans="1:6" x14ac:dyDescent="0.25">
      <c r="A4862" s="4" t="s">
        <v>0</v>
      </c>
      <c r="B4862" s="4" t="s">
        <v>6</v>
      </c>
      <c r="C4862" s="4" t="s">
        <v>35</v>
      </c>
      <c r="D4862" s="4">
        <v>2005</v>
      </c>
      <c r="E4862" s="4">
        <v>69700</v>
      </c>
      <c r="F4862" s="4" t="s">
        <v>29</v>
      </c>
    </row>
    <row r="4863" spans="1:6" x14ac:dyDescent="0.25">
      <c r="A4863" s="4" t="s">
        <v>0</v>
      </c>
      <c r="B4863" s="4" t="s">
        <v>6</v>
      </c>
      <c r="C4863" s="4" t="s">
        <v>35</v>
      </c>
      <c r="D4863" s="4">
        <v>2006</v>
      </c>
      <c r="E4863" s="4">
        <v>78500</v>
      </c>
      <c r="F4863" s="4" t="s">
        <v>29</v>
      </c>
    </row>
    <row r="4864" spans="1:6" x14ac:dyDescent="0.25">
      <c r="A4864" s="4" t="s">
        <v>0</v>
      </c>
      <c r="B4864" s="4" t="s">
        <v>6</v>
      </c>
      <c r="C4864" s="4" t="s">
        <v>35</v>
      </c>
      <c r="D4864" s="4">
        <v>2007</v>
      </c>
      <c r="E4864" s="4">
        <v>85200</v>
      </c>
      <c r="F4864" s="4" t="s">
        <v>29</v>
      </c>
    </row>
    <row r="4865" spans="1:6" x14ac:dyDescent="0.25">
      <c r="A4865" s="4" t="s">
        <v>0</v>
      </c>
      <c r="B4865" s="4" t="s">
        <v>6</v>
      </c>
      <c r="C4865" s="4" t="s">
        <v>35</v>
      </c>
      <c r="D4865" s="4">
        <v>2008</v>
      </c>
      <c r="E4865" s="4">
        <v>92700</v>
      </c>
      <c r="F4865" s="4" t="s">
        <v>29</v>
      </c>
    </row>
    <row r="4866" spans="1:6" x14ac:dyDescent="0.25">
      <c r="A4866" s="4" t="s">
        <v>0</v>
      </c>
      <c r="B4866" s="4" t="s">
        <v>6</v>
      </c>
      <c r="C4866" s="4" t="s">
        <v>35</v>
      </c>
      <c r="D4866" s="4">
        <v>2009</v>
      </c>
      <c r="E4866" s="4">
        <v>105500</v>
      </c>
      <c r="F4866" s="4" t="s">
        <v>29</v>
      </c>
    </row>
    <row r="4867" spans="1:6" x14ac:dyDescent="0.25">
      <c r="A4867" s="4" t="s">
        <v>0</v>
      </c>
      <c r="B4867" s="4" t="s">
        <v>6</v>
      </c>
      <c r="C4867" s="4" t="s">
        <v>35</v>
      </c>
      <c r="D4867" s="4">
        <v>2010</v>
      </c>
      <c r="E4867" s="4">
        <v>119629.14712328766</v>
      </c>
      <c r="F4867" s="4" t="s">
        <v>29</v>
      </c>
    </row>
    <row r="4868" spans="1:6" x14ac:dyDescent="0.25">
      <c r="A4868" s="4" t="s">
        <v>0</v>
      </c>
      <c r="B4868" s="4" t="s">
        <v>6</v>
      </c>
      <c r="C4868" s="4" t="s">
        <v>35</v>
      </c>
      <c r="D4868" s="4">
        <v>2011</v>
      </c>
      <c r="E4868" s="4">
        <v>134719.58268493149</v>
      </c>
      <c r="F4868" s="4" t="s">
        <v>29</v>
      </c>
    </row>
    <row r="4869" spans="1:6" x14ac:dyDescent="0.25">
      <c r="A4869" s="4" t="s">
        <v>0</v>
      </c>
      <c r="B4869" s="4" t="s">
        <v>6</v>
      </c>
      <c r="C4869" s="4" t="s">
        <v>35</v>
      </c>
      <c r="D4869" s="4">
        <v>2012</v>
      </c>
      <c r="E4869" s="4">
        <v>157385.20219178079</v>
      </c>
      <c r="F4869" s="4" t="s">
        <v>29</v>
      </c>
    </row>
    <row r="4870" spans="1:6" x14ac:dyDescent="0.25">
      <c r="A4870" s="4" t="s">
        <v>0</v>
      </c>
      <c r="B4870" s="4" t="s">
        <v>6</v>
      </c>
      <c r="C4870" s="4" t="s">
        <v>35</v>
      </c>
      <c r="D4870" s="4">
        <v>2013</v>
      </c>
      <c r="E4870" s="4">
        <v>175859.07172602741</v>
      </c>
      <c r="F4870" s="4" t="s">
        <v>29</v>
      </c>
    </row>
    <row r="4871" spans="1:6" x14ac:dyDescent="0.25">
      <c r="A4871" s="4" t="s">
        <v>0</v>
      </c>
      <c r="B4871" s="4" t="s">
        <v>6</v>
      </c>
      <c r="C4871" s="4" t="s">
        <v>35</v>
      </c>
      <c r="D4871" s="4">
        <v>2014</v>
      </c>
      <c r="E4871" s="4">
        <v>200748.64076712329</v>
      </c>
      <c r="F4871" s="4" t="s">
        <v>29</v>
      </c>
    </row>
    <row r="4872" spans="1:6" x14ac:dyDescent="0.25">
      <c r="A4872" s="4" t="s">
        <v>0</v>
      </c>
      <c r="B4872" s="4" t="s">
        <v>6</v>
      </c>
      <c r="C4872" s="4" t="s">
        <v>35</v>
      </c>
      <c r="D4872" s="4">
        <v>2015</v>
      </c>
      <c r="E4872" s="4">
        <v>216516.94391559192</v>
      </c>
      <c r="F4872" s="4" t="s">
        <v>29</v>
      </c>
    </row>
    <row r="4873" spans="1:6" x14ac:dyDescent="0.25">
      <c r="A4873" s="4" t="s">
        <v>0</v>
      </c>
      <c r="B4873" s="4" t="s">
        <v>6</v>
      </c>
      <c r="C4873" s="4" t="s">
        <v>35</v>
      </c>
      <c r="D4873" s="4">
        <v>2016</v>
      </c>
      <c r="E4873" s="4">
        <v>222306.83333061248</v>
      </c>
      <c r="F4873" s="4" t="s">
        <v>29</v>
      </c>
    </row>
    <row r="4874" spans="1:6" x14ac:dyDescent="0.25">
      <c r="A4874" s="4" t="s">
        <v>0</v>
      </c>
      <c r="B4874" s="4" t="s">
        <v>6</v>
      </c>
      <c r="C4874" s="4" t="s">
        <v>35</v>
      </c>
      <c r="D4874" s="4">
        <v>2017</v>
      </c>
      <c r="E4874" s="4">
        <v>245914.92329379948</v>
      </c>
      <c r="F4874" s="4" t="s">
        <v>29</v>
      </c>
    </row>
    <row r="4875" spans="1:6" x14ac:dyDescent="0.25">
      <c r="A4875" s="4" t="s">
        <v>0</v>
      </c>
      <c r="B4875" s="4" t="s">
        <v>6</v>
      </c>
      <c r="C4875" s="4" t="s">
        <v>35</v>
      </c>
      <c r="D4875" s="4">
        <v>2018</v>
      </c>
      <c r="E4875" s="4">
        <v>262105.56735817689</v>
      </c>
      <c r="F4875" s="4" t="s">
        <v>29</v>
      </c>
    </row>
    <row r="4876" spans="1:6" x14ac:dyDescent="0.25">
      <c r="A4876" s="4" t="s">
        <v>0</v>
      </c>
      <c r="B4876" s="4" t="s">
        <v>6</v>
      </c>
      <c r="C4876" s="4" t="s">
        <v>35</v>
      </c>
      <c r="D4876" s="4">
        <v>2019</v>
      </c>
      <c r="E4876" s="4">
        <v>266200.64083449525</v>
      </c>
      <c r="F4876" s="4" t="s">
        <v>29</v>
      </c>
    </row>
    <row r="4877" spans="1:6" x14ac:dyDescent="0.25">
      <c r="A4877" s="4" t="s">
        <v>0</v>
      </c>
      <c r="B4877" s="4" t="s">
        <v>6</v>
      </c>
      <c r="C4877" s="4" t="s">
        <v>35</v>
      </c>
      <c r="D4877" s="4">
        <v>2020</v>
      </c>
      <c r="E4877" s="4">
        <v>272369.90019026212</v>
      </c>
      <c r="F4877" s="4" t="s">
        <v>29</v>
      </c>
    </row>
    <row r="4878" spans="1:6" x14ac:dyDescent="0.25">
      <c r="A4878" s="4" t="s">
        <v>0</v>
      </c>
      <c r="B4878" s="4" t="s">
        <v>6</v>
      </c>
      <c r="C4878" s="4" t="s">
        <v>35</v>
      </c>
      <c r="D4878" s="4">
        <v>2021</v>
      </c>
      <c r="E4878" s="4">
        <v>277891.72130446549</v>
      </c>
      <c r="F4878" s="4" t="s">
        <v>29</v>
      </c>
    </row>
    <row r="4879" spans="1:6" x14ac:dyDescent="0.25">
      <c r="A4879" s="4" t="s">
        <v>0</v>
      </c>
      <c r="B4879" s="4" t="s">
        <v>6</v>
      </c>
      <c r="C4879" s="4" t="s">
        <v>35</v>
      </c>
      <c r="D4879" s="4">
        <v>2022</v>
      </c>
      <c r="E4879" s="4">
        <v>277332.06605173368</v>
      </c>
      <c r="F4879" s="4" t="s">
        <v>29</v>
      </c>
    </row>
    <row r="4880" spans="1:6" x14ac:dyDescent="0.25">
      <c r="A4880" s="4" t="s">
        <v>0</v>
      </c>
      <c r="B4880" s="4" t="s">
        <v>6</v>
      </c>
      <c r="C4880" s="4" t="s">
        <v>35</v>
      </c>
      <c r="D4880" s="4">
        <v>2023</v>
      </c>
      <c r="E4880" s="4">
        <v>276737.26567004743</v>
      </c>
      <c r="F4880" s="4" t="s">
        <v>29</v>
      </c>
    </row>
    <row r="4881" spans="1:6" x14ac:dyDescent="0.25">
      <c r="A4881" s="4" t="s">
        <v>0</v>
      </c>
      <c r="B4881" s="4" t="s">
        <v>6</v>
      </c>
      <c r="C4881" s="4" t="s">
        <v>35</v>
      </c>
      <c r="D4881" s="4">
        <v>2024</v>
      </c>
      <c r="E4881" s="4">
        <v>275953.35921430634</v>
      </c>
      <c r="F4881" s="4" t="s">
        <v>29</v>
      </c>
    </row>
    <row r="4882" spans="1:6" x14ac:dyDescent="0.25">
      <c r="A4882" s="4" t="s">
        <v>0</v>
      </c>
      <c r="B4882" s="4" t="s">
        <v>6</v>
      </c>
      <c r="C4882" s="4" t="s">
        <v>35</v>
      </c>
      <c r="D4882" s="4">
        <v>2025</v>
      </c>
      <c r="E4882" s="4">
        <v>274494.12952158827</v>
      </c>
      <c r="F4882" s="4" t="s">
        <v>29</v>
      </c>
    </row>
    <row r="4883" spans="1:6" x14ac:dyDescent="0.25">
      <c r="A4883" s="4" t="s">
        <v>0</v>
      </c>
      <c r="B4883" s="4" t="s">
        <v>6</v>
      </c>
      <c r="C4883" s="4" t="s">
        <v>35</v>
      </c>
      <c r="D4883" s="4">
        <v>2026</v>
      </c>
      <c r="E4883" s="4">
        <v>272761.42658576596</v>
      </c>
      <c r="F4883" s="4" t="s">
        <v>29</v>
      </c>
    </row>
    <row r="4884" spans="1:6" x14ac:dyDescent="0.25">
      <c r="A4884" s="4" t="s">
        <v>0</v>
      </c>
      <c r="B4884" s="4" t="s">
        <v>6</v>
      </c>
      <c r="C4884" s="4" t="s">
        <v>35</v>
      </c>
      <c r="D4884" s="4">
        <v>2027</v>
      </c>
      <c r="E4884" s="4">
        <v>271172.25668488018</v>
      </c>
      <c r="F4884" s="4" t="s">
        <v>29</v>
      </c>
    </row>
    <row r="4885" spans="1:6" x14ac:dyDescent="0.25">
      <c r="A4885" s="4" t="s">
        <v>0</v>
      </c>
      <c r="B4885" s="4" t="s">
        <v>6</v>
      </c>
      <c r="C4885" s="4" t="s">
        <v>35</v>
      </c>
      <c r="D4885" s="4">
        <v>2028</v>
      </c>
      <c r="E4885" s="4">
        <v>269672.16622057935</v>
      </c>
      <c r="F4885" s="4" t="s">
        <v>29</v>
      </c>
    </row>
    <row r="4886" spans="1:6" x14ac:dyDescent="0.25">
      <c r="A4886" s="4" t="s">
        <v>0</v>
      </c>
      <c r="B4886" s="4" t="s">
        <v>6</v>
      </c>
      <c r="C4886" s="4" t="s">
        <v>35</v>
      </c>
      <c r="D4886" s="4">
        <v>2029</v>
      </c>
      <c r="E4886" s="4">
        <v>268254.44145089231</v>
      </c>
      <c r="F4886" s="4" t="s">
        <v>29</v>
      </c>
    </row>
    <row r="4887" spans="1:6" x14ac:dyDescent="0.25">
      <c r="A4887" s="4" t="s">
        <v>0</v>
      </c>
      <c r="B4887" s="4" t="s">
        <v>6</v>
      </c>
      <c r="C4887" s="4" t="s">
        <v>35</v>
      </c>
      <c r="D4887" s="4">
        <v>2030</v>
      </c>
      <c r="E4887" s="4">
        <v>265307.69298158528</v>
      </c>
      <c r="F4887" s="4" t="s">
        <v>29</v>
      </c>
    </row>
    <row r="4888" spans="1:6" x14ac:dyDescent="0.25">
      <c r="A4888" s="4" t="s">
        <v>0</v>
      </c>
      <c r="B4888" s="4" t="s">
        <v>6</v>
      </c>
      <c r="C4888" s="4" t="s">
        <v>35</v>
      </c>
      <c r="D4888" s="4">
        <v>2031</v>
      </c>
      <c r="E4888" s="4">
        <v>261225.38814195938</v>
      </c>
      <c r="F4888" s="4" t="s">
        <v>29</v>
      </c>
    </row>
    <row r="4889" spans="1:6" x14ac:dyDescent="0.25">
      <c r="A4889" s="4" t="s">
        <v>0</v>
      </c>
      <c r="B4889" s="4" t="s">
        <v>6</v>
      </c>
      <c r="C4889" s="4" t="s">
        <v>35</v>
      </c>
      <c r="D4889" s="4">
        <v>2032</v>
      </c>
      <c r="E4889" s="4">
        <v>257323.68785441664</v>
      </c>
      <c r="F4889" s="4" t="s">
        <v>29</v>
      </c>
    </row>
    <row r="4890" spans="1:6" x14ac:dyDescent="0.25">
      <c r="A4890" s="4" t="s">
        <v>0</v>
      </c>
      <c r="B4890" s="4" t="s">
        <v>6</v>
      </c>
      <c r="C4890" s="4" t="s">
        <v>35</v>
      </c>
      <c r="D4890" s="4">
        <v>2033</v>
      </c>
      <c r="E4890" s="4">
        <v>253551.04782070307</v>
      </c>
      <c r="F4890" s="4" t="s">
        <v>29</v>
      </c>
    </row>
    <row r="4891" spans="1:6" x14ac:dyDescent="0.25">
      <c r="A4891" s="4" t="s">
        <v>0</v>
      </c>
      <c r="B4891" s="4" t="s">
        <v>6</v>
      </c>
      <c r="C4891" s="4" t="s">
        <v>35</v>
      </c>
      <c r="D4891" s="4">
        <v>2034</v>
      </c>
      <c r="E4891" s="4">
        <v>249897.80777760805</v>
      </c>
      <c r="F4891" s="4" t="s">
        <v>29</v>
      </c>
    </row>
    <row r="4892" spans="1:6" x14ac:dyDescent="0.25">
      <c r="A4892" s="4" t="s">
        <v>0</v>
      </c>
      <c r="B4892" s="4" t="s">
        <v>6</v>
      </c>
      <c r="C4892" s="4" t="s">
        <v>35</v>
      </c>
      <c r="D4892" s="4">
        <v>2035</v>
      </c>
      <c r="E4892" s="4">
        <v>244007.25400471312</v>
      </c>
      <c r="F4892" s="4" t="s">
        <v>29</v>
      </c>
    </row>
    <row r="4893" spans="1:6" x14ac:dyDescent="0.25">
      <c r="A4893" s="4" t="s">
        <v>0</v>
      </c>
      <c r="B4893" s="4" t="s">
        <v>6</v>
      </c>
      <c r="C4893" s="4" t="s">
        <v>35</v>
      </c>
      <c r="D4893" s="4">
        <v>2036</v>
      </c>
      <c r="E4893" s="4">
        <v>236537.13605194734</v>
      </c>
      <c r="F4893" s="4" t="s">
        <v>29</v>
      </c>
    </row>
    <row r="4894" spans="1:6" x14ac:dyDescent="0.25">
      <c r="A4894" s="4" t="s">
        <v>0</v>
      </c>
      <c r="B4894" s="4" t="s">
        <v>6</v>
      </c>
      <c r="C4894" s="4" t="s">
        <v>35</v>
      </c>
      <c r="D4894" s="4">
        <v>2037</v>
      </c>
      <c r="E4894" s="4">
        <v>229494.98215298148</v>
      </c>
      <c r="F4894" s="4" t="s">
        <v>29</v>
      </c>
    </row>
    <row r="4895" spans="1:6" x14ac:dyDescent="0.25">
      <c r="A4895" s="4" t="s">
        <v>0</v>
      </c>
      <c r="B4895" s="4" t="s">
        <v>6</v>
      </c>
      <c r="C4895" s="4" t="s">
        <v>35</v>
      </c>
      <c r="D4895" s="4">
        <v>2038</v>
      </c>
      <c r="E4895" s="4">
        <v>221539.68759833139</v>
      </c>
      <c r="F4895" s="4" t="s">
        <v>29</v>
      </c>
    </row>
    <row r="4896" spans="1:6" x14ac:dyDescent="0.25">
      <c r="A4896" s="4" t="s">
        <v>0</v>
      </c>
      <c r="B4896" s="4" t="s">
        <v>6</v>
      </c>
      <c r="C4896" s="4" t="s">
        <v>35</v>
      </c>
      <c r="D4896" s="4">
        <v>2039</v>
      </c>
      <c r="E4896" s="4">
        <v>212960.40922699627</v>
      </c>
      <c r="F4896" s="4" t="s">
        <v>29</v>
      </c>
    </row>
    <row r="4897" spans="1:6" x14ac:dyDescent="0.25">
      <c r="A4897" s="4" t="s">
        <v>0</v>
      </c>
      <c r="B4897" s="4" t="s">
        <v>6</v>
      </c>
      <c r="C4897" s="4" t="s">
        <v>35</v>
      </c>
      <c r="D4897" s="4">
        <v>2040</v>
      </c>
      <c r="E4897" s="4">
        <v>204900.99519514298</v>
      </c>
      <c r="F4897" s="4" t="s">
        <v>29</v>
      </c>
    </row>
    <row r="4898" spans="1:6" x14ac:dyDescent="0.25">
      <c r="A4898" s="4" t="s">
        <v>0</v>
      </c>
      <c r="B4898" s="4" t="s">
        <v>23</v>
      </c>
      <c r="C4898" s="4" t="s">
        <v>35</v>
      </c>
      <c r="D4898" s="4">
        <v>2005</v>
      </c>
      <c r="E4898" s="4">
        <v>411638.31634344597</v>
      </c>
      <c r="F4898" s="4" t="s">
        <v>29</v>
      </c>
    </row>
    <row r="4899" spans="1:6" x14ac:dyDescent="0.25">
      <c r="A4899" s="4" t="s">
        <v>0</v>
      </c>
      <c r="B4899" s="4" t="s">
        <v>23</v>
      </c>
      <c r="C4899" s="4" t="s">
        <v>35</v>
      </c>
      <c r="D4899" s="4">
        <v>2006</v>
      </c>
      <c r="E4899" s="4">
        <v>440428.42634664616</v>
      </c>
      <c r="F4899" s="4" t="s">
        <v>29</v>
      </c>
    </row>
    <row r="4900" spans="1:6" x14ac:dyDescent="0.25">
      <c r="A4900" s="4" t="s">
        <v>0</v>
      </c>
      <c r="B4900" s="4" t="s">
        <v>23</v>
      </c>
      <c r="C4900" s="4" t="s">
        <v>35</v>
      </c>
      <c r="D4900" s="4">
        <v>2007</v>
      </c>
      <c r="E4900" s="4">
        <v>457779.35539810546</v>
      </c>
      <c r="F4900" s="4" t="s">
        <v>29</v>
      </c>
    </row>
    <row r="4901" spans="1:6" x14ac:dyDescent="0.25">
      <c r="A4901" s="4" t="s">
        <v>0</v>
      </c>
      <c r="B4901" s="4" t="s">
        <v>23</v>
      </c>
      <c r="C4901" s="4" t="s">
        <v>35</v>
      </c>
      <c r="D4901" s="4">
        <v>2008</v>
      </c>
      <c r="E4901" s="4">
        <v>448246.58333333337</v>
      </c>
      <c r="F4901" s="4" t="s">
        <v>29</v>
      </c>
    </row>
    <row r="4902" spans="1:6" x14ac:dyDescent="0.25">
      <c r="A4902" s="4" t="s">
        <v>0</v>
      </c>
      <c r="B4902" s="4" t="s">
        <v>23</v>
      </c>
      <c r="C4902" s="4" t="s">
        <v>35</v>
      </c>
      <c r="D4902" s="4">
        <v>2009</v>
      </c>
      <c r="E4902" s="4">
        <v>454605.8598406298</v>
      </c>
      <c r="F4902" s="4" t="s">
        <v>29</v>
      </c>
    </row>
    <row r="4903" spans="1:6" x14ac:dyDescent="0.25">
      <c r="A4903" s="4" t="s">
        <v>0</v>
      </c>
      <c r="B4903" s="4" t="s">
        <v>23</v>
      </c>
      <c r="C4903" s="4" t="s">
        <v>35</v>
      </c>
      <c r="D4903" s="4">
        <v>2010</v>
      </c>
      <c r="E4903" s="4">
        <v>474322.64369997161</v>
      </c>
      <c r="F4903" s="4" t="s">
        <v>29</v>
      </c>
    </row>
    <row r="4904" spans="1:6" x14ac:dyDescent="0.25">
      <c r="A4904" s="4" t="s">
        <v>0</v>
      </c>
      <c r="B4904" s="4" t="s">
        <v>23</v>
      </c>
      <c r="C4904" s="4" t="s">
        <v>35</v>
      </c>
      <c r="D4904" s="4">
        <v>2011</v>
      </c>
      <c r="E4904" s="4">
        <v>499452.60662104306</v>
      </c>
      <c r="F4904" s="4" t="s">
        <v>29</v>
      </c>
    </row>
    <row r="4905" spans="1:6" x14ac:dyDescent="0.25">
      <c r="A4905" s="4" t="s">
        <v>0</v>
      </c>
      <c r="B4905" s="4" t="s">
        <v>23</v>
      </c>
      <c r="C4905" s="4" t="s">
        <v>35</v>
      </c>
      <c r="D4905" s="4">
        <v>2012</v>
      </c>
      <c r="E4905" s="4">
        <v>537046.95684612216</v>
      </c>
      <c r="F4905" s="4" t="s">
        <v>29</v>
      </c>
    </row>
    <row r="4906" spans="1:6" x14ac:dyDescent="0.25">
      <c r="A4906" s="4" t="s">
        <v>0</v>
      </c>
      <c r="B4906" s="4" t="s">
        <v>23</v>
      </c>
      <c r="C4906" s="4" t="s">
        <v>35</v>
      </c>
      <c r="D4906" s="4">
        <v>2013</v>
      </c>
      <c r="E4906" s="4">
        <v>575641.28997500683</v>
      </c>
      <c r="F4906" s="4" t="s">
        <v>29</v>
      </c>
    </row>
    <row r="4907" spans="1:6" x14ac:dyDescent="0.25">
      <c r="A4907" s="4" t="s">
        <v>0</v>
      </c>
      <c r="B4907" s="4" t="s">
        <v>23</v>
      </c>
      <c r="C4907" s="4" t="s">
        <v>35</v>
      </c>
      <c r="D4907" s="4">
        <v>2014</v>
      </c>
      <c r="E4907" s="4">
        <v>613070.82869441644</v>
      </c>
      <c r="F4907" s="4" t="s">
        <v>29</v>
      </c>
    </row>
    <row r="4908" spans="1:6" x14ac:dyDescent="0.25">
      <c r="A4908" s="4" t="s">
        <v>0</v>
      </c>
      <c r="B4908" s="4" t="s">
        <v>23</v>
      </c>
      <c r="C4908" s="4" t="s">
        <v>35</v>
      </c>
      <c r="D4908" s="4">
        <v>2015</v>
      </c>
      <c r="E4908" s="4">
        <v>638821.40372138773</v>
      </c>
      <c r="F4908" s="4" t="s">
        <v>29</v>
      </c>
    </row>
    <row r="4909" spans="1:6" x14ac:dyDescent="0.25">
      <c r="A4909" s="4" t="s">
        <v>0</v>
      </c>
      <c r="B4909" s="4" t="s">
        <v>23</v>
      </c>
      <c r="C4909" s="4" t="s">
        <v>35</v>
      </c>
      <c r="D4909" s="4">
        <v>2016</v>
      </c>
      <c r="E4909" s="4">
        <v>636569.01614092244</v>
      </c>
      <c r="F4909" s="4" t="s">
        <v>29</v>
      </c>
    </row>
    <row r="4910" spans="1:6" x14ac:dyDescent="0.25">
      <c r="A4910" s="4" t="s">
        <v>0</v>
      </c>
      <c r="B4910" s="4" t="s">
        <v>23</v>
      </c>
      <c r="C4910" s="4" t="s">
        <v>35</v>
      </c>
      <c r="D4910" s="4">
        <v>2017</v>
      </c>
      <c r="E4910" s="4">
        <v>692670.17989358678</v>
      </c>
      <c r="F4910" s="4" t="s">
        <v>29</v>
      </c>
    </row>
    <row r="4911" spans="1:6" x14ac:dyDescent="0.25">
      <c r="A4911" s="4" t="s">
        <v>0</v>
      </c>
      <c r="B4911" s="4" t="s">
        <v>23</v>
      </c>
      <c r="C4911" s="4" t="s">
        <v>35</v>
      </c>
      <c r="D4911" s="4">
        <v>2018</v>
      </c>
      <c r="E4911" s="4">
        <v>742322.39667839115</v>
      </c>
      <c r="F4911" s="4" t="s">
        <v>29</v>
      </c>
    </row>
    <row r="4912" spans="1:6" x14ac:dyDescent="0.25">
      <c r="A4912" s="4" t="s">
        <v>0</v>
      </c>
      <c r="B4912" s="4" t="s">
        <v>23</v>
      </c>
      <c r="C4912" s="4" t="s">
        <v>35</v>
      </c>
      <c r="D4912" s="4">
        <v>2019</v>
      </c>
      <c r="E4912" s="4">
        <v>767415.48035323317</v>
      </c>
      <c r="F4912" s="4" t="s">
        <v>29</v>
      </c>
    </row>
    <row r="4913" spans="1:6" x14ac:dyDescent="0.25">
      <c r="A4913" s="4" t="s">
        <v>0</v>
      </c>
      <c r="B4913" s="4" t="s">
        <v>23</v>
      </c>
      <c r="C4913" s="4" t="s">
        <v>35</v>
      </c>
      <c r="D4913" s="4">
        <v>2020</v>
      </c>
      <c r="E4913" s="4">
        <v>764777.74686923751</v>
      </c>
      <c r="F4913" s="4" t="s">
        <v>29</v>
      </c>
    </row>
    <row r="4914" spans="1:6" x14ac:dyDescent="0.25">
      <c r="A4914" s="4" t="s">
        <v>0</v>
      </c>
      <c r="B4914" s="4" t="s">
        <v>23</v>
      </c>
      <c r="C4914" s="4" t="s">
        <v>35</v>
      </c>
      <c r="D4914" s="4">
        <v>2021</v>
      </c>
      <c r="E4914" s="4">
        <v>765208.13577337679</v>
      </c>
      <c r="F4914" s="4" t="s">
        <v>29</v>
      </c>
    </row>
    <row r="4915" spans="1:6" x14ac:dyDescent="0.25">
      <c r="A4915" s="4" t="s">
        <v>0</v>
      </c>
      <c r="B4915" s="4" t="s">
        <v>23</v>
      </c>
      <c r="C4915" s="4" t="s">
        <v>35</v>
      </c>
      <c r="D4915" s="4">
        <v>2022</v>
      </c>
      <c r="E4915" s="4">
        <v>754661.92836092226</v>
      </c>
      <c r="F4915" s="4" t="s">
        <v>29</v>
      </c>
    </row>
    <row r="4916" spans="1:6" x14ac:dyDescent="0.25">
      <c r="A4916" s="4" t="s">
        <v>0</v>
      </c>
      <c r="B4916" s="4" t="s">
        <v>23</v>
      </c>
      <c r="C4916" s="4" t="s">
        <v>35</v>
      </c>
      <c r="D4916" s="4">
        <v>2023</v>
      </c>
      <c r="E4916" s="4">
        <v>751502.20021714747</v>
      </c>
      <c r="F4916" s="4" t="s">
        <v>29</v>
      </c>
    </row>
    <row r="4917" spans="1:6" x14ac:dyDescent="0.25">
      <c r="A4917" s="4" t="s">
        <v>0</v>
      </c>
      <c r="B4917" s="4" t="s">
        <v>23</v>
      </c>
      <c r="C4917" s="4" t="s">
        <v>35</v>
      </c>
      <c r="D4917" s="4">
        <v>2024</v>
      </c>
      <c r="E4917" s="4">
        <v>744611.32233230211</v>
      </c>
      <c r="F4917" s="4" t="s">
        <v>29</v>
      </c>
    </row>
    <row r="4918" spans="1:6" x14ac:dyDescent="0.25">
      <c r="A4918" s="4" t="s">
        <v>0</v>
      </c>
      <c r="B4918" s="4" t="s">
        <v>23</v>
      </c>
      <c r="C4918" s="4" t="s">
        <v>35</v>
      </c>
      <c r="D4918" s="4">
        <v>2025</v>
      </c>
      <c r="E4918" s="4">
        <v>735947.35975952051</v>
      </c>
      <c r="F4918" s="4" t="s">
        <v>29</v>
      </c>
    </row>
    <row r="4919" spans="1:6" x14ac:dyDescent="0.25">
      <c r="A4919" s="4" t="s">
        <v>0</v>
      </c>
      <c r="B4919" s="4" t="s">
        <v>23</v>
      </c>
      <c r="C4919" s="4" t="s">
        <v>35</v>
      </c>
      <c r="D4919" s="4">
        <v>2026</v>
      </c>
      <c r="E4919" s="4">
        <v>720385.82904740481</v>
      </c>
      <c r="F4919" s="4" t="s">
        <v>29</v>
      </c>
    </row>
    <row r="4920" spans="1:6" x14ac:dyDescent="0.25">
      <c r="A4920" s="4" t="s">
        <v>0</v>
      </c>
      <c r="B4920" s="4" t="s">
        <v>23</v>
      </c>
      <c r="C4920" s="4" t="s">
        <v>35</v>
      </c>
      <c r="D4920" s="4">
        <v>2027</v>
      </c>
      <c r="E4920" s="4">
        <v>709735.78938619024</v>
      </c>
      <c r="F4920" s="4" t="s">
        <v>29</v>
      </c>
    </row>
    <row r="4921" spans="1:6" x14ac:dyDescent="0.25">
      <c r="A4921" s="4" t="s">
        <v>0</v>
      </c>
      <c r="B4921" s="4" t="s">
        <v>23</v>
      </c>
      <c r="C4921" s="4" t="s">
        <v>35</v>
      </c>
      <c r="D4921" s="4">
        <v>2028</v>
      </c>
      <c r="E4921" s="4">
        <v>699187.08354061458</v>
      </c>
      <c r="F4921" s="4" t="s">
        <v>29</v>
      </c>
    </row>
    <row r="4922" spans="1:6" x14ac:dyDescent="0.25">
      <c r="A4922" s="4" t="s">
        <v>0</v>
      </c>
      <c r="B4922" s="4" t="s">
        <v>23</v>
      </c>
      <c r="C4922" s="4" t="s">
        <v>35</v>
      </c>
      <c r="D4922" s="4">
        <v>2029</v>
      </c>
      <c r="E4922" s="4">
        <v>690241.5331837855</v>
      </c>
      <c r="F4922" s="4" t="s">
        <v>29</v>
      </c>
    </row>
    <row r="4923" spans="1:6" x14ac:dyDescent="0.25">
      <c r="A4923" s="4" t="s">
        <v>0</v>
      </c>
      <c r="B4923" s="4" t="s">
        <v>23</v>
      </c>
      <c r="C4923" s="4" t="s">
        <v>35</v>
      </c>
      <c r="D4923" s="4">
        <v>2030</v>
      </c>
      <c r="E4923" s="4">
        <v>678826.80712645978</v>
      </c>
      <c r="F4923" s="4" t="s">
        <v>29</v>
      </c>
    </row>
    <row r="4924" spans="1:6" x14ac:dyDescent="0.25">
      <c r="A4924" s="4" t="s">
        <v>0</v>
      </c>
      <c r="B4924" s="4" t="s">
        <v>23</v>
      </c>
      <c r="C4924" s="4" t="s">
        <v>35</v>
      </c>
      <c r="D4924" s="4">
        <v>2031</v>
      </c>
      <c r="E4924" s="4">
        <v>666499.81342201075</v>
      </c>
      <c r="F4924" s="4" t="s">
        <v>29</v>
      </c>
    </row>
    <row r="4925" spans="1:6" x14ac:dyDescent="0.25">
      <c r="A4925" s="4" t="s">
        <v>0</v>
      </c>
      <c r="B4925" s="4" t="s">
        <v>23</v>
      </c>
      <c r="C4925" s="4" t="s">
        <v>35</v>
      </c>
      <c r="D4925" s="4">
        <v>2032</v>
      </c>
      <c r="E4925" s="4">
        <v>651884.6287620134</v>
      </c>
      <c r="F4925" s="4" t="s">
        <v>29</v>
      </c>
    </row>
    <row r="4926" spans="1:6" x14ac:dyDescent="0.25">
      <c r="A4926" s="4" t="s">
        <v>0</v>
      </c>
      <c r="B4926" s="4" t="s">
        <v>23</v>
      </c>
      <c r="C4926" s="4" t="s">
        <v>35</v>
      </c>
      <c r="D4926" s="4">
        <v>2033</v>
      </c>
      <c r="E4926" s="4">
        <v>641543.88380147726</v>
      </c>
      <c r="F4926" s="4" t="s">
        <v>29</v>
      </c>
    </row>
    <row r="4927" spans="1:6" x14ac:dyDescent="0.25">
      <c r="A4927" s="4" t="s">
        <v>0</v>
      </c>
      <c r="B4927" s="4" t="s">
        <v>23</v>
      </c>
      <c r="C4927" s="4" t="s">
        <v>35</v>
      </c>
      <c r="D4927" s="4">
        <v>2034</v>
      </c>
      <c r="E4927" s="4">
        <v>631869.77503348526</v>
      </c>
      <c r="F4927" s="4" t="s">
        <v>29</v>
      </c>
    </row>
    <row r="4928" spans="1:6" x14ac:dyDescent="0.25">
      <c r="A4928" s="4" t="s">
        <v>0</v>
      </c>
      <c r="B4928" s="4" t="s">
        <v>23</v>
      </c>
      <c r="C4928" s="4" t="s">
        <v>35</v>
      </c>
      <c r="D4928" s="4">
        <v>2035</v>
      </c>
      <c r="E4928" s="4">
        <v>620662.05376583745</v>
      </c>
      <c r="F4928" s="4" t="s">
        <v>29</v>
      </c>
    </row>
    <row r="4929" spans="1:6" x14ac:dyDescent="0.25">
      <c r="A4929" s="4" t="s">
        <v>0</v>
      </c>
      <c r="B4929" s="4" t="s">
        <v>23</v>
      </c>
      <c r="C4929" s="4" t="s">
        <v>35</v>
      </c>
      <c r="D4929" s="4">
        <v>2036</v>
      </c>
      <c r="E4929" s="4">
        <v>607746.2043976502</v>
      </c>
      <c r="F4929" s="4" t="s">
        <v>29</v>
      </c>
    </row>
    <row r="4930" spans="1:6" x14ac:dyDescent="0.25">
      <c r="A4930" s="4" t="s">
        <v>0</v>
      </c>
      <c r="B4930" s="4" t="s">
        <v>23</v>
      </c>
      <c r="C4930" s="4" t="s">
        <v>35</v>
      </c>
      <c r="D4930" s="4">
        <v>2037</v>
      </c>
      <c r="E4930" s="4">
        <v>596164.82420506317</v>
      </c>
      <c r="F4930" s="4" t="s">
        <v>29</v>
      </c>
    </row>
    <row r="4931" spans="1:6" x14ac:dyDescent="0.25">
      <c r="A4931" s="4" t="s">
        <v>0</v>
      </c>
      <c r="B4931" s="4" t="s">
        <v>23</v>
      </c>
      <c r="C4931" s="4" t="s">
        <v>35</v>
      </c>
      <c r="D4931" s="4">
        <v>2038</v>
      </c>
      <c r="E4931" s="4">
        <v>583223.61273526947</v>
      </c>
      <c r="F4931" s="4" t="s">
        <v>29</v>
      </c>
    </row>
    <row r="4932" spans="1:6" x14ac:dyDescent="0.25">
      <c r="A4932" s="4" t="s">
        <v>0</v>
      </c>
      <c r="B4932" s="4" t="s">
        <v>23</v>
      </c>
      <c r="C4932" s="4" t="s">
        <v>35</v>
      </c>
      <c r="D4932" s="4">
        <v>2039</v>
      </c>
      <c r="E4932" s="4">
        <v>569962.23172163975</v>
      </c>
      <c r="F4932" s="4" t="s">
        <v>29</v>
      </c>
    </row>
    <row r="4933" spans="1:6" x14ac:dyDescent="0.25">
      <c r="A4933" s="4" t="s">
        <v>0</v>
      </c>
      <c r="B4933" s="4" t="s">
        <v>23</v>
      </c>
      <c r="C4933" s="4" t="s">
        <v>35</v>
      </c>
      <c r="D4933" s="4">
        <v>2040</v>
      </c>
      <c r="E4933" s="4">
        <v>557330.94105888146</v>
      </c>
      <c r="F4933" s="4" t="s">
        <v>29</v>
      </c>
    </row>
    <row r="4934" spans="1:6" x14ac:dyDescent="0.25">
      <c r="A4934" s="4" t="s">
        <v>73</v>
      </c>
      <c r="B4934" s="4" t="s">
        <v>1</v>
      </c>
      <c r="C4934" s="4" t="s">
        <v>35</v>
      </c>
      <c r="D4934" s="4">
        <v>2005</v>
      </c>
      <c r="E4934" s="4">
        <v>4645.0814215309774</v>
      </c>
      <c r="F4934" s="4" t="s">
        <v>29</v>
      </c>
    </row>
    <row r="4935" spans="1:6" x14ac:dyDescent="0.25">
      <c r="A4935" s="4" t="s">
        <v>73</v>
      </c>
      <c r="B4935" s="4" t="s">
        <v>1</v>
      </c>
      <c r="C4935" s="4" t="s">
        <v>35</v>
      </c>
      <c r="D4935" s="4">
        <v>2006</v>
      </c>
      <c r="E4935" s="4">
        <v>4506.6333115719408</v>
      </c>
      <c r="F4935" s="4" t="s">
        <v>29</v>
      </c>
    </row>
    <row r="4936" spans="1:6" x14ac:dyDescent="0.25">
      <c r="A4936" s="4" t="s">
        <v>73</v>
      </c>
      <c r="B4936" s="4" t="s">
        <v>1</v>
      </c>
      <c r="C4936" s="4" t="s">
        <v>35</v>
      </c>
      <c r="D4936" s="4">
        <v>2007</v>
      </c>
      <c r="E4936" s="4">
        <v>4045.0273214285717</v>
      </c>
      <c r="F4936" s="4" t="s">
        <v>29</v>
      </c>
    </row>
    <row r="4937" spans="1:6" x14ac:dyDescent="0.25">
      <c r="A4937" s="4" t="s">
        <v>73</v>
      </c>
      <c r="B4937" s="4" t="s">
        <v>1</v>
      </c>
      <c r="C4937" s="4" t="s">
        <v>35</v>
      </c>
      <c r="D4937" s="4">
        <v>2008</v>
      </c>
      <c r="E4937" s="4">
        <v>3676.5833333333326</v>
      </c>
      <c r="F4937" s="4" t="s">
        <v>29</v>
      </c>
    </row>
    <row r="4938" spans="1:6" x14ac:dyDescent="0.25">
      <c r="A4938" s="4" t="s">
        <v>73</v>
      </c>
      <c r="B4938" s="4" t="s">
        <v>1</v>
      </c>
      <c r="C4938" s="4" t="s">
        <v>35</v>
      </c>
      <c r="D4938" s="4">
        <v>2009</v>
      </c>
      <c r="E4938" s="4">
        <v>3498.2216820276499</v>
      </c>
      <c r="F4938" s="4" t="s">
        <v>29</v>
      </c>
    </row>
    <row r="4939" spans="1:6" x14ac:dyDescent="0.25">
      <c r="A4939" s="4" t="s">
        <v>73</v>
      </c>
      <c r="B4939" s="4" t="s">
        <v>1</v>
      </c>
      <c r="C4939" s="4" t="s">
        <v>35</v>
      </c>
      <c r="D4939" s="4">
        <v>2010</v>
      </c>
      <c r="E4939" s="4">
        <v>3464.9128584229393</v>
      </c>
      <c r="F4939" s="4" t="s">
        <v>29</v>
      </c>
    </row>
    <row r="4940" spans="1:6" x14ac:dyDescent="0.25">
      <c r="A4940" s="4" t="s">
        <v>73</v>
      </c>
      <c r="B4940" s="4" t="s">
        <v>1</v>
      </c>
      <c r="C4940" s="4" t="s">
        <v>35</v>
      </c>
      <c r="D4940" s="4">
        <v>2011</v>
      </c>
      <c r="E4940" s="4">
        <v>3237.5430209933434</v>
      </c>
      <c r="F4940" s="4" t="s">
        <v>29</v>
      </c>
    </row>
    <row r="4941" spans="1:6" x14ac:dyDescent="0.25">
      <c r="A4941" s="4" t="s">
        <v>73</v>
      </c>
      <c r="B4941" s="4" t="s">
        <v>1</v>
      </c>
      <c r="C4941" s="4" t="s">
        <v>35</v>
      </c>
      <c r="D4941" s="4">
        <v>2012</v>
      </c>
      <c r="E4941" s="4">
        <v>3325.7563966135208</v>
      </c>
      <c r="F4941" s="4" t="s">
        <v>29</v>
      </c>
    </row>
    <row r="4942" spans="1:6" x14ac:dyDescent="0.25">
      <c r="A4942" s="4" t="s">
        <v>73</v>
      </c>
      <c r="B4942" s="4" t="s">
        <v>1</v>
      </c>
      <c r="C4942" s="4" t="s">
        <v>35</v>
      </c>
      <c r="D4942" s="4">
        <v>2013</v>
      </c>
      <c r="E4942" s="4">
        <v>3123.6676024065546</v>
      </c>
      <c r="F4942" s="4" t="s">
        <v>29</v>
      </c>
    </row>
    <row r="4943" spans="1:6" x14ac:dyDescent="0.25">
      <c r="A4943" s="4" t="s">
        <v>73</v>
      </c>
      <c r="B4943" s="4" t="s">
        <v>1</v>
      </c>
      <c r="C4943" s="4" t="s">
        <v>35</v>
      </c>
      <c r="D4943" s="4">
        <v>2014</v>
      </c>
      <c r="E4943" s="4">
        <v>3412.9239823348694</v>
      </c>
      <c r="F4943" s="4" t="s">
        <v>29</v>
      </c>
    </row>
    <row r="4944" spans="1:6" x14ac:dyDescent="0.25">
      <c r="A4944" s="4" t="s">
        <v>73</v>
      </c>
      <c r="B4944" s="4" t="s">
        <v>1</v>
      </c>
      <c r="C4944" s="4" t="s">
        <v>35</v>
      </c>
      <c r="D4944" s="4">
        <v>2015</v>
      </c>
      <c r="E4944" s="4">
        <v>3376.5470302099329</v>
      </c>
      <c r="F4944" s="4" t="s">
        <v>29</v>
      </c>
    </row>
    <row r="4945" spans="1:6" x14ac:dyDescent="0.25">
      <c r="A4945" s="4" t="s">
        <v>73</v>
      </c>
      <c r="B4945" s="4" t="s">
        <v>1</v>
      </c>
      <c r="C4945" s="4" t="s">
        <v>35</v>
      </c>
      <c r="D4945" s="4">
        <v>2016</v>
      </c>
      <c r="E4945" s="4">
        <v>3694.2616858237539</v>
      </c>
      <c r="F4945" s="4" t="s">
        <v>29</v>
      </c>
    </row>
    <row r="4946" spans="1:6" x14ac:dyDescent="0.25">
      <c r="A4946" s="4" t="s">
        <v>73</v>
      </c>
      <c r="B4946" s="4" t="s">
        <v>1</v>
      </c>
      <c r="C4946" s="4" t="s">
        <v>35</v>
      </c>
      <c r="D4946" s="4">
        <v>2017</v>
      </c>
      <c r="E4946" s="4">
        <v>3350.1810418182517</v>
      </c>
      <c r="F4946" s="4" t="s">
        <v>29</v>
      </c>
    </row>
    <row r="4947" spans="1:6" x14ac:dyDescent="0.25">
      <c r="A4947" s="4" t="s">
        <v>73</v>
      </c>
      <c r="B4947" s="4" t="s">
        <v>1</v>
      </c>
      <c r="C4947" s="4" t="s">
        <v>35</v>
      </c>
      <c r="D4947" s="4">
        <v>2018</v>
      </c>
      <c r="E4947" s="4">
        <v>3193.7103885634206</v>
      </c>
      <c r="F4947" s="4" t="s">
        <v>29</v>
      </c>
    </row>
    <row r="4948" spans="1:6" x14ac:dyDescent="0.25">
      <c r="A4948" s="4" t="s">
        <v>73</v>
      </c>
      <c r="B4948" s="4" t="s">
        <v>1</v>
      </c>
      <c r="C4948" s="4" t="s">
        <v>35</v>
      </c>
      <c r="D4948" s="4">
        <v>2019</v>
      </c>
      <c r="E4948" s="4">
        <v>2945.2426805345417</v>
      </c>
      <c r="F4948" s="4" t="s">
        <v>29</v>
      </c>
    </row>
    <row r="4949" spans="1:6" x14ac:dyDescent="0.25">
      <c r="A4949" s="4" t="s">
        <v>73</v>
      </c>
      <c r="B4949" s="4" t="s">
        <v>1</v>
      </c>
      <c r="C4949" s="4" t="s">
        <v>35</v>
      </c>
      <c r="D4949" s="4">
        <v>2020</v>
      </c>
      <c r="E4949" s="4">
        <v>2623.0590390534671</v>
      </c>
      <c r="F4949" s="4" t="s">
        <v>29</v>
      </c>
    </row>
    <row r="4950" spans="1:6" x14ac:dyDescent="0.25">
      <c r="A4950" s="4" t="s">
        <v>73</v>
      </c>
      <c r="B4950" s="4" t="s">
        <v>1</v>
      </c>
      <c r="C4950" s="4" t="s">
        <v>35</v>
      </c>
      <c r="D4950" s="4">
        <v>2021</v>
      </c>
      <c r="E4950" s="4">
        <v>2380.6574350443557</v>
      </c>
      <c r="F4950" s="4" t="s">
        <v>29</v>
      </c>
    </row>
    <row r="4951" spans="1:6" x14ac:dyDescent="0.25">
      <c r="A4951" s="4" t="s">
        <v>73</v>
      </c>
      <c r="B4951" s="4" t="s">
        <v>1</v>
      </c>
      <c r="C4951" s="4" t="s">
        <v>35</v>
      </c>
      <c r="D4951" s="4">
        <v>2022</v>
      </c>
      <c r="E4951" s="4">
        <v>2188.250886059257</v>
      </c>
      <c r="F4951" s="4" t="s">
        <v>29</v>
      </c>
    </row>
    <row r="4952" spans="1:6" x14ac:dyDescent="0.25">
      <c r="A4952" s="4" t="s">
        <v>73</v>
      </c>
      <c r="B4952" s="4" t="s">
        <v>1</v>
      </c>
      <c r="C4952" s="4" t="s">
        <v>35</v>
      </c>
      <c r="D4952" s="4">
        <v>2023</v>
      </c>
      <c r="E4952" s="4">
        <v>2056.1339152242099</v>
      </c>
      <c r="F4952" s="4" t="s">
        <v>29</v>
      </c>
    </row>
    <row r="4953" spans="1:6" x14ac:dyDescent="0.25">
      <c r="A4953" s="4" t="s">
        <v>73</v>
      </c>
      <c r="B4953" s="4" t="s">
        <v>1</v>
      </c>
      <c r="C4953" s="4" t="s">
        <v>35</v>
      </c>
      <c r="D4953" s="4">
        <v>2024</v>
      </c>
      <c r="E4953" s="4">
        <v>1980.8565770867169</v>
      </c>
      <c r="F4953" s="4" t="s">
        <v>29</v>
      </c>
    </row>
    <row r="4954" spans="1:6" x14ac:dyDescent="0.25">
      <c r="A4954" s="4" t="s">
        <v>73</v>
      </c>
      <c r="B4954" s="4" t="s">
        <v>1</v>
      </c>
      <c r="C4954" s="4" t="s">
        <v>35</v>
      </c>
      <c r="D4954" s="4">
        <v>2025</v>
      </c>
      <c r="E4954" s="4">
        <v>1941.8145226235265</v>
      </c>
      <c r="F4954" s="4" t="s">
        <v>29</v>
      </c>
    </row>
    <row r="4955" spans="1:6" x14ac:dyDescent="0.25">
      <c r="A4955" s="4" t="s">
        <v>73</v>
      </c>
      <c r="B4955" s="4" t="s">
        <v>1</v>
      </c>
      <c r="C4955" s="4" t="s">
        <v>35</v>
      </c>
      <c r="D4955" s="4">
        <v>2026</v>
      </c>
      <c r="E4955" s="4">
        <v>1909.275043037796</v>
      </c>
      <c r="F4955" s="4" t="s">
        <v>29</v>
      </c>
    </row>
    <row r="4956" spans="1:6" x14ac:dyDescent="0.25">
      <c r="A4956" s="4" t="s">
        <v>73</v>
      </c>
      <c r="B4956" s="4" t="s">
        <v>1</v>
      </c>
      <c r="C4956" s="4" t="s">
        <v>35</v>
      </c>
      <c r="D4956" s="4">
        <v>2027</v>
      </c>
      <c r="E4956" s="4">
        <v>1890.127959342992</v>
      </c>
      <c r="F4956" s="4" t="s">
        <v>29</v>
      </c>
    </row>
    <row r="4957" spans="1:6" x14ac:dyDescent="0.25">
      <c r="A4957" s="4" t="s">
        <v>73</v>
      </c>
      <c r="B4957" s="4" t="s">
        <v>1</v>
      </c>
      <c r="C4957" s="4" t="s">
        <v>35</v>
      </c>
      <c r="D4957" s="4">
        <v>2028</v>
      </c>
      <c r="E4957" s="4">
        <v>1882.5255605867826</v>
      </c>
      <c r="F4957" s="4" t="s">
        <v>29</v>
      </c>
    </row>
    <row r="4958" spans="1:6" x14ac:dyDescent="0.25">
      <c r="A4958" s="4" t="s">
        <v>73</v>
      </c>
      <c r="B4958" s="4" t="s">
        <v>1</v>
      </c>
      <c r="C4958" s="4" t="s">
        <v>35</v>
      </c>
      <c r="D4958" s="4">
        <v>2029</v>
      </c>
      <c r="E4958" s="4">
        <v>1880.9252437210739</v>
      </c>
      <c r="F4958" s="4" t="s">
        <v>29</v>
      </c>
    </row>
    <row r="4959" spans="1:6" x14ac:dyDescent="0.25">
      <c r="A4959" s="4" t="s">
        <v>73</v>
      </c>
      <c r="B4959" s="4" t="s">
        <v>1</v>
      </c>
      <c r="C4959" s="4" t="s">
        <v>35</v>
      </c>
      <c r="D4959" s="4">
        <v>2030</v>
      </c>
      <c r="E4959" s="4">
        <v>1883.239166183901</v>
      </c>
      <c r="F4959" s="4" t="s">
        <v>29</v>
      </c>
    </row>
    <row r="4960" spans="1:6" x14ac:dyDescent="0.25">
      <c r="A4960" s="4" t="s">
        <v>73</v>
      </c>
      <c r="B4960" s="4" t="s">
        <v>1</v>
      </c>
      <c r="C4960" s="4" t="s">
        <v>35</v>
      </c>
      <c r="D4960" s="4">
        <v>2031</v>
      </c>
      <c r="E4960" s="4">
        <v>1889.2907699247216</v>
      </c>
      <c r="F4960" s="4" t="s">
        <v>29</v>
      </c>
    </row>
    <row r="4961" spans="1:6" x14ac:dyDescent="0.25">
      <c r="A4961" s="4" t="s">
        <v>73</v>
      </c>
      <c r="B4961" s="4" t="s">
        <v>1</v>
      </c>
      <c r="C4961" s="4" t="s">
        <v>35</v>
      </c>
      <c r="D4961" s="4">
        <v>2032</v>
      </c>
      <c r="E4961" s="4">
        <v>1900.2380151539787</v>
      </c>
      <c r="F4961" s="4" t="s">
        <v>29</v>
      </c>
    </row>
    <row r="4962" spans="1:6" x14ac:dyDescent="0.25">
      <c r="A4962" s="4" t="s">
        <v>73</v>
      </c>
      <c r="B4962" s="4" t="s">
        <v>1</v>
      </c>
      <c r="C4962" s="4" t="s">
        <v>35</v>
      </c>
      <c r="D4962" s="4">
        <v>2033</v>
      </c>
      <c r="E4962" s="4">
        <v>1915.8450262998026</v>
      </c>
      <c r="F4962" s="4" t="s">
        <v>29</v>
      </c>
    </row>
    <row r="4963" spans="1:6" x14ac:dyDescent="0.25">
      <c r="A4963" s="4" t="s">
        <v>73</v>
      </c>
      <c r="B4963" s="4" t="s">
        <v>1</v>
      </c>
      <c r="C4963" s="4" t="s">
        <v>35</v>
      </c>
      <c r="D4963" s="4">
        <v>2034</v>
      </c>
      <c r="E4963" s="4">
        <v>1935.8967264631342</v>
      </c>
      <c r="F4963" s="4" t="s">
        <v>29</v>
      </c>
    </row>
    <row r="4964" spans="1:6" x14ac:dyDescent="0.25">
      <c r="A4964" s="4" t="s">
        <v>73</v>
      </c>
      <c r="B4964" s="4" t="s">
        <v>1</v>
      </c>
      <c r="C4964" s="4" t="s">
        <v>35</v>
      </c>
      <c r="D4964" s="4">
        <v>2035</v>
      </c>
      <c r="E4964" s="4">
        <v>1956.3420160638423</v>
      </c>
      <c r="F4964" s="4" t="s">
        <v>29</v>
      </c>
    </row>
    <row r="4965" spans="1:6" x14ac:dyDescent="0.25">
      <c r="A4965" s="4" t="s">
        <v>73</v>
      </c>
      <c r="B4965" s="4" t="s">
        <v>1</v>
      </c>
      <c r="C4965" s="4" t="s">
        <v>35</v>
      </c>
      <c r="D4965" s="4">
        <v>2036</v>
      </c>
      <c r="E4965" s="4">
        <v>1977.342150315686</v>
      </c>
      <c r="F4965" s="4" t="s">
        <v>29</v>
      </c>
    </row>
    <row r="4966" spans="1:6" x14ac:dyDescent="0.25">
      <c r="A4966" s="4" t="s">
        <v>73</v>
      </c>
      <c r="B4966" s="4" t="s">
        <v>1</v>
      </c>
      <c r="C4966" s="4" t="s">
        <v>35</v>
      </c>
      <c r="D4966" s="4">
        <v>2037</v>
      </c>
      <c r="E4966" s="4">
        <v>2005.6976573321042</v>
      </c>
      <c r="F4966" s="4" t="s">
        <v>29</v>
      </c>
    </row>
    <row r="4967" spans="1:6" x14ac:dyDescent="0.25">
      <c r="A4967" s="4" t="s">
        <v>73</v>
      </c>
      <c r="B4967" s="4" t="s">
        <v>1</v>
      </c>
      <c r="C4967" s="4" t="s">
        <v>35</v>
      </c>
      <c r="D4967" s="4">
        <v>2038</v>
      </c>
      <c r="E4967" s="4">
        <v>2037.6106780987093</v>
      </c>
      <c r="F4967" s="4" t="s">
        <v>29</v>
      </c>
    </row>
    <row r="4968" spans="1:6" x14ac:dyDescent="0.25">
      <c r="A4968" s="4" t="s">
        <v>73</v>
      </c>
      <c r="B4968" s="4" t="s">
        <v>1</v>
      </c>
      <c r="C4968" s="4" t="s">
        <v>35</v>
      </c>
      <c r="D4968" s="4">
        <v>2039</v>
      </c>
      <c r="E4968" s="4">
        <v>2072.3911904374609</v>
      </c>
      <c r="F4968" s="4" t="s">
        <v>29</v>
      </c>
    </row>
    <row r="4969" spans="1:6" x14ac:dyDescent="0.25">
      <c r="A4969" s="4" t="s">
        <v>73</v>
      </c>
      <c r="B4969" s="4" t="s">
        <v>1</v>
      </c>
      <c r="C4969" s="4" t="s">
        <v>35</v>
      </c>
      <c r="D4969" s="4">
        <v>2040</v>
      </c>
      <c r="E4969" s="4">
        <v>2111.007285839657</v>
      </c>
      <c r="F4969" s="4" t="s">
        <v>29</v>
      </c>
    </row>
    <row r="4970" spans="1:6" x14ac:dyDescent="0.25">
      <c r="A4970" s="4" t="s">
        <v>73</v>
      </c>
      <c r="B4970" s="4" t="s">
        <v>2</v>
      </c>
      <c r="C4970" s="4" t="s">
        <v>35</v>
      </c>
      <c r="D4970" s="4">
        <v>2005</v>
      </c>
      <c r="E4970" s="4">
        <v>0</v>
      </c>
      <c r="F4970" s="4" t="s">
        <v>29</v>
      </c>
    </row>
    <row r="4971" spans="1:6" x14ac:dyDescent="0.25">
      <c r="A4971" s="4" t="s">
        <v>73</v>
      </c>
      <c r="B4971" s="4" t="s">
        <v>2</v>
      </c>
      <c r="C4971" s="4" t="s">
        <v>35</v>
      </c>
      <c r="D4971" s="4">
        <v>2006</v>
      </c>
      <c r="E4971" s="4">
        <v>0</v>
      </c>
      <c r="F4971" s="4" t="s">
        <v>29</v>
      </c>
    </row>
    <row r="4972" spans="1:6" x14ac:dyDescent="0.25">
      <c r="A4972" s="4" t="s">
        <v>73</v>
      </c>
      <c r="B4972" s="4" t="s">
        <v>2</v>
      </c>
      <c r="C4972" s="4" t="s">
        <v>35</v>
      </c>
      <c r="D4972" s="4">
        <v>2007</v>
      </c>
      <c r="E4972" s="4">
        <v>0</v>
      </c>
      <c r="F4972" s="4" t="s">
        <v>29</v>
      </c>
    </row>
    <row r="4973" spans="1:6" x14ac:dyDescent="0.25">
      <c r="A4973" s="4" t="s">
        <v>73</v>
      </c>
      <c r="B4973" s="4" t="s">
        <v>2</v>
      </c>
      <c r="C4973" s="4" t="s">
        <v>35</v>
      </c>
      <c r="D4973" s="4">
        <v>2008</v>
      </c>
      <c r="E4973" s="4">
        <v>0</v>
      </c>
      <c r="F4973" s="4" t="s">
        <v>29</v>
      </c>
    </row>
    <row r="4974" spans="1:6" x14ac:dyDescent="0.25">
      <c r="A4974" s="4" t="s">
        <v>73</v>
      </c>
      <c r="B4974" s="4" t="s">
        <v>2</v>
      </c>
      <c r="C4974" s="4" t="s">
        <v>35</v>
      </c>
      <c r="D4974" s="4">
        <v>2009</v>
      </c>
      <c r="E4974" s="4">
        <v>0</v>
      </c>
      <c r="F4974" s="4" t="s">
        <v>29</v>
      </c>
    </row>
    <row r="4975" spans="1:6" x14ac:dyDescent="0.25">
      <c r="A4975" s="4" t="s">
        <v>73</v>
      </c>
      <c r="B4975" s="4" t="s">
        <v>2</v>
      </c>
      <c r="C4975" s="4" t="s">
        <v>35</v>
      </c>
      <c r="D4975" s="4">
        <v>2010</v>
      </c>
      <c r="E4975" s="4">
        <v>0</v>
      </c>
      <c r="F4975" s="4" t="s">
        <v>29</v>
      </c>
    </row>
    <row r="4976" spans="1:6" x14ac:dyDescent="0.25">
      <c r="A4976" s="4" t="s">
        <v>73</v>
      </c>
      <c r="B4976" s="4" t="s">
        <v>2</v>
      </c>
      <c r="C4976" s="4" t="s">
        <v>35</v>
      </c>
      <c r="D4976" s="4">
        <v>2011</v>
      </c>
      <c r="E4976" s="4">
        <v>0</v>
      </c>
      <c r="F4976" s="4" t="s">
        <v>29</v>
      </c>
    </row>
    <row r="4977" spans="1:6" x14ac:dyDescent="0.25">
      <c r="A4977" s="4" t="s">
        <v>73</v>
      </c>
      <c r="B4977" s="4" t="s">
        <v>2</v>
      </c>
      <c r="C4977" s="4" t="s">
        <v>35</v>
      </c>
      <c r="D4977" s="4">
        <v>2012</v>
      </c>
      <c r="E4977" s="4">
        <v>0</v>
      </c>
      <c r="F4977" s="4" t="s">
        <v>29</v>
      </c>
    </row>
    <row r="4978" spans="1:6" x14ac:dyDescent="0.25">
      <c r="A4978" s="4" t="s">
        <v>73</v>
      </c>
      <c r="B4978" s="4" t="s">
        <v>2</v>
      </c>
      <c r="C4978" s="4" t="s">
        <v>35</v>
      </c>
      <c r="D4978" s="4">
        <v>2013</v>
      </c>
      <c r="E4978" s="4">
        <v>0</v>
      </c>
      <c r="F4978" s="4" t="s">
        <v>29</v>
      </c>
    </row>
    <row r="4979" spans="1:6" x14ac:dyDescent="0.25">
      <c r="A4979" s="4" t="s">
        <v>73</v>
      </c>
      <c r="B4979" s="4" t="s">
        <v>2</v>
      </c>
      <c r="C4979" s="4" t="s">
        <v>35</v>
      </c>
      <c r="D4979" s="4">
        <v>2014</v>
      </c>
      <c r="E4979" s="4">
        <v>0</v>
      </c>
      <c r="F4979" s="4" t="s">
        <v>29</v>
      </c>
    </row>
    <row r="4980" spans="1:6" x14ac:dyDescent="0.25">
      <c r="A4980" s="4" t="s">
        <v>73</v>
      </c>
      <c r="B4980" s="4" t="s">
        <v>2</v>
      </c>
      <c r="C4980" s="4" t="s">
        <v>35</v>
      </c>
      <c r="D4980" s="4">
        <v>2015</v>
      </c>
      <c r="E4980" s="4">
        <v>0</v>
      </c>
      <c r="F4980" s="4" t="s">
        <v>29</v>
      </c>
    </row>
    <row r="4981" spans="1:6" x14ac:dyDescent="0.25">
      <c r="A4981" s="4" t="s">
        <v>73</v>
      </c>
      <c r="B4981" s="4" t="s">
        <v>2</v>
      </c>
      <c r="C4981" s="4" t="s">
        <v>35</v>
      </c>
      <c r="D4981" s="4">
        <v>2016</v>
      </c>
      <c r="E4981" s="4">
        <v>0</v>
      </c>
      <c r="F4981" s="4" t="s">
        <v>29</v>
      </c>
    </row>
    <row r="4982" spans="1:6" x14ac:dyDescent="0.25">
      <c r="A4982" s="4" t="s">
        <v>73</v>
      </c>
      <c r="B4982" s="4" t="s">
        <v>2</v>
      </c>
      <c r="C4982" s="4" t="s">
        <v>35</v>
      </c>
      <c r="D4982" s="4">
        <v>2017</v>
      </c>
      <c r="E4982" s="4">
        <v>0</v>
      </c>
      <c r="F4982" s="4" t="s">
        <v>29</v>
      </c>
    </row>
    <row r="4983" spans="1:6" x14ac:dyDescent="0.25">
      <c r="A4983" s="4" t="s">
        <v>73</v>
      </c>
      <c r="B4983" s="4" t="s">
        <v>2</v>
      </c>
      <c r="C4983" s="4" t="s">
        <v>35</v>
      </c>
      <c r="D4983" s="4">
        <v>2018</v>
      </c>
      <c r="E4983" s="4">
        <v>0</v>
      </c>
      <c r="F4983" s="4" t="s">
        <v>29</v>
      </c>
    </row>
    <row r="4984" spans="1:6" x14ac:dyDescent="0.25">
      <c r="A4984" s="4" t="s">
        <v>73</v>
      </c>
      <c r="B4984" s="4" t="s">
        <v>2</v>
      </c>
      <c r="C4984" s="4" t="s">
        <v>35</v>
      </c>
      <c r="D4984" s="4">
        <v>2019</v>
      </c>
      <c r="E4984" s="4">
        <v>0</v>
      </c>
      <c r="F4984" s="4" t="s">
        <v>29</v>
      </c>
    </row>
    <row r="4985" spans="1:6" x14ac:dyDescent="0.25">
      <c r="A4985" s="4" t="s">
        <v>73</v>
      </c>
      <c r="B4985" s="4" t="s">
        <v>2</v>
      </c>
      <c r="C4985" s="4" t="s">
        <v>35</v>
      </c>
      <c r="D4985" s="4">
        <v>2020</v>
      </c>
      <c r="E4985" s="4">
        <v>0</v>
      </c>
      <c r="F4985" s="4" t="s">
        <v>29</v>
      </c>
    </row>
    <row r="4986" spans="1:6" x14ac:dyDescent="0.25">
      <c r="A4986" s="4" t="s">
        <v>73</v>
      </c>
      <c r="B4986" s="4" t="s">
        <v>2</v>
      </c>
      <c r="C4986" s="4" t="s">
        <v>35</v>
      </c>
      <c r="D4986" s="4">
        <v>2021</v>
      </c>
      <c r="E4986" s="4">
        <v>0</v>
      </c>
      <c r="F4986" s="4" t="s">
        <v>29</v>
      </c>
    </row>
    <row r="4987" spans="1:6" x14ac:dyDescent="0.25">
      <c r="A4987" s="4" t="s">
        <v>73</v>
      </c>
      <c r="B4987" s="4" t="s">
        <v>2</v>
      </c>
      <c r="C4987" s="4" t="s">
        <v>35</v>
      </c>
      <c r="D4987" s="4">
        <v>2022</v>
      </c>
      <c r="E4987" s="4">
        <v>0</v>
      </c>
      <c r="F4987" s="4" t="s">
        <v>29</v>
      </c>
    </row>
    <row r="4988" spans="1:6" x14ac:dyDescent="0.25">
      <c r="A4988" s="4" t="s">
        <v>73</v>
      </c>
      <c r="B4988" s="4" t="s">
        <v>2</v>
      </c>
      <c r="C4988" s="4" t="s">
        <v>35</v>
      </c>
      <c r="D4988" s="4">
        <v>2023</v>
      </c>
      <c r="E4988" s="4">
        <v>0</v>
      </c>
      <c r="F4988" s="4" t="s">
        <v>29</v>
      </c>
    </row>
    <row r="4989" spans="1:6" x14ac:dyDescent="0.25">
      <c r="A4989" s="4" t="s">
        <v>73</v>
      </c>
      <c r="B4989" s="4" t="s">
        <v>2</v>
      </c>
      <c r="C4989" s="4" t="s">
        <v>35</v>
      </c>
      <c r="D4989" s="4">
        <v>2024</v>
      </c>
      <c r="E4989" s="4">
        <v>0</v>
      </c>
      <c r="F4989" s="4" t="s">
        <v>29</v>
      </c>
    </row>
    <row r="4990" spans="1:6" x14ac:dyDescent="0.25">
      <c r="A4990" s="4" t="s">
        <v>73</v>
      </c>
      <c r="B4990" s="4" t="s">
        <v>2</v>
      </c>
      <c r="C4990" s="4" t="s">
        <v>35</v>
      </c>
      <c r="D4990" s="4">
        <v>2025</v>
      </c>
      <c r="E4990" s="4">
        <v>0</v>
      </c>
      <c r="F4990" s="4" t="s">
        <v>29</v>
      </c>
    </row>
    <row r="4991" spans="1:6" x14ac:dyDescent="0.25">
      <c r="A4991" s="4" t="s">
        <v>73</v>
      </c>
      <c r="B4991" s="4" t="s">
        <v>2</v>
      </c>
      <c r="C4991" s="4" t="s">
        <v>35</v>
      </c>
      <c r="D4991" s="4">
        <v>2026</v>
      </c>
      <c r="E4991" s="4">
        <v>0</v>
      </c>
      <c r="F4991" s="4" t="s">
        <v>29</v>
      </c>
    </row>
    <row r="4992" spans="1:6" x14ac:dyDescent="0.25">
      <c r="A4992" s="4" t="s">
        <v>73</v>
      </c>
      <c r="B4992" s="4" t="s">
        <v>2</v>
      </c>
      <c r="C4992" s="4" t="s">
        <v>35</v>
      </c>
      <c r="D4992" s="4">
        <v>2027</v>
      </c>
      <c r="E4992" s="4">
        <v>0</v>
      </c>
      <c r="F4992" s="4" t="s">
        <v>29</v>
      </c>
    </row>
    <row r="4993" spans="1:6" x14ac:dyDescent="0.25">
      <c r="A4993" s="4" t="s">
        <v>73</v>
      </c>
      <c r="B4993" s="4" t="s">
        <v>2</v>
      </c>
      <c r="C4993" s="4" t="s">
        <v>35</v>
      </c>
      <c r="D4993" s="4">
        <v>2028</v>
      </c>
      <c r="E4993" s="4">
        <v>0</v>
      </c>
      <c r="F4993" s="4" t="s">
        <v>29</v>
      </c>
    </row>
    <row r="4994" spans="1:6" x14ac:dyDescent="0.25">
      <c r="A4994" s="4" t="s">
        <v>73</v>
      </c>
      <c r="B4994" s="4" t="s">
        <v>2</v>
      </c>
      <c r="C4994" s="4" t="s">
        <v>35</v>
      </c>
      <c r="D4994" s="4">
        <v>2029</v>
      </c>
      <c r="E4994" s="4">
        <v>0</v>
      </c>
      <c r="F4994" s="4" t="s">
        <v>29</v>
      </c>
    </row>
    <row r="4995" spans="1:6" x14ac:dyDescent="0.25">
      <c r="A4995" s="4" t="s">
        <v>73</v>
      </c>
      <c r="B4995" s="4" t="s">
        <v>2</v>
      </c>
      <c r="C4995" s="4" t="s">
        <v>35</v>
      </c>
      <c r="D4995" s="4">
        <v>2030</v>
      </c>
      <c r="E4995" s="4">
        <v>0</v>
      </c>
      <c r="F4995" s="4" t="s">
        <v>29</v>
      </c>
    </row>
    <row r="4996" spans="1:6" x14ac:dyDescent="0.25">
      <c r="A4996" s="4" t="s">
        <v>73</v>
      </c>
      <c r="B4996" s="4" t="s">
        <v>2</v>
      </c>
      <c r="C4996" s="4" t="s">
        <v>35</v>
      </c>
      <c r="D4996" s="4">
        <v>2031</v>
      </c>
      <c r="E4996" s="4">
        <v>0</v>
      </c>
      <c r="F4996" s="4" t="s">
        <v>29</v>
      </c>
    </row>
    <row r="4997" spans="1:6" x14ac:dyDescent="0.25">
      <c r="A4997" s="4" t="s">
        <v>73</v>
      </c>
      <c r="B4997" s="4" t="s">
        <v>2</v>
      </c>
      <c r="C4997" s="4" t="s">
        <v>35</v>
      </c>
      <c r="D4997" s="4">
        <v>2032</v>
      </c>
      <c r="E4997" s="4">
        <v>0</v>
      </c>
      <c r="F4997" s="4" t="s">
        <v>29</v>
      </c>
    </row>
    <row r="4998" spans="1:6" x14ac:dyDescent="0.25">
      <c r="A4998" s="4" t="s">
        <v>73</v>
      </c>
      <c r="B4998" s="4" t="s">
        <v>2</v>
      </c>
      <c r="C4998" s="4" t="s">
        <v>35</v>
      </c>
      <c r="D4998" s="4">
        <v>2033</v>
      </c>
      <c r="E4998" s="4">
        <v>0</v>
      </c>
      <c r="F4998" s="4" t="s">
        <v>29</v>
      </c>
    </row>
    <row r="4999" spans="1:6" x14ac:dyDescent="0.25">
      <c r="A4999" s="4" t="s">
        <v>73</v>
      </c>
      <c r="B4999" s="4" t="s">
        <v>2</v>
      </c>
      <c r="C4999" s="4" t="s">
        <v>35</v>
      </c>
      <c r="D4999" s="4">
        <v>2034</v>
      </c>
      <c r="E4999" s="4">
        <v>0</v>
      </c>
      <c r="F4999" s="4" t="s">
        <v>29</v>
      </c>
    </row>
    <row r="5000" spans="1:6" x14ac:dyDescent="0.25">
      <c r="A5000" s="4" t="s">
        <v>73</v>
      </c>
      <c r="B5000" s="4" t="s">
        <v>2</v>
      </c>
      <c r="C5000" s="4" t="s">
        <v>35</v>
      </c>
      <c r="D5000" s="4">
        <v>2035</v>
      </c>
      <c r="E5000" s="4">
        <v>0</v>
      </c>
      <c r="F5000" s="4" t="s">
        <v>29</v>
      </c>
    </row>
    <row r="5001" spans="1:6" x14ac:dyDescent="0.25">
      <c r="A5001" s="4" t="s">
        <v>73</v>
      </c>
      <c r="B5001" s="4" t="s">
        <v>2</v>
      </c>
      <c r="C5001" s="4" t="s">
        <v>35</v>
      </c>
      <c r="D5001" s="4">
        <v>2036</v>
      </c>
      <c r="E5001" s="4">
        <v>0</v>
      </c>
      <c r="F5001" s="4" t="s">
        <v>29</v>
      </c>
    </row>
    <row r="5002" spans="1:6" x14ac:dyDescent="0.25">
      <c r="A5002" s="4" t="s">
        <v>73</v>
      </c>
      <c r="B5002" s="4" t="s">
        <v>2</v>
      </c>
      <c r="C5002" s="4" t="s">
        <v>35</v>
      </c>
      <c r="D5002" s="4">
        <v>2037</v>
      </c>
      <c r="E5002" s="4">
        <v>0</v>
      </c>
      <c r="F5002" s="4" t="s">
        <v>29</v>
      </c>
    </row>
    <row r="5003" spans="1:6" x14ac:dyDescent="0.25">
      <c r="A5003" s="4" t="s">
        <v>73</v>
      </c>
      <c r="B5003" s="4" t="s">
        <v>2</v>
      </c>
      <c r="C5003" s="4" t="s">
        <v>35</v>
      </c>
      <c r="D5003" s="4">
        <v>2038</v>
      </c>
      <c r="E5003" s="4">
        <v>0</v>
      </c>
      <c r="F5003" s="4" t="s">
        <v>29</v>
      </c>
    </row>
    <row r="5004" spans="1:6" x14ac:dyDescent="0.25">
      <c r="A5004" s="4" t="s">
        <v>73</v>
      </c>
      <c r="B5004" s="4" t="s">
        <v>2</v>
      </c>
      <c r="C5004" s="4" t="s">
        <v>35</v>
      </c>
      <c r="D5004" s="4">
        <v>2039</v>
      </c>
      <c r="E5004" s="4">
        <v>0</v>
      </c>
      <c r="F5004" s="4" t="s">
        <v>29</v>
      </c>
    </row>
    <row r="5005" spans="1:6" x14ac:dyDescent="0.25">
      <c r="A5005" s="4" t="s">
        <v>73</v>
      </c>
      <c r="B5005" s="4" t="s">
        <v>2</v>
      </c>
      <c r="C5005" s="4" t="s">
        <v>35</v>
      </c>
      <c r="D5005" s="4">
        <v>2040</v>
      </c>
      <c r="E5005" s="4">
        <v>0</v>
      </c>
      <c r="F5005" s="4" t="s">
        <v>29</v>
      </c>
    </row>
    <row r="5006" spans="1:6" x14ac:dyDescent="0.25">
      <c r="A5006" s="4" t="s">
        <v>73</v>
      </c>
      <c r="B5006" s="4" t="s">
        <v>3</v>
      </c>
      <c r="C5006" s="4" t="s">
        <v>35</v>
      </c>
      <c r="D5006" s="4">
        <v>2005</v>
      </c>
      <c r="E5006" s="4">
        <v>1430</v>
      </c>
      <c r="F5006" s="4" t="s">
        <v>29</v>
      </c>
    </row>
    <row r="5007" spans="1:6" x14ac:dyDescent="0.25">
      <c r="A5007" s="4" t="s">
        <v>73</v>
      </c>
      <c r="B5007" s="4" t="s">
        <v>3</v>
      </c>
      <c r="C5007" s="4" t="s">
        <v>35</v>
      </c>
      <c r="D5007" s="4">
        <v>2006</v>
      </c>
      <c r="E5007" s="4">
        <v>1450</v>
      </c>
      <c r="F5007" s="4" t="s">
        <v>29</v>
      </c>
    </row>
    <row r="5008" spans="1:6" x14ac:dyDescent="0.25">
      <c r="A5008" s="4" t="s">
        <v>73</v>
      </c>
      <c r="B5008" s="4" t="s">
        <v>3</v>
      </c>
      <c r="C5008" s="4" t="s">
        <v>35</v>
      </c>
      <c r="D5008" s="4">
        <v>2007</v>
      </c>
      <c r="E5008" s="4">
        <v>1290</v>
      </c>
      <c r="F5008" s="4" t="s">
        <v>29</v>
      </c>
    </row>
    <row r="5009" spans="1:6" x14ac:dyDescent="0.25">
      <c r="A5009" s="4" t="s">
        <v>73</v>
      </c>
      <c r="B5009" s="4" t="s">
        <v>3</v>
      </c>
      <c r="C5009" s="4" t="s">
        <v>35</v>
      </c>
      <c r="D5009" s="4">
        <v>2008</v>
      </c>
      <c r="E5009" s="4">
        <v>1170</v>
      </c>
      <c r="F5009" s="4" t="s">
        <v>29</v>
      </c>
    </row>
    <row r="5010" spans="1:6" x14ac:dyDescent="0.25">
      <c r="A5010" s="4" t="s">
        <v>73</v>
      </c>
      <c r="B5010" s="4" t="s">
        <v>3</v>
      </c>
      <c r="C5010" s="4" t="s">
        <v>35</v>
      </c>
      <c r="D5010" s="4">
        <v>2009</v>
      </c>
      <c r="E5010" s="4">
        <v>1260</v>
      </c>
      <c r="F5010" s="4" t="s">
        <v>29</v>
      </c>
    </row>
    <row r="5011" spans="1:6" x14ac:dyDescent="0.25">
      <c r="A5011" s="4" t="s">
        <v>73</v>
      </c>
      <c r="B5011" s="4" t="s">
        <v>3</v>
      </c>
      <c r="C5011" s="4" t="s">
        <v>35</v>
      </c>
      <c r="D5011" s="4">
        <v>2010</v>
      </c>
      <c r="E5011" s="4">
        <v>1420</v>
      </c>
      <c r="F5011" s="4" t="s">
        <v>29</v>
      </c>
    </row>
    <row r="5012" spans="1:6" x14ac:dyDescent="0.25">
      <c r="A5012" s="4" t="s">
        <v>73</v>
      </c>
      <c r="B5012" s="4" t="s">
        <v>3</v>
      </c>
      <c r="C5012" s="4" t="s">
        <v>35</v>
      </c>
      <c r="D5012" s="4">
        <v>2011</v>
      </c>
      <c r="E5012" s="4">
        <v>1780</v>
      </c>
      <c r="F5012" s="4" t="s">
        <v>29</v>
      </c>
    </row>
    <row r="5013" spans="1:6" x14ac:dyDescent="0.25">
      <c r="A5013" s="4" t="s">
        <v>73</v>
      </c>
      <c r="B5013" s="4" t="s">
        <v>3</v>
      </c>
      <c r="C5013" s="4" t="s">
        <v>35</v>
      </c>
      <c r="D5013" s="4">
        <v>2012</v>
      </c>
      <c r="E5013" s="4">
        <v>2029.9999999999998</v>
      </c>
      <c r="F5013" s="4" t="s">
        <v>29</v>
      </c>
    </row>
    <row r="5014" spans="1:6" x14ac:dyDescent="0.25">
      <c r="A5014" s="4" t="s">
        <v>73</v>
      </c>
      <c r="B5014" s="4" t="s">
        <v>3</v>
      </c>
      <c r="C5014" s="4" t="s">
        <v>35</v>
      </c>
      <c r="D5014" s="4">
        <v>2013</v>
      </c>
      <c r="E5014" s="4">
        <v>2460</v>
      </c>
      <c r="F5014" s="4" t="s">
        <v>29</v>
      </c>
    </row>
    <row r="5015" spans="1:6" x14ac:dyDescent="0.25">
      <c r="A5015" s="4" t="s">
        <v>73</v>
      </c>
      <c r="B5015" s="4" t="s">
        <v>3</v>
      </c>
      <c r="C5015" s="4" t="s">
        <v>35</v>
      </c>
      <c r="D5015" s="4">
        <v>2014</v>
      </c>
      <c r="E5015" s="4">
        <v>3010</v>
      </c>
      <c r="F5015" s="4" t="s">
        <v>29</v>
      </c>
    </row>
    <row r="5016" spans="1:6" x14ac:dyDescent="0.25">
      <c r="A5016" s="4" t="s">
        <v>73</v>
      </c>
      <c r="B5016" s="4" t="s">
        <v>3</v>
      </c>
      <c r="C5016" s="4" t="s">
        <v>35</v>
      </c>
      <c r="D5016" s="4">
        <v>2015</v>
      </c>
      <c r="E5016" s="4">
        <v>3470</v>
      </c>
      <c r="F5016" s="4" t="s">
        <v>29</v>
      </c>
    </row>
    <row r="5017" spans="1:6" x14ac:dyDescent="0.25">
      <c r="A5017" s="4" t="s">
        <v>73</v>
      </c>
      <c r="B5017" s="4" t="s">
        <v>3</v>
      </c>
      <c r="C5017" s="4" t="s">
        <v>35</v>
      </c>
      <c r="D5017" s="4">
        <v>2016</v>
      </c>
      <c r="E5017" s="4">
        <v>4181.2090410958917</v>
      </c>
      <c r="F5017" s="4" t="s">
        <v>29</v>
      </c>
    </row>
    <row r="5018" spans="1:6" x14ac:dyDescent="0.25">
      <c r="A5018" s="4" t="s">
        <v>73</v>
      </c>
      <c r="B5018" s="4" t="s">
        <v>3</v>
      </c>
      <c r="C5018" s="4" t="s">
        <v>35</v>
      </c>
      <c r="D5018" s="4">
        <v>2017</v>
      </c>
      <c r="E5018" s="4">
        <v>5720.4719178082196</v>
      </c>
      <c r="F5018" s="4" t="s">
        <v>29</v>
      </c>
    </row>
    <row r="5019" spans="1:6" x14ac:dyDescent="0.25">
      <c r="A5019" s="4" t="s">
        <v>73</v>
      </c>
      <c r="B5019" s="4" t="s">
        <v>3</v>
      </c>
      <c r="C5019" s="4" t="s">
        <v>35</v>
      </c>
      <c r="D5019" s="4">
        <v>2018</v>
      </c>
      <c r="E5019" s="4">
        <v>6056.643083689075</v>
      </c>
      <c r="F5019" s="4" t="s">
        <v>29</v>
      </c>
    </row>
    <row r="5020" spans="1:6" x14ac:dyDescent="0.25">
      <c r="A5020" s="4" t="s">
        <v>73</v>
      </c>
      <c r="B5020" s="4" t="s">
        <v>3</v>
      </c>
      <c r="C5020" s="4" t="s">
        <v>35</v>
      </c>
      <c r="D5020" s="4">
        <v>2019</v>
      </c>
      <c r="E5020" s="4">
        <v>5821.2363518751208</v>
      </c>
      <c r="F5020" s="4" t="s">
        <v>29</v>
      </c>
    </row>
    <row r="5021" spans="1:6" x14ac:dyDescent="0.25">
      <c r="A5021" s="4" t="s">
        <v>73</v>
      </c>
      <c r="B5021" s="4" t="s">
        <v>3</v>
      </c>
      <c r="C5021" s="4" t="s">
        <v>35</v>
      </c>
      <c r="D5021" s="4">
        <v>2020</v>
      </c>
      <c r="E5021" s="4">
        <v>5604.0127298370098</v>
      </c>
      <c r="F5021" s="4" t="s">
        <v>29</v>
      </c>
    </row>
    <row r="5022" spans="1:6" x14ac:dyDescent="0.25">
      <c r="A5022" s="4" t="s">
        <v>73</v>
      </c>
      <c r="B5022" s="4" t="s">
        <v>3</v>
      </c>
      <c r="C5022" s="4" t="s">
        <v>35</v>
      </c>
      <c r="D5022" s="4">
        <v>2021</v>
      </c>
      <c r="E5022" s="4">
        <v>5460.9687710819344</v>
      </c>
      <c r="F5022" s="4" t="s">
        <v>29</v>
      </c>
    </row>
    <row r="5023" spans="1:6" x14ac:dyDescent="0.25">
      <c r="A5023" s="4" t="s">
        <v>73</v>
      </c>
      <c r="B5023" s="4" t="s">
        <v>3</v>
      </c>
      <c r="C5023" s="4" t="s">
        <v>35</v>
      </c>
      <c r="D5023" s="4">
        <v>2022</v>
      </c>
      <c r="E5023" s="4">
        <v>5359.7786809852323</v>
      </c>
      <c r="F5023" s="4" t="s">
        <v>29</v>
      </c>
    </row>
    <row r="5024" spans="1:6" x14ac:dyDescent="0.25">
      <c r="A5024" s="4" t="s">
        <v>73</v>
      </c>
      <c r="B5024" s="4" t="s">
        <v>3</v>
      </c>
      <c r="C5024" s="4" t="s">
        <v>35</v>
      </c>
      <c r="D5024" s="4">
        <v>2023</v>
      </c>
      <c r="E5024" s="4">
        <v>5284.2623955197241</v>
      </c>
      <c r="F5024" s="4" t="s">
        <v>29</v>
      </c>
    </row>
    <row r="5025" spans="1:6" x14ac:dyDescent="0.25">
      <c r="A5025" s="4" t="s">
        <v>73</v>
      </c>
      <c r="B5025" s="4" t="s">
        <v>3</v>
      </c>
      <c r="C5025" s="4" t="s">
        <v>35</v>
      </c>
      <c r="D5025" s="4">
        <v>2024</v>
      </c>
      <c r="E5025" s="4">
        <v>5237.9427220909374</v>
      </c>
      <c r="F5025" s="4" t="s">
        <v>29</v>
      </c>
    </row>
    <row r="5026" spans="1:6" x14ac:dyDescent="0.25">
      <c r="A5026" s="4" t="s">
        <v>73</v>
      </c>
      <c r="B5026" s="4" t="s">
        <v>3</v>
      </c>
      <c r="C5026" s="4" t="s">
        <v>35</v>
      </c>
      <c r="D5026" s="4">
        <v>2025</v>
      </c>
      <c r="E5026" s="4">
        <v>5220.3516022125468</v>
      </c>
      <c r="F5026" s="4" t="s">
        <v>29</v>
      </c>
    </row>
    <row r="5027" spans="1:6" x14ac:dyDescent="0.25">
      <c r="A5027" s="4" t="s">
        <v>73</v>
      </c>
      <c r="B5027" s="4" t="s">
        <v>3</v>
      </c>
      <c r="C5027" s="4" t="s">
        <v>35</v>
      </c>
      <c r="D5027" s="4">
        <v>2026</v>
      </c>
      <c r="E5027" s="4">
        <v>5212.9703954793258</v>
      </c>
      <c r="F5027" s="4" t="s">
        <v>29</v>
      </c>
    </row>
    <row r="5028" spans="1:6" x14ac:dyDescent="0.25">
      <c r="A5028" s="4" t="s">
        <v>73</v>
      </c>
      <c r="B5028" s="4" t="s">
        <v>3</v>
      </c>
      <c r="C5028" s="4" t="s">
        <v>35</v>
      </c>
      <c r="D5028" s="4">
        <v>2027</v>
      </c>
      <c r="E5028" s="4">
        <v>5196.5222406163966</v>
      </c>
      <c r="F5028" s="4" t="s">
        <v>29</v>
      </c>
    </row>
    <row r="5029" spans="1:6" x14ac:dyDescent="0.25">
      <c r="A5029" s="4" t="s">
        <v>73</v>
      </c>
      <c r="B5029" s="4" t="s">
        <v>3</v>
      </c>
      <c r="C5029" s="4" t="s">
        <v>35</v>
      </c>
      <c r="D5029" s="4">
        <v>2028</v>
      </c>
      <c r="E5029" s="4">
        <v>5177.8102819961323</v>
      </c>
      <c r="F5029" s="4" t="s">
        <v>29</v>
      </c>
    </row>
    <row r="5030" spans="1:6" x14ac:dyDescent="0.25">
      <c r="A5030" s="4" t="s">
        <v>73</v>
      </c>
      <c r="B5030" s="4" t="s">
        <v>3</v>
      </c>
      <c r="C5030" s="4" t="s">
        <v>35</v>
      </c>
      <c r="D5030" s="4">
        <v>2029</v>
      </c>
      <c r="E5030" s="4">
        <v>5161.0597900928697</v>
      </c>
      <c r="F5030" s="4" t="s">
        <v>29</v>
      </c>
    </row>
    <row r="5031" spans="1:6" x14ac:dyDescent="0.25">
      <c r="A5031" s="4" t="s">
        <v>73</v>
      </c>
      <c r="B5031" s="4" t="s">
        <v>3</v>
      </c>
      <c r="C5031" s="4" t="s">
        <v>35</v>
      </c>
      <c r="D5031" s="4">
        <v>2030</v>
      </c>
      <c r="E5031" s="4">
        <v>5147.7823748652454</v>
      </c>
      <c r="F5031" s="4" t="s">
        <v>29</v>
      </c>
    </row>
    <row r="5032" spans="1:6" x14ac:dyDescent="0.25">
      <c r="A5032" s="4" t="s">
        <v>73</v>
      </c>
      <c r="B5032" s="4" t="s">
        <v>3</v>
      </c>
      <c r="C5032" s="4" t="s">
        <v>35</v>
      </c>
      <c r="D5032" s="4">
        <v>2031</v>
      </c>
      <c r="E5032" s="4">
        <v>5138.0924315713801</v>
      </c>
      <c r="F5032" s="4" t="s">
        <v>29</v>
      </c>
    </row>
    <row r="5033" spans="1:6" x14ac:dyDescent="0.25">
      <c r="A5033" s="4" t="s">
        <v>73</v>
      </c>
      <c r="B5033" s="4" t="s">
        <v>3</v>
      </c>
      <c r="C5033" s="4" t="s">
        <v>35</v>
      </c>
      <c r="D5033" s="4">
        <v>2032</v>
      </c>
      <c r="E5033" s="4">
        <v>5135.0486069733115</v>
      </c>
      <c r="F5033" s="4" t="s">
        <v>29</v>
      </c>
    </row>
    <row r="5034" spans="1:6" x14ac:dyDescent="0.25">
      <c r="A5034" s="4" t="s">
        <v>73</v>
      </c>
      <c r="B5034" s="4" t="s">
        <v>3</v>
      </c>
      <c r="C5034" s="4" t="s">
        <v>35</v>
      </c>
      <c r="D5034" s="4">
        <v>2033</v>
      </c>
      <c r="E5034" s="4">
        <v>5129.9444480886959</v>
      </c>
      <c r="F5034" s="4" t="s">
        <v>29</v>
      </c>
    </row>
    <row r="5035" spans="1:6" x14ac:dyDescent="0.25">
      <c r="A5035" s="4" t="s">
        <v>73</v>
      </c>
      <c r="B5035" s="4" t="s">
        <v>3</v>
      </c>
      <c r="C5035" s="4" t="s">
        <v>35</v>
      </c>
      <c r="D5035" s="4">
        <v>2034</v>
      </c>
      <c r="E5035" s="4">
        <v>5130.2267213134674</v>
      </c>
      <c r="F5035" s="4" t="s">
        <v>29</v>
      </c>
    </row>
    <row r="5036" spans="1:6" x14ac:dyDescent="0.25">
      <c r="A5036" s="4" t="s">
        <v>73</v>
      </c>
      <c r="B5036" s="4" t="s">
        <v>3</v>
      </c>
      <c r="C5036" s="4" t="s">
        <v>35</v>
      </c>
      <c r="D5036" s="4">
        <v>2035</v>
      </c>
      <c r="E5036" s="4">
        <v>5133.032665732555</v>
      </c>
      <c r="F5036" s="4" t="s">
        <v>29</v>
      </c>
    </row>
    <row r="5037" spans="1:6" x14ac:dyDescent="0.25">
      <c r="A5037" s="4" t="s">
        <v>73</v>
      </c>
      <c r="B5037" s="4" t="s">
        <v>3</v>
      </c>
      <c r="C5037" s="4" t="s">
        <v>35</v>
      </c>
      <c r="D5037" s="4">
        <v>2036</v>
      </c>
      <c r="E5037" s="4">
        <v>5139.9737019324521</v>
      </c>
      <c r="F5037" s="4" t="s">
        <v>29</v>
      </c>
    </row>
    <row r="5038" spans="1:6" x14ac:dyDescent="0.25">
      <c r="A5038" s="4" t="s">
        <v>73</v>
      </c>
      <c r="B5038" s="4" t="s">
        <v>3</v>
      </c>
      <c r="C5038" s="4" t="s">
        <v>35</v>
      </c>
      <c r="D5038" s="4">
        <v>2037</v>
      </c>
      <c r="E5038" s="4">
        <v>5152.7241429500518</v>
      </c>
      <c r="F5038" s="4" t="s">
        <v>29</v>
      </c>
    </row>
    <row r="5039" spans="1:6" x14ac:dyDescent="0.25">
      <c r="A5039" s="4" t="s">
        <v>73</v>
      </c>
      <c r="B5039" s="4" t="s">
        <v>3</v>
      </c>
      <c r="C5039" s="4" t="s">
        <v>35</v>
      </c>
      <c r="D5039" s="4">
        <v>2038</v>
      </c>
      <c r="E5039" s="4">
        <v>5151.162711391582</v>
      </c>
      <c r="F5039" s="4" t="s">
        <v>29</v>
      </c>
    </row>
    <row r="5040" spans="1:6" x14ac:dyDescent="0.25">
      <c r="A5040" s="4" t="s">
        <v>73</v>
      </c>
      <c r="B5040" s="4" t="s">
        <v>3</v>
      </c>
      <c r="C5040" s="4" t="s">
        <v>35</v>
      </c>
      <c r="D5040" s="4">
        <v>2039</v>
      </c>
      <c r="E5040" s="4">
        <v>5149.0547787876467</v>
      </c>
      <c r="F5040" s="4" t="s">
        <v>29</v>
      </c>
    </row>
    <row r="5041" spans="1:6" x14ac:dyDescent="0.25">
      <c r="A5041" s="4" t="s">
        <v>73</v>
      </c>
      <c r="B5041" s="4" t="s">
        <v>3</v>
      </c>
      <c r="C5041" s="4" t="s">
        <v>35</v>
      </c>
      <c r="D5041" s="4">
        <v>2040</v>
      </c>
      <c r="E5041" s="4">
        <v>5160.7249182556507</v>
      </c>
      <c r="F5041" s="4" t="s">
        <v>29</v>
      </c>
    </row>
    <row r="5042" spans="1:6" x14ac:dyDescent="0.25">
      <c r="A5042" s="4" t="s">
        <v>73</v>
      </c>
      <c r="B5042" s="4" t="s">
        <v>4</v>
      </c>
      <c r="C5042" s="4" t="s">
        <v>35</v>
      </c>
      <c r="D5042" s="4">
        <v>2005</v>
      </c>
      <c r="E5042" s="4">
        <v>550</v>
      </c>
      <c r="F5042" s="4" t="s">
        <v>29</v>
      </c>
    </row>
    <row r="5043" spans="1:6" x14ac:dyDescent="0.25">
      <c r="A5043" s="4" t="s">
        <v>73</v>
      </c>
      <c r="B5043" s="4" t="s">
        <v>4</v>
      </c>
      <c r="C5043" s="4" t="s">
        <v>35</v>
      </c>
      <c r="D5043" s="4">
        <v>2006</v>
      </c>
      <c r="E5043" s="4">
        <v>600</v>
      </c>
      <c r="F5043" s="4" t="s">
        <v>29</v>
      </c>
    </row>
    <row r="5044" spans="1:6" x14ac:dyDescent="0.25">
      <c r="A5044" s="4" t="s">
        <v>73</v>
      </c>
      <c r="B5044" s="4" t="s">
        <v>4</v>
      </c>
      <c r="C5044" s="4" t="s">
        <v>35</v>
      </c>
      <c r="D5044" s="4">
        <v>2007</v>
      </c>
      <c r="E5044" s="4">
        <v>660</v>
      </c>
      <c r="F5044" s="4" t="s">
        <v>29</v>
      </c>
    </row>
    <row r="5045" spans="1:6" x14ac:dyDescent="0.25">
      <c r="A5045" s="4" t="s">
        <v>73</v>
      </c>
      <c r="B5045" s="4" t="s">
        <v>4</v>
      </c>
      <c r="C5045" s="4" t="s">
        <v>35</v>
      </c>
      <c r="D5045" s="4">
        <v>2008</v>
      </c>
      <c r="E5045" s="4">
        <v>720</v>
      </c>
      <c r="F5045" s="4" t="s">
        <v>29</v>
      </c>
    </row>
    <row r="5046" spans="1:6" x14ac:dyDescent="0.25">
      <c r="A5046" s="4" t="s">
        <v>73</v>
      </c>
      <c r="B5046" s="4" t="s">
        <v>4</v>
      </c>
      <c r="C5046" s="4" t="s">
        <v>35</v>
      </c>
      <c r="D5046" s="4">
        <v>2009</v>
      </c>
      <c r="E5046" s="4">
        <v>720</v>
      </c>
      <c r="F5046" s="4" t="s">
        <v>29</v>
      </c>
    </row>
    <row r="5047" spans="1:6" x14ac:dyDescent="0.25">
      <c r="A5047" s="4" t="s">
        <v>73</v>
      </c>
      <c r="B5047" s="4" t="s">
        <v>4</v>
      </c>
      <c r="C5047" s="4" t="s">
        <v>35</v>
      </c>
      <c r="D5047" s="4">
        <v>2010</v>
      </c>
      <c r="E5047" s="4">
        <v>790</v>
      </c>
      <c r="F5047" s="4" t="s">
        <v>29</v>
      </c>
    </row>
    <row r="5048" spans="1:6" x14ac:dyDescent="0.25">
      <c r="A5048" s="4" t="s">
        <v>73</v>
      </c>
      <c r="B5048" s="4" t="s">
        <v>4</v>
      </c>
      <c r="C5048" s="4" t="s">
        <v>35</v>
      </c>
      <c r="D5048" s="4">
        <v>2011</v>
      </c>
      <c r="E5048" s="4">
        <v>880</v>
      </c>
      <c r="F5048" s="4" t="s">
        <v>29</v>
      </c>
    </row>
    <row r="5049" spans="1:6" x14ac:dyDescent="0.25">
      <c r="A5049" s="4" t="s">
        <v>73</v>
      </c>
      <c r="B5049" s="4" t="s">
        <v>4</v>
      </c>
      <c r="C5049" s="4" t="s">
        <v>35</v>
      </c>
      <c r="D5049" s="4">
        <v>2012</v>
      </c>
      <c r="E5049" s="4">
        <v>900</v>
      </c>
      <c r="F5049" s="4" t="s">
        <v>29</v>
      </c>
    </row>
    <row r="5050" spans="1:6" x14ac:dyDescent="0.25">
      <c r="A5050" s="4" t="s">
        <v>73</v>
      </c>
      <c r="B5050" s="4" t="s">
        <v>4</v>
      </c>
      <c r="C5050" s="4" t="s">
        <v>35</v>
      </c>
      <c r="D5050" s="4">
        <v>2013</v>
      </c>
      <c r="E5050" s="4">
        <v>960</v>
      </c>
      <c r="F5050" s="4" t="s">
        <v>29</v>
      </c>
    </row>
    <row r="5051" spans="1:6" x14ac:dyDescent="0.25">
      <c r="A5051" s="4" t="s">
        <v>73</v>
      </c>
      <c r="B5051" s="4" t="s">
        <v>4</v>
      </c>
      <c r="C5051" s="4" t="s">
        <v>35</v>
      </c>
      <c r="D5051" s="4">
        <v>2014</v>
      </c>
      <c r="E5051" s="4">
        <v>1430</v>
      </c>
      <c r="F5051" s="4" t="s">
        <v>29</v>
      </c>
    </row>
    <row r="5052" spans="1:6" x14ac:dyDescent="0.25">
      <c r="A5052" s="4" t="s">
        <v>73</v>
      </c>
      <c r="B5052" s="4" t="s">
        <v>4</v>
      </c>
      <c r="C5052" s="4" t="s">
        <v>35</v>
      </c>
      <c r="D5052" s="4">
        <v>2015</v>
      </c>
      <c r="E5052" s="4">
        <v>1840</v>
      </c>
      <c r="F5052" s="4" t="s">
        <v>29</v>
      </c>
    </row>
    <row r="5053" spans="1:6" x14ac:dyDescent="0.25">
      <c r="A5053" s="4" t="s">
        <v>73</v>
      </c>
      <c r="B5053" s="4" t="s">
        <v>4</v>
      </c>
      <c r="C5053" s="4" t="s">
        <v>35</v>
      </c>
      <c r="D5053" s="4">
        <v>2016</v>
      </c>
      <c r="E5053" s="4">
        <v>2536.7909589041078</v>
      </c>
      <c r="F5053" s="4" t="s">
        <v>29</v>
      </c>
    </row>
    <row r="5054" spans="1:6" x14ac:dyDescent="0.25">
      <c r="A5054" s="4" t="s">
        <v>73</v>
      </c>
      <c r="B5054" s="4" t="s">
        <v>4</v>
      </c>
      <c r="C5054" s="4" t="s">
        <v>35</v>
      </c>
      <c r="D5054" s="4">
        <v>2017</v>
      </c>
      <c r="E5054" s="4">
        <v>2619.52808219178</v>
      </c>
      <c r="F5054" s="4" t="s">
        <v>29</v>
      </c>
    </row>
    <row r="5055" spans="1:6" x14ac:dyDescent="0.25">
      <c r="A5055" s="4" t="s">
        <v>73</v>
      </c>
      <c r="B5055" s="4" t="s">
        <v>4</v>
      </c>
      <c r="C5055" s="4" t="s">
        <v>35</v>
      </c>
      <c r="D5055" s="4">
        <v>2018</v>
      </c>
      <c r="E5055" s="4">
        <v>2800.9282261957851</v>
      </c>
      <c r="F5055" s="4" t="s">
        <v>29</v>
      </c>
    </row>
    <row r="5056" spans="1:6" x14ac:dyDescent="0.25">
      <c r="A5056" s="4" t="s">
        <v>73</v>
      </c>
      <c r="B5056" s="4" t="s">
        <v>4</v>
      </c>
      <c r="C5056" s="4" t="s">
        <v>35</v>
      </c>
      <c r="D5056" s="4">
        <v>2019</v>
      </c>
      <c r="E5056" s="4">
        <v>2718.7171657303047</v>
      </c>
      <c r="F5056" s="4" t="s">
        <v>29</v>
      </c>
    </row>
    <row r="5057" spans="1:6" x14ac:dyDescent="0.25">
      <c r="A5057" s="4" t="s">
        <v>73</v>
      </c>
      <c r="B5057" s="4" t="s">
        <v>4</v>
      </c>
      <c r="C5057" s="4" t="s">
        <v>35</v>
      </c>
      <c r="D5057" s="4">
        <v>2020</v>
      </c>
      <c r="E5057" s="4">
        <v>2643.1798064675409</v>
      </c>
      <c r="F5057" s="4" t="s">
        <v>29</v>
      </c>
    </row>
    <row r="5058" spans="1:6" x14ac:dyDescent="0.25">
      <c r="A5058" s="4" t="s">
        <v>73</v>
      </c>
      <c r="B5058" s="4" t="s">
        <v>4</v>
      </c>
      <c r="C5058" s="4" t="s">
        <v>35</v>
      </c>
      <c r="D5058" s="4">
        <v>2021</v>
      </c>
      <c r="E5058" s="4">
        <v>2601.2140166681402</v>
      </c>
      <c r="F5058" s="4" t="s">
        <v>29</v>
      </c>
    </row>
    <row r="5059" spans="1:6" x14ac:dyDescent="0.25">
      <c r="A5059" s="4" t="s">
        <v>73</v>
      </c>
      <c r="B5059" s="4" t="s">
        <v>4</v>
      </c>
      <c r="C5059" s="4" t="s">
        <v>35</v>
      </c>
      <c r="D5059" s="4">
        <v>2022</v>
      </c>
      <c r="E5059" s="4">
        <v>2578.2916816588718</v>
      </c>
      <c r="F5059" s="4" t="s">
        <v>29</v>
      </c>
    </row>
    <row r="5060" spans="1:6" x14ac:dyDescent="0.25">
      <c r="A5060" s="4" t="s">
        <v>73</v>
      </c>
      <c r="B5060" s="4" t="s">
        <v>4</v>
      </c>
      <c r="C5060" s="4" t="s">
        <v>35</v>
      </c>
      <c r="D5060" s="4">
        <v>2023</v>
      </c>
      <c r="E5060" s="4">
        <v>2567.1329633745249</v>
      </c>
      <c r="F5060" s="4" t="s">
        <v>29</v>
      </c>
    </row>
    <row r="5061" spans="1:6" x14ac:dyDescent="0.25">
      <c r="A5061" s="4" t="s">
        <v>73</v>
      </c>
      <c r="B5061" s="4" t="s">
        <v>4</v>
      </c>
      <c r="C5061" s="4" t="s">
        <v>35</v>
      </c>
      <c r="D5061" s="4">
        <v>2024</v>
      </c>
      <c r="E5061" s="4">
        <v>2569.8248920609849</v>
      </c>
      <c r="F5061" s="4" t="s">
        <v>29</v>
      </c>
    </row>
    <row r="5062" spans="1:6" x14ac:dyDescent="0.25">
      <c r="A5062" s="4" t="s">
        <v>73</v>
      </c>
      <c r="B5062" s="4" t="s">
        <v>4</v>
      </c>
      <c r="C5062" s="4" t="s">
        <v>35</v>
      </c>
      <c r="D5062" s="4">
        <v>2025</v>
      </c>
      <c r="E5062" s="4">
        <v>2586.5527460004901</v>
      </c>
      <c r="F5062" s="4" t="s">
        <v>29</v>
      </c>
    </row>
    <row r="5063" spans="1:6" x14ac:dyDescent="0.25">
      <c r="A5063" s="4" t="s">
        <v>73</v>
      </c>
      <c r="B5063" s="4" t="s">
        <v>4</v>
      </c>
      <c r="C5063" s="4" t="s">
        <v>35</v>
      </c>
      <c r="D5063" s="4">
        <v>2026</v>
      </c>
      <c r="E5063" s="4">
        <v>2608.4687671650249</v>
      </c>
      <c r="F5063" s="4" t="s">
        <v>29</v>
      </c>
    </row>
    <row r="5064" spans="1:6" x14ac:dyDescent="0.25">
      <c r="A5064" s="4" t="s">
        <v>73</v>
      </c>
      <c r="B5064" s="4" t="s">
        <v>4</v>
      </c>
      <c r="C5064" s="4" t="s">
        <v>35</v>
      </c>
      <c r="D5064" s="4">
        <v>2027</v>
      </c>
      <c r="E5064" s="4">
        <v>2625.9833660641712</v>
      </c>
      <c r="F5064" s="4" t="s">
        <v>29</v>
      </c>
    </row>
    <row r="5065" spans="1:6" x14ac:dyDescent="0.25">
      <c r="A5065" s="4" t="s">
        <v>73</v>
      </c>
      <c r="B5065" s="4" t="s">
        <v>4</v>
      </c>
      <c r="C5065" s="4" t="s">
        <v>35</v>
      </c>
      <c r="D5065" s="4">
        <v>2028</v>
      </c>
      <c r="E5065" s="4">
        <v>2642.4337762701107</v>
      </c>
      <c r="F5065" s="4" t="s">
        <v>29</v>
      </c>
    </row>
    <row r="5066" spans="1:6" x14ac:dyDescent="0.25">
      <c r="A5066" s="4" t="s">
        <v>73</v>
      </c>
      <c r="B5066" s="4" t="s">
        <v>4</v>
      </c>
      <c r="C5066" s="4" t="s">
        <v>35</v>
      </c>
      <c r="D5066" s="4">
        <v>2029</v>
      </c>
      <c r="E5066" s="4">
        <v>2659.9634352281678</v>
      </c>
      <c r="F5066" s="4" t="s">
        <v>29</v>
      </c>
    </row>
    <row r="5067" spans="1:6" x14ac:dyDescent="0.25">
      <c r="A5067" s="4" t="s">
        <v>73</v>
      </c>
      <c r="B5067" s="4" t="s">
        <v>4</v>
      </c>
      <c r="C5067" s="4" t="s">
        <v>35</v>
      </c>
      <c r="D5067" s="4">
        <v>2030</v>
      </c>
      <c r="E5067" s="4">
        <v>2679.388894340208</v>
      </c>
      <c r="F5067" s="4" t="s">
        <v>29</v>
      </c>
    </row>
    <row r="5068" spans="1:6" x14ac:dyDescent="0.25">
      <c r="A5068" s="4" t="s">
        <v>73</v>
      </c>
      <c r="B5068" s="4" t="s">
        <v>4</v>
      </c>
      <c r="C5068" s="4" t="s">
        <v>35</v>
      </c>
      <c r="D5068" s="4">
        <v>2031</v>
      </c>
      <c r="E5068" s="4">
        <v>2700.8240054949292</v>
      </c>
      <c r="F5068" s="4" t="s">
        <v>29</v>
      </c>
    </row>
    <row r="5069" spans="1:6" x14ac:dyDescent="0.25">
      <c r="A5069" s="4" t="s">
        <v>73</v>
      </c>
      <c r="B5069" s="4" t="s">
        <v>4</v>
      </c>
      <c r="C5069" s="4" t="s">
        <v>35</v>
      </c>
      <c r="D5069" s="4">
        <v>2032</v>
      </c>
      <c r="E5069" s="4">
        <v>2725.9490179269987</v>
      </c>
      <c r="F5069" s="4" t="s">
        <v>29</v>
      </c>
    </row>
    <row r="5070" spans="1:6" x14ac:dyDescent="0.25">
      <c r="A5070" s="4" t="s">
        <v>73</v>
      </c>
      <c r="B5070" s="4" t="s">
        <v>4</v>
      </c>
      <c r="C5070" s="4" t="s">
        <v>35</v>
      </c>
      <c r="D5070" s="4">
        <v>2033</v>
      </c>
      <c r="E5070" s="4">
        <v>2750.2022337668195</v>
      </c>
      <c r="F5070" s="4" t="s">
        <v>29</v>
      </c>
    </row>
    <row r="5071" spans="1:6" x14ac:dyDescent="0.25">
      <c r="A5071" s="4" t="s">
        <v>73</v>
      </c>
      <c r="B5071" s="4" t="s">
        <v>4</v>
      </c>
      <c r="C5071" s="4" t="s">
        <v>35</v>
      </c>
      <c r="D5071" s="4">
        <v>2034</v>
      </c>
      <c r="E5071" s="4">
        <v>2777.5847859813875</v>
      </c>
      <c r="F5071" s="4" t="s">
        <v>29</v>
      </c>
    </row>
    <row r="5072" spans="1:6" x14ac:dyDescent="0.25">
      <c r="A5072" s="4" t="s">
        <v>73</v>
      </c>
      <c r="B5072" s="4" t="s">
        <v>4</v>
      </c>
      <c r="C5072" s="4" t="s">
        <v>35</v>
      </c>
      <c r="D5072" s="4">
        <v>2035</v>
      </c>
      <c r="E5072" s="4">
        <v>2806.6198489386779</v>
      </c>
      <c r="F5072" s="4" t="s">
        <v>29</v>
      </c>
    </row>
    <row r="5073" spans="1:6" x14ac:dyDescent="0.25">
      <c r="A5073" s="4" t="s">
        <v>73</v>
      </c>
      <c r="B5073" s="4" t="s">
        <v>4</v>
      </c>
      <c r="C5073" s="4" t="s">
        <v>35</v>
      </c>
      <c r="D5073" s="4">
        <v>2036</v>
      </c>
      <c r="E5073" s="4">
        <v>2838.240933507765</v>
      </c>
      <c r="F5073" s="4" t="s">
        <v>29</v>
      </c>
    </row>
    <row r="5074" spans="1:6" x14ac:dyDescent="0.25">
      <c r="A5074" s="4" t="s">
        <v>73</v>
      </c>
      <c r="B5074" s="4" t="s">
        <v>4</v>
      </c>
      <c r="C5074" s="4" t="s">
        <v>35</v>
      </c>
      <c r="D5074" s="4">
        <v>2037</v>
      </c>
      <c r="E5074" s="4">
        <v>2873.4527016107832</v>
      </c>
      <c r="F5074" s="4" t="s">
        <v>29</v>
      </c>
    </row>
    <row r="5075" spans="1:6" x14ac:dyDescent="0.25">
      <c r="A5075" s="4" t="s">
        <v>73</v>
      </c>
      <c r="B5075" s="4" t="s">
        <v>4</v>
      </c>
      <c r="C5075" s="4" t="s">
        <v>35</v>
      </c>
      <c r="D5075" s="4">
        <v>2038</v>
      </c>
      <c r="E5075" s="4">
        <v>2901.0233638962654</v>
      </c>
      <c r="F5075" s="4" t="s">
        <v>29</v>
      </c>
    </row>
    <row r="5076" spans="1:6" x14ac:dyDescent="0.25">
      <c r="A5076" s="4" t="s">
        <v>73</v>
      </c>
      <c r="B5076" s="4" t="s">
        <v>4</v>
      </c>
      <c r="C5076" s="4" t="s">
        <v>35</v>
      </c>
      <c r="D5076" s="4">
        <v>2039</v>
      </c>
      <c r="E5076" s="4">
        <v>2928.5474715925225</v>
      </c>
      <c r="F5076" s="4" t="s">
        <v>29</v>
      </c>
    </row>
    <row r="5077" spans="1:6" x14ac:dyDescent="0.25">
      <c r="A5077" s="4" t="s">
        <v>73</v>
      </c>
      <c r="B5077" s="4" t="s">
        <v>4</v>
      </c>
      <c r="C5077" s="4" t="s">
        <v>35</v>
      </c>
      <c r="D5077" s="4">
        <v>2040</v>
      </c>
      <c r="E5077" s="4">
        <v>2964.2461513381227</v>
      </c>
      <c r="F5077" s="4" t="s">
        <v>29</v>
      </c>
    </row>
    <row r="5078" spans="1:6" x14ac:dyDescent="0.25">
      <c r="A5078" s="4" t="s">
        <v>73</v>
      </c>
      <c r="B5078" s="4" t="s">
        <v>23</v>
      </c>
      <c r="C5078" s="4" t="s">
        <v>35</v>
      </c>
      <c r="D5078" s="4">
        <v>2005</v>
      </c>
      <c r="E5078" s="4">
        <v>6625.0814215309774</v>
      </c>
      <c r="F5078" s="4" t="s">
        <v>29</v>
      </c>
    </row>
    <row r="5079" spans="1:6" x14ac:dyDescent="0.25">
      <c r="A5079" s="4" t="s">
        <v>73</v>
      </c>
      <c r="B5079" s="4" t="s">
        <v>23</v>
      </c>
      <c r="C5079" s="4" t="s">
        <v>35</v>
      </c>
      <c r="D5079" s="4">
        <v>2006</v>
      </c>
      <c r="E5079" s="4">
        <v>6556.6333115719408</v>
      </c>
      <c r="F5079" s="4" t="s">
        <v>29</v>
      </c>
    </row>
    <row r="5080" spans="1:6" x14ac:dyDescent="0.25">
      <c r="A5080" s="4" t="s">
        <v>73</v>
      </c>
      <c r="B5080" s="4" t="s">
        <v>23</v>
      </c>
      <c r="C5080" s="4" t="s">
        <v>35</v>
      </c>
      <c r="D5080" s="4">
        <v>2007</v>
      </c>
      <c r="E5080" s="4">
        <v>5995.0273214285717</v>
      </c>
      <c r="F5080" s="4" t="s">
        <v>29</v>
      </c>
    </row>
    <row r="5081" spans="1:6" x14ac:dyDescent="0.25">
      <c r="A5081" s="4" t="s">
        <v>73</v>
      </c>
      <c r="B5081" s="4" t="s">
        <v>23</v>
      </c>
      <c r="C5081" s="4" t="s">
        <v>35</v>
      </c>
      <c r="D5081" s="4">
        <v>2008</v>
      </c>
      <c r="E5081" s="4">
        <v>5566.5833333333321</v>
      </c>
      <c r="F5081" s="4" t="s">
        <v>29</v>
      </c>
    </row>
    <row r="5082" spans="1:6" x14ac:dyDescent="0.25">
      <c r="A5082" s="4" t="s">
        <v>73</v>
      </c>
      <c r="B5082" s="4" t="s">
        <v>23</v>
      </c>
      <c r="C5082" s="4" t="s">
        <v>35</v>
      </c>
      <c r="D5082" s="4">
        <v>2009</v>
      </c>
      <c r="E5082" s="4">
        <v>5478.2216820276499</v>
      </c>
      <c r="F5082" s="4" t="s">
        <v>29</v>
      </c>
    </row>
    <row r="5083" spans="1:6" x14ac:dyDescent="0.25">
      <c r="A5083" s="4" t="s">
        <v>73</v>
      </c>
      <c r="B5083" s="4" t="s">
        <v>23</v>
      </c>
      <c r="C5083" s="4" t="s">
        <v>35</v>
      </c>
      <c r="D5083" s="4">
        <v>2010</v>
      </c>
      <c r="E5083" s="4">
        <v>5674.9128584229393</v>
      </c>
      <c r="F5083" s="4" t="s">
        <v>29</v>
      </c>
    </row>
    <row r="5084" spans="1:6" x14ac:dyDescent="0.25">
      <c r="A5084" s="4" t="s">
        <v>73</v>
      </c>
      <c r="B5084" s="4" t="s">
        <v>23</v>
      </c>
      <c r="C5084" s="4" t="s">
        <v>35</v>
      </c>
      <c r="D5084" s="4">
        <v>2011</v>
      </c>
      <c r="E5084" s="4">
        <v>5897.5430209933438</v>
      </c>
      <c r="F5084" s="4" t="s">
        <v>29</v>
      </c>
    </row>
    <row r="5085" spans="1:6" x14ac:dyDescent="0.25">
      <c r="A5085" s="4" t="s">
        <v>73</v>
      </c>
      <c r="B5085" s="4" t="s">
        <v>23</v>
      </c>
      <c r="C5085" s="4" t="s">
        <v>35</v>
      </c>
      <c r="D5085" s="4">
        <v>2012</v>
      </c>
      <c r="E5085" s="4">
        <v>6255.7563966135203</v>
      </c>
      <c r="F5085" s="4" t="s">
        <v>29</v>
      </c>
    </row>
    <row r="5086" spans="1:6" x14ac:dyDescent="0.25">
      <c r="A5086" s="4" t="s">
        <v>73</v>
      </c>
      <c r="B5086" s="4" t="s">
        <v>23</v>
      </c>
      <c r="C5086" s="4" t="s">
        <v>35</v>
      </c>
      <c r="D5086" s="4">
        <v>2013</v>
      </c>
      <c r="E5086" s="4">
        <v>6543.6676024065546</v>
      </c>
      <c r="F5086" s="4" t="s">
        <v>29</v>
      </c>
    </row>
    <row r="5087" spans="1:6" x14ac:dyDescent="0.25">
      <c r="A5087" s="4" t="s">
        <v>73</v>
      </c>
      <c r="B5087" s="4" t="s">
        <v>23</v>
      </c>
      <c r="C5087" s="4" t="s">
        <v>35</v>
      </c>
      <c r="D5087" s="4">
        <v>2014</v>
      </c>
      <c r="E5087" s="4">
        <v>7852.9239823348689</v>
      </c>
      <c r="F5087" s="4" t="s">
        <v>29</v>
      </c>
    </row>
    <row r="5088" spans="1:6" x14ac:dyDescent="0.25">
      <c r="A5088" s="4" t="s">
        <v>73</v>
      </c>
      <c r="B5088" s="4" t="s">
        <v>23</v>
      </c>
      <c r="C5088" s="4" t="s">
        <v>35</v>
      </c>
      <c r="D5088" s="4">
        <v>2015</v>
      </c>
      <c r="E5088" s="4">
        <v>8686.5470302099329</v>
      </c>
      <c r="F5088" s="4" t="s">
        <v>29</v>
      </c>
    </row>
    <row r="5089" spans="1:6" x14ac:dyDescent="0.25">
      <c r="A5089" s="4" t="s">
        <v>73</v>
      </c>
      <c r="B5089" s="4" t="s">
        <v>23</v>
      </c>
      <c r="C5089" s="4" t="s">
        <v>35</v>
      </c>
      <c r="D5089" s="4">
        <v>2016</v>
      </c>
      <c r="E5089" s="4">
        <v>10412.261685823754</v>
      </c>
      <c r="F5089" s="4" t="s">
        <v>29</v>
      </c>
    </row>
    <row r="5090" spans="1:6" x14ac:dyDescent="0.25">
      <c r="A5090" s="4" t="s">
        <v>73</v>
      </c>
      <c r="B5090" s="4" t="s">
        <v>23</v>
      </c>
      <c r="C5090" s="4" t="s">
        <v>35</v>
      </c>
      <c r="D5090" s="4">
        <v>2017</v>
      </c>
      <c r="E5090" s="4">
        <v>11690.181041818252</v>
      </c>
      <c r="F5090" s="4" t="s">
        <v>29</v>
      </c>
    </row>
    <row r="5091" spans="1:6" x14ac:dyDescent="0.25">
      <c r="A5091" s="4" t="s">
        <v>73</v>
      </c>
      <c r="B5091" s="4" t="s">
        <v>23</v>
      </c>
      <c r="C5091" s="4" t="s">
        <v>35</v>
      </c>
      <c r="D5091" s="4">
        <v>2018</v>
      </c>
      <c r="E5091" s="4">
        <v>12051.281698448282</v>
      </c>
      <c r="F5091" s="4" t="s">
        <v>29</v>
      </c>
    </row>
    <row r="5092" spans="1:6" x14ac:dyDescent="0.25">
      <c r="A5092" s="4" t="s">
        <v>73</v>
      </c>
      <c r="B5092" s="4" t="s">
        <v>23</v>
      </c>
      <c r="C5092" s="4" t="s">
        <v>35</v>
      </c>
      <c r="D5092" s="4">
        <v>2019</v>
      </c>
      <c r="E5092" s="4">
        <v>11485.196198139967</v>
      </c>
      <c r="F5092" s="4" t="s">
        <v>29</v>
      </c>
    </row>
    <row r="5093" spans="1:6" x14ac:dyDescent="0.25">
      <c r="A5093" s="4" t="s">
        <v>73</v>
      </c>
      <c r="B5093" s="4" t="s">
        <v>23</v>
      </c>
      <c r="C5093" s="4" t="s">
        <v>35</v>
      </c>
      <c r="D5093" s="4">
        <v>2020</v>
      </c>
      <c r="E5093" s="4">
        <v>10870.251575358017</v>
      </c>
      <c r="F5093" s="4" t="s">
        <v>29</v>
      </c>
    </row>
    <row r="5094" spans="1:6" x14ac:dyDescent="0.25">
      <c r="A5094" s="4" t="s">
        <v>73</v>
      </c>
      <c r="B5094" s="4" t="s">
        <v>23</v>
      </c>
      <c r="C5094" s="4" t="s">
        <v>35</v>
      </c>
      <c r="D5094" s="4">
        <v>2021</v>
      </c>
      <c r="E5094" s="4">
        <v>10442.84022279443</v>
      </c>
      <c r="F5094" s="4" t="s">
        <v>29</v>
      </c>
    </row>
    <row r="5095" spans="1:6" x14ac:dyDescent="0.25">
      <c r="A5095" s="4" t="s">
        <v>73</v>
      </c>
      <c r="B5095" s="4" t="s">
        <v>23</v>
      </c>
      <c r="C5095" s="4" t="s">
        <v>35</v>
      </c>
      <c r="D5095" s="4">
        <v>2022</v>
      </c>
      <c r="E5095" s="4">
        <v>10126.321248703362</v>
      </c>
      <c r="F5095" s="4" t="s">
        <v>29</v>
      </c>
    </row>
    <row r="5096" spans="1:6" x14ac:dyDescent="0.25">
      <c r="A5096" s="4" t="s">
        <v>73</v>
      </c>
      <c r="B5096" s="4" t="s">
        <v>23</v>
      </c>
      <c r="C5096" s="4" t="s">
        <v>35</v>
      </c>
      <c r="D5096" s="4">
        <v>2023</v>
      </c>
      <c r="E5096" s="4">
        <v>9907.5292741184585</v>
      </c>
      <c r="F5096" s="4" t="s">
        <v>29</v>
      </c>
    </row>
    <row r="5097" spans="1:6" x14ac:dyDescent="0.25">
      <c r="A5097" s="4" t="s">
        <v>73</v>
      </c>
      <c r="B5097" s="4" t="s">
        <v>23</v>
      </c>
      <c r="C5097" s="4" t="s">
        <v>35</v>
      </c>
      <c r="D5097" s="4">
        <v>2024</v>
      </c>
      <c r="E5097" s="4">
        <v>9788.6241912386395</v>
      </c>
      <c r="F5097" s="4" t="s">
        <v>29</v>
      </c>
    </row>
    <row r="5098" spans="1:6" x14ac:dyDescent="0.25">
      <c r="A5098" s="4" t="s">
        <v>73</v>
      </c>
      <c r="B5098" s="4" t="s">
        <v>23</v>
      </c>
      <c r="C5098" s="4" t="s">
        <v>35</v>
      </c>
      <c r="D5098" s="4">
        <v>2025</v>
      </c>
      <c r="E5098" s="4">
        <v>9748.7188708365629</v>
      </c>
      <c r="F5098" s="4" t="s">
        <v>29</v>
      </c>
    </row>
    <row r="5099" spans="1:6" x14ac:dyDescent="0.25">
      <c r="A5099" s="4" t="s">
        <v>73</v>
      </c>
      <c r="B5099" s="4" t="s">
        <v>23</v>
      </c>
      <c r="C5099" s="4" t="s">
        <v>35</v>
      </c>
      <c r="D5099" s="4">
        <v>2026</v>
      </c>
      <c r="E5099" s="4">
        <v>9730.7142056821467</v>
      </c>
      <c r="F5099" s="4" t="s">
        <v>29</v>
      </c>
    </row>
    <row r="5100" spans="1:6" x14ac:dyDescent="0.25">
      <c r="A5100" s="4" t="s">
        <v>73</v>
      </c>
      <c r="B5100" s="4" t="s">
        <v>23</v>
      </c>
      <c r="C5100" s="4" t="s">
        <v>35</v>
      </c>
      <c r="D5100" s="4">
        <v>2027</v>
      </c>
      <c r="E5100" s="4">
        <v>9712.63356602356</v>
      </c>
      <c r="F5100" s="4" t="s">
        <v>29</v>
      </c>
    </row>
    <row r="5101" spans="1:6" x14ac:dyDescent="0.25">
      <c r="A5101" s="4" t="s">
        <v>73</v>
      </c>
      <c r="B5101" s="4" t="s">
        <v>23</v>
      </c>
      <c r="C5101" s="4" t="s">
        <v>35</v>
      </c>
      <c r="D5101" s="4">
        <v>2028</v>
      </c>
      <c r="E5101" s="4">
        <v>9702.7696188530244</v>
      </c>
      <c r="F5101" s="4" t="s">
        <v>29</v>
      </c>
    </row>
    <row r="5102" spans="1:6" x14ac:dyDescent="0.25">
      <c r="A5102" s="4" t="s">
        <v>73</v>
      </c>
      <c r="B5102" s="4" t="s">
        <v>23</v>
      </c>
      <c r="C5102" s="4" t="s">
        <v>35</v>
      </c>
      <c r="D5102" s="4">
        <v>2029</v>
      </c>
      <c r="E5102" s="4">
        <v>9701.9484690421123</v>
      </c>
      <c r="F5102" s="4" t="s">
        <v>29</v>
      </c>
    </row>
    <row r="5103" spans="1:6" x14ac:dyDescent="0.25">
      <c r="A5103" s="4" t="s">
        <v>73</v>
      </c>
      <c r="B5103" s="4" t="s">
        <v>23</v>
      </c>
      <c r="C5103" s="4" t="s">
        <v>35</v>
      </c>
      <c r="D5103" s="4">
        <v>2030</v>
      </c>
      <c r="E5103" s="4">
        <v>9710.4104353893545</v>
      </c>
      <c r="F5103" s="4" t="s">
        <v>29</v>
      </c>
    </row>
    <row r="5104" spans="1:6" x14ac:dyDescent="0.25">
      <c r="A5104" s="4" t="s">
        <v>73</v>
      </c>
      <c r="B5104" s="4" t="s">
        <v>23</v>
      </c>
      <c r="C5104" s="4" t="s">
        <v>35</v>
      </c>
      <c r="D5104" s="4">
        <v>2031</v>
      </c>
      <c r="E5104" s="4">
        <v>9728.2072069910319</v>
      </c>
      <c r="F5104" s="4" t="s">
        <v>29</v>
      </c>
    </row>
    <row r="5105" spans="1:6" x14ac:dyDescent="0.25">
      <c r="A5105" s="4" t="s">
        <v>73</v>
      </c>
      <c r="B5105" s="4" t="s">
        <v>23</v>
      </c>
      <c r="C5105" s="4" t="s">
        <v>35</v>
      </c>
      <c r="D5105" s="4">
        <v>2032</v>
      </c>
      <c r="E5105" s="4">
        <v>9761.2356400542885</v>
      </c>
      <c r="F5105" s="4" t="s">
        <v>29</v>
      </c>
    </row>
    <row r="5106" spans="1:6" x14ac:dyDescent="0.25">
      <c r="A5106" s="4" t="s">
        <v>73</v>
      </c>
      <c r="B5106" s="4" t="s">
        <v>23</v>
      </c>
      <c r="C5106" s="4" t="s">
        <v>35</v>
      </c>
      <c r="D5106" s="4">
        <v>2033</v>
      </c>
      <c r="E5106" s="4">
        <v>9795.9917081553176</v>
      </c>
      <c r="F5106" s="4" t="s">
        <v>29</v>
      </c>
    </row>
    <row r="5107" spans="1:6" x14ac:dyDescent="0.25">
      <c r="A5107" s="4" t="s">
        <v>73</v>
      </c>
      <c r="B5107" s="4" t="s">
        <v>23</v>
      </c>
      <c r="C5107" s="4" t="s">
        <v>35</v>
      </c>
      <c r="D5107" s="4">
        <v>2034</v>
      </c>
      <c r="E5107" s="4">
        <v>9843.7082337579886</v>
      </c>
      <c r="F5107" s="4" t="s">
        <v>29</v>
      </c>
    </row>
    <row r="5108" spans="1:6" x14ac:dyDescent="0.25">
      <c r="A5108" s="4" t="s">
        <v>73</v>
      </c>
      <c r="B5108" s="4" t="s">
        <v>23</v>
      </c>
      <c r="C5108" s="4" t="s">
        <v>35</v>
      </c>
      <c r="D5108" s="4">
        <v>2035</v>
      </c>
      <c r="E5108" s="4">
        <v>9895.9945307350754</v>
      </c>
      <c r="F5108" s="4" t="s">
        <v>29</v>
      </c>
    </row>
    <row r="5109" spans="1:6" x14ac:dyDescent="0.25">
      <c r="A5109" s="4" t="s">
        <v>73</v>
      </c>
      <c r="B5109" s="4" t="s">
        <v>23</v>
      </c>
      <c r="C5109" s="4" t="s">
        <v>35</v>
      </c>
      <c r="D5109" s="4">
        <v>2036</v>
      </c>
      <c r="E5109" s="4">
        <v>9955.5567857559035</v>
      </c>
      <c r="F5109" s="4" t="s">
        <v>29</v>
      </c>
    </row>
    <row r="5110" spans="1:6" x14ac:dyDescent="0.25">
      <c r="A5110" s="4" t="s">
        <v>73</v>
      </c>
      <c r="B5110" s="4" t="s">
        <v>23</v>
      </c>
      <c r="C5110" s="4" t="s">
        <v>35</v>
      </c>
      <c r="D5110" s="4">
        <v>2037</v>
      </c>
      <c r="E5110" s="4">
        <v>10031.87450189294</v>
      </c>
      <c r="F5110" s="4" t="s">
        <v>29</v>
      </c>
    </row>
    <row r="5111" spans="1:6" x14ac:dyDescent="0.25">
      <c r="A5111" s="4" t="s">
        <v>73</v>
      </c>
      <c r="B5111" s="4" t="s">
        <v>23</v>
      </c>
      <c r="C5111" s="4" t="s">
        <v>35</v>
      </c>
      <c r="D5111" s="4">
        <v>2038</v>
      </c>
      <c r="E5111" s="4">
        <v>10089.796753386556</v>
      </c>
      <c r="F5111" s="4" t="s">
        <v>29</v>
      </c>
    </row>
    <row r="5112" spans="1:6" x14ac:dyDescent="0.25">
      <c r="A5112" s="4" t="s">
        <v>73</v>
      </c>
      <c r="B5112" s="4" t="s">
        <v>23</v>
      </c>
      <c r="C5112" s="4" t="s">
        <v>35</v>
      </c>
      <c r="D5112" s="4">
        <v>2039</v>
      </c>
      <c r="E5112" s="4">
        <v>10149.99344081763</v>
      </c>
      <c r="F5112" s="4" t="s">
        <v>29</v>
      </c>
    </row>
    <row r="5113" spans="1:6" x14ac:dyDescent="0.25">
      <c r="A5113" s="4" t="s">
        <v>73</v>
      </c>
      <c r="B5113" s="4" t="s">
        <v>23</v>
      </c>
      <c r="C5113" s="4" t="s">
        <v>35</v>
      </c>
      <c r="D5113" s="4">
        <v>2040</v>
      </c>
      <c r="E5113" s="4">
        <v>10235.97835543343</v>
      </c>
      <c r="F5113" s="4" t="s">
        <v>29</v>
      </c>
    </row>
    <row r="5114" spans="1:6" x14ac:dyDescent="0.25">
      <c r="A5114" s="4" t="s">
        <v>74</v>
      </c>
      <c r="B5114" s="4" t="s">
        <v>1</v>
      </c>
      <c r="C5114" s="4" t="s">
        <v>35</v>
      </c>
      <c r="D5114" s="4">
        <v>2005</v>
      </c>
      <c r="E5114" s="4">
        <v>61608.885781863297</v>
      </c>
      <c r="F5114" s="4" t="s">
        <v>29</v>
      </c>
    </row>
    <row r="5115" spans="1:6" x14ac:dyDescent="0.25">
      <c r="A5115" s="4" t="s">
        <v>74</v>
      </c>
      <c r="B5115" s="4" t="s">
        <v>1</v>
      </c>
      <c r="C5115" s="4" t="s">
        <v>35</v>
      </c>
      <c r="D5115" s="4">
        <v>2006</v>
      </c>
      <c r="E5115" s="4">
        <v>59160.558397498877</v>
      </c>
      <c r="F5115" s="4" t="s">
        <v>29</v>
      </c>
    </row>
    <row r="5116" spans="1:6" x14ac:dyDescent="0.25">
      <c r="A5116" s="4" t="s">
        <v>74</v>
      </c>
      <c r="B5116" s="4" t="s">
        <v>1</v>
      </c>
      <c r="C5116" s="4" t="s">
        <v>35</v>
      </c>
      <c r="D5116" s="4">
        <v>2007</v>
      </c>
      <c r="E5116" s="4">
        <v>57156.982398125292</v>
      </c>
      <c r="F5116" s="4" t="s">
        <v>29</v>
      </c>
    </row>
    <row r="5117" spans="1:6" x14ac:dyDescent="0.25">
      <c r="A5117" s="4" t="s">
        <v>74</v>
      </c>
      <c r="B5117" s="4" t="s">
        <v>1</v>
      </c>
      <c r="C5117" s="4" t="s">
        <v>35</v>
      </c>
      <c r="D5117" s="4">
        <v>2008</v>
      </c>
      <c r="E5117" s="4">
        <v>55079.4261325193</v>
      </c>
      <c r="F5117" s="4" t="s">
        <v>29</v>
      </c>
    </row>
    <row r="5118" spans="1:6" x14ac:dyDescent="0.25">
      <c r="A5118" s="4" t="s">
        <v>74</v>
      </c>
      <c r="B5118" s="4" t="s">
        <v>1</v>
      </c>
      <c r="C5118" s="4" t="s">
        <v>35</v>
      </c>
      <c r="D5118" s="4">
        <v>2009</v>
      </c>
      <c r="E5118" s="4">
        <v>50836.217720381457</v>
      </c>
      <c r="F5118" s="4" t="s">
        <v>29</v>
      </c>
    </row>
    <row r="5119" spans="1:6" x14ac:dyDescent="0.25">
      <c r="A5119" s="4" t="s">
        <v>74</v>
      </c>
      <c r="B5119" s="4" t="s">
        <v>1</v>
      </c>
      <c r="C5119" s="4" t="s">
        <v>35</v>
      </c>
      <c r="D5119" s="4">
        <v>2010</v>
      </c>
      <c r="E5119" s="4">
        <v>51338.873677928677</v>
      </c>
      <c r="F5119" s="4" t="s">
        <v>29</v>
      </c>
    </row>
    <row r="5120" spans="1:6" x14ac:dyDescent="0.25">
      <c r="A5120" s="4" t="s">
        <v>74</v>
      </c>
      <c r="B5120" s="4" t="s">
        <v>1</v>
      </c>
      <c r="C5120" s="4" t="s">
        <v>35</v>
      </c>
      <c r="D5120" s="4">
        <v>2011</v>
      </c>
      <c r="E5120" s="4">
        <v>56341.617267120324</v>
      </c>
      <c r="F5120" s="4" t="s">
        <v>29</v>
      </c>
    </row>
    <row r="5121" spans="1:6" x14ac:dyDescent="0.25">
      <c r="A5121" s="4" t="s">
        <v>74</v>
      </c>
      <c r="B5121" s="4" t="s">
        <v>1</v>
      </c>
      <c r="C5121" s="4" t="s">
        <v>35</v>
      </c>
      <c r="D5121" s="4">
        <v>2012</v>
      </c>
      <c r="E5121" s="4">
        <v>65504.216617338796</v>
      </c>
      <c r="F5121" s="4" t="s">
        <v>29</v>
      </c>
    </row>
    <row r="5122" spans="1:6" x14ac:dyDescent="0.25">
      <c r="A5122" s="4" t="s">
        <v>74</v>
      </c>
      <c r="B5122" s="4" t="s">
        <v>1</v>
      </c>
      <c r="C5122" s="4" t="s">
        <v>35</v>
      </c>
      <c r="D5122" s="4">
        <v>2013</v>
      </c>
      <c r="E5122" s="4">
        <v>69200.576338328712</v>
      </c>
      <c r="F5122" s="4" t="s">
        <v>29</v>
      </c>
    </row>
    <row r="5123" spans="1:6" x14ac:dyDescent="0.25">
      <c r="A5123" s="4" t="s">
        <v>74</v>
      </c>
      <c r="B5123" s="4" t="s">
        <v>1</v>
      </c>
      <c r="C5123" s="4" t="s">
        <v>35</v>
      </c>
      <c r="D5123" s="4">
        <v>2014</v>
      </c>
      <c r="E5123" s="4">
        <v>71051.166299791337</v>
      </c>
      <c r="F5123" s="4" t="s">
        <v>29</v>
      </c>
    </row>
    <row r="5124" spans="1:6" x14ac:dyDescent="0.25">
      <c r="A5124" s="4" t="s">
        <v>74</v>
      </c>
      <c r="B5124" s="4" t="s">
        <v>1</v>
      </c>
      <c r="C5124" s="4" t="s">
        <v>35</v>
      </c>
      <c r="D5124" s="4">
        <v>2015</v>
      </c>
      <c r="E5124" s="4">
        <v>64074.35544146796</v>
      </c>
      <c r="F5124" s="4" t="s">
        <v>29</v>
      </c>
    </row>
    <row r="5125" spans="1:6" x14ac:dyDescent="0.25">
      <c r="A5125" s="4" t="s">
        <v>74</v>
      </c>
      <c r="B5125" s="4" t="s">
        <v>1</v>
      </c>
      <c r="C5125" s="4" t="s">
        <v>35</v>
      </c>
      <c r="D5125" s="4">
        <v>2016</v>
      </c>
      <c r="E5125" s="4">
        <v>53323.447957963377</v>
      </c>
      <c r="F5125" s="4" t="s">
        <v>29</v>
      </c>
    </row>
    <row r="5126" spans="1:6" x14ac:dyDescent="0.25">
      <c r="A5126" s="4" t="s">
        <v>74</v>
      </c>
      <c r="B5126" s="4" t="s">
        <v>1</v>
      </c>
      <c r="C5126" s="4" t="s">
        <v>35</v>
      </c>
      <c r="D5126" s="4">
        <v>2017</v>
      </c>
      <c r="E5126" s="4">
        <v>53315.231226348718</v>
      </c>
      <c r="F5126" s="4" t="s">
        <v>29</v>
      </c>
    </row>
    <row r="5127" spans="1:6" x14ac:dyDescent="0.25">
      <c r="A5127" s="4" t="s">
        <v>74</v>
      </c>
      <c r="B5127" s="4" t="s">
        <v>1</v>
      </c>
      <c r="C5127" s="4" t="s">
        <v>35</v>
      </c>
      <c r="D5127" s="4">
        <v>2018</v>
      </c>
      <c r="E5127" s="4">
        <v>54340.060093030908</v>
      </c>
      <c r="F5127" s="4" t="s">
        <v>29</v>
      </c>
    </row>
    <row r="5128" spans="1:6" x14ac:dyDescent="0.25">
      <c r="A5128" s="4" t="s">
        <v>74</v>
      </c>
      <c r="B5128" s="4" t="s">
        <v>1</v>
      </c>
      <c r="C5128" s="4" t="s">
        <v>35</v>
      </c>
      <c r="D5128" s="4">
        <v>2019</v>
      </c>
      <c r="E5128" s="4">
        <v>53043.212526924304</v>
      </c>
      <c r="F5128" s="4" t="s">
        <v>29</v>
      </c>
    </row>
    <row r="5129" spans="1:6" x14ac:dyDescent="0.25">
      <c r="A5129" s="4" t="s">
        <v>74</v>
      </c>
      <c r="B5129" s="4" t="s">
        <v>1</v>
      </c>
      <c r="C5129" s="4" t="s">
        <v>35</v>
      </c>
      <c r="D5129" s="4">
        <v>2020</v>
      </c>
      <c r="E5129" s="4">
        <v>49782.105713326382</v>
      </c>
      <c r="F5129" s="4" t="s">
        <v>29</v>
      </c>
    </row>
    <row r="5130" spans="1:6" x14ac:dyDescent="0.25">
      <c r="A5130" s="4" t="s">
        <v>74</v>
      </c>
      <c r="B5130" s="4" t="s">
        <v>1</v>
      </c>
      <c r="C5130" s="4" t="s">
        <v>35</v>
      </c>
      <c r="D5130" s="4">
        <v>2021</v>
      </c>
      <c r="E5130" s="4">
        <v>47099.862052231285</v>
      </c>
      <c r="F5130" s="4" t="s">
        <v>29</v>
      </c>
    </row>
    <row r="5131" spans="1:6" x14ac:dyDescent="0.25">
      <c r="A5131" s="4" t="s">
        <v>74</v>
      </c>
      <c r="B5131" s="4" t="s">
        <v>1</v>
      </c>
      <c r="C5131" s="4" t="s">
        <v>35</v>
      </c>
      <c r="D5131" s="4">
        <v>2022</v>
      </c>
      <c r="E5131" s="4">
        <v>44700.532217056782</v>
      </c>
      <c r="F5131" s="4" t="s">
        <v>29</v>
      </c>
    </row>
    <row r="5132" spans="1:6" x14ac:dyDescent="0.25">
      <c r="A5132" s="4" t="s">
        <v>74</v>
      </c>
      <c r="B5132" s="4" t="s">
        <v>1</v>
      </c>
      <c r="C5132" s="4" t="s">
        <v>35</v>
      </c>
      <c r="D5132" s="4">
        <v>2023</v>
      </c>
      <c r="E5132" s="4">
        <v>42681.698902536475</v>
      </c>
      <c r="F5132" s="4" t="s">
        <v>29</v>
      </c>
    </row>
    <row r="5133" spans="1:6" x14ac:dyDescent="0.25">
      <c r="A5133" s="4" t="s">
        <v>74</v>
      </c>
      <c r="B5133" s="4" t="s">
        <v>1</v>
      </c>
      <c r="C5133" s="4" t="s">
        <v>35</v>
      </c>
      <c r="D5133" s="4">
        <v>2024</v>
      </c>
      <c r="E5133" s="4">
        <v>40985.171126611996</v>
      </c>
      <c r="F5133" s="4" t="s">
        <v>29</v>
      </c>
    </row>
    <row r="5134" spans="1:6" x14ac:dyDescent="0.25">
      <c r="A5134" s="4" t="s">
        <v>74</v>
      </c>
      <c r="B5134" s="4" t="s">
        <v>1</v>
      </c>
      <c r="C5134" s="4" t="s">
        <v>35</v>
      </c>
      <c r="D5134" s="4">
        <v>2025</v>
      </c>
      <c r="E5134" s="4">
        <v>39515.694641813949</v>
      </c>
      <c r="F5134" s="4" t="s">
        <v>29</v>
      </c>
    </row>
    <row r="5135" spans="1:6" x14ac:dyDescent="0.25">
      <c r="A5135" s="4" t="s">
        <v>74</v>
      </c>
      <c r="B5135" s="4" t="s">
        <v>1</v>
      </c>
      <c r="C5135" s="4" t="s">
        <v>35</v>
      </c>
      <c r="D5135" s="4">
        <v>2026</v>
      </c>
      <c r="E5135" s="4">
        <v>38221.891762197331</v>
      </c>
      <c r="F5135" s="4" t="s">
        <v>29</v>
      </c>
    </row>
    <row r="5136" spans="1:6" x14ac:dyDescent="0.25">
      <c r="A5136" s="4" t="s">
        <v>74</v>
      </c>
      <c r="B5136" s="4" t="s">
        <v>1</v>
      </c>
      <c r="C5136" s="4" t="s">
        <v>35</v>
      </c>
      <c r="D5136" s="4">
        <v>2027</v>
      </c>
      <c r="E5136" s="4">
        <v>37000.153773363869</v>
      </c>
      <c r="F5136" s="4" t="s">
        <v>29</v>
      </c>
    </row>
    <row r="5137" spans="1:6" x14ac:dyDescent="0.25">
      <c r="A5137" s="4" t="s">
        <v>74</v>
      </c>
      <c r="B5137" s="4" t="s">
        <v>1</v>
      </c>
      <c r="C5137" s="4" t="s">
        <v>35</v>
      </c>
      <c r="D5137" s="4">
        <v>2028</v>
      </c>
      <c r="E5137" s="4">
        <v>35810.974518579904</v>
      </c>
      <c r="F5137" s="4" t="s">
        <v>29</v>
      </c>
    </row>
    <row r="5138" spans="1:6" x14ac:dyDescent="0.25">
      <c r="A5138" s="4" t="s">
        <v>74</v>
      </c>
      <c r="B5138" s="4" t="s">
        <v>1</v>
      </c>
      <c r="C5138" s="4" t="s">
        <v>35</v>
      </c>
      <c r="D5138" s="4">
        <v>2029</v>
      </c>
      <c r="E5138" s="4">
        <v>34663.495296012385</v>
      </c>
      <c r="F5138" s="4" t="s">
        <v>29</v>
      </c>
    </row>
    <row r="5139" spans="1:6" x14ac:dyDescent="0.25">
      <c r="A5139" s="4" t="s">
        <v>74</v>
      </c>
      <c r="B5139" s="4" t="s">
        <v>1</v>
      </c>
      <c r="C5139" s="4" t="s">
        <v>35</v>
      </c>
      <c r="D5139" s="4">
        <v>2030</v>
      </c>
      <c r="E5139" s="4">
        <v>33542.720432271417</v>
      </c>
      <c r="F5139" s="4" t="s">
        <v>29</v>
      </c>
    </row>
    <row r="5140" spans="1:6" x14ac:dyDescent="0.25">
      <c r="A5140" s="4" t="s">
        <v>74</v>
      </c>
      <c r="B5140" s="4" t="s">
        <v>1</v>
      </c>
      <c r="C5140" s="4" t="s">
        <v>35</v>
      </c>
      <c r="D5140" s="4">
        <v>2031</v>
      </c>
      <c r="E5140" s="4">
        <v>32442.349551822452</v>
      </c>
      <c r="F5140" s="4" t="s">
        <v>29</v>
      </c>
    </row>
    <row r="5141" spans="1:6" x14ac:dyDescent="0.25">
      <c r="A5141" s="4" t="s">
        <v>74</v>
      </c>
      <c r="B5141" s="4" t="s">
        <v>1</v>
      </c>
      <c r="C5141" s="4" t="s">
        <v>35</v>
      </c>
      <c r="D5141" s="4">
        <v>2032</v>
      </c>
      <c r="E5141" s="4">
        <v>31358.224309576035</v>
      </c>
      <c r="F5141" s="4" t="s">
        <v>29</v>
      </c>
    </row>
    <row r="5142" spans="1:6" x14ac:dyDescent="0.25">
      <c r="A5142" s="4" t="s">
        <v>74</v>
      </c>
      <c r="B5142" s="4" t="s">
        <v>1</v>
      </c>
      <c r="C5142" s="4" t="s">
        <v>35</v>
      </c>
      <c r="D5142" s="4">
        <v>2033</v>
      </c>
      <c r="E5142" s="4">
        <v>30326.674941078043</v>
      </c>
      <c r="F5142" s="4" t="s">
        <v>29</v>
      </c>
    </row>
    <row r="5143" spans="1:6" x14ac:dyDescent="0.25">
      <c r="A5143" s="4" t="s">
        <v>74</v>
      </c>
      <c r="B5143" s="4" t="s">
        <v>1</v>
      </c>
      <c r="C5143" s="4" t="s">
        <v>35</v>
      </c>
      <c r="D5143" s="4">
        <v>2034</v>
      </c>
      <c r="E5143" s="4">
        <v>29351.349623712129</v>
      </c>
      <c r="F5143" s="4" t="s">
        <v>29</v>
      </c>
    </row>
    <row r="5144" spans="1:6" x14ac:dyDescent="0.25">
      <c r="A5144" s="4" t="s">
        <v>74</v>
      </c>
      <c r="B5144" s="4" t="s">
        <v>1</v>
      </c>
      <c r="C5144" s="4" t="s">
        <v>35</v>
      </c>
      <c r="D5144" s="4">
        <v>2035</v>
      </c>
      <c r="E5144" s="4">
        <v>28410.451099825827</v>
      </c>
      <c r="F5144" s="4" t="s">
        <v>29</v>
      </c>
    </row>
    <row r="5145" spans="1:6" x14ac:dyDescent="0.25">
      <c r="A5145" s="4" t="s">
        <v>74</v>
      </c>
      <c r="B5145" s="4" t="s">
        <v>1</v>
      </c>
      <c r="C5145" s="4" t="s">
        <v>35</v>
      </c>
      <c r="D5145" s="4">
        <v>2036</v>
      </c>
      <c r="E5145" s="4">
        <v>27504.028291011728</v>
      </c>
      <c r="F5145" s="4" t="s">
        <v>29</v>
      </c>
    </row>
    <row r="5146" spans="1:6" x14ac:dyDescent="0.25">
      <c r="A5146" s="4" t="s">
        <v>74</v>
      </c>
      <c r="B5146" s="4" t="s">
        <v>1</v>
      </c>
      <c r="C5146" s="4" t="s">
        <v>35</v>
      </c>
      <c r="D5146" s="4">
        <v>2037</v>
      </c>
      <c r="E5146" s="4">
        <v>26627.805376090222</v>
      </c>
      <c r="F5146" s="4" t="s">
        <v>29</v>
      </c>
    </row>
    <row r="5147" spans="1:6" x14ac:dyDescent="0.25">
      <c r="A5147" s="4" t="s">
        <v>74</v>
      </c>
      <c r="B5147" s="4" t="s">
        <v>1</v>
      </c>
      <c r="C5147" s="4" t="s">
        <v>35</v>
      </c>
      <c r="D5147" s="4">
        <v>2038</v>
      </c>
      <c r="E5147" s="4">
        <v>25771.621247085244</v>
      </c>
      <c r="F5147" s="4" t="s">
        <v>29</v>
      </c>
    </row>
    <row r="5148" spans="1:6" x14ac:dyDescent="0.25">
      <c r="A5148" s="4" t="s">
        <v>74</v>
      </c>
      <c r="B5148" s="4" t="s">
        <v>1</v>
      </c>
      <c r="C5148" s="4" t="s">
        <v>35</v>
      </c>
      <c r="D5148" s="4">
        <v>2039</v>
      </c>
      <c r="E5148" s="4">
        <v>24917.375838572581</v>
      </c>
      <c r="F5148" s="4" t="s">
        <v>29</v>
      </c>
    </row>
    <row r="5149" spans="1:6" x14ac:dyDescent="0.25">
      <c r="A5149" s="4" t="s">
        <v>74</v>
      </c>
      <c r="B5149" s="4" t="s">
        <v>1</v>
      </c>
      <c r="C5149" s="4" t="s">
        <v>35</v>
      </c>
      <c r="D5149" s="4">
        <v>2040</v>
      </c>
      <c r="E5149" s="4">
        <v>24091.349486463521</v>
      </c>
      <c r="F5149" s="4" t="s">
        <v>29</v>
      </c>
    </row>
    <row r="5150" spans="1:6" x14ac:dyDescent="0.25">
      <c r="A5150" s="4" t="s">
        <v>74</v>
      </c>
      <c r="B5150" s="4" t="s">
        <v>2</v>
      </c>
      <c r="C5150" s="4" t="s">
        <v>35</v>
      </c>
      <c r="D5150" s="4">
        <v>2005</v>
      </c>
      <c r="E5150" s="4">
        <v>29193.593812990777</v>
      </c>
      <c r="F5150" s="4" t="s">
        <v>29</v>
      </c>
    </row>
    <row r="5151" spans="1:6" x14ac:dyDescent="0.25">
      <c r="A5151" s="4" t="s">
        <v>74</v>
      </c>
      <c r="B5151" s="4" t="s">
        <v>2</v>
      </c>
      <c r="C5151" s="4" t="s">
        <v>35</v>
      </c>
      <c r="D5151" s="4">
        <v>2006</v>
      </c>
      <c r="E5151" s="4">
        <v>27160.952141415612</v>
      </c>
      <c r="F5151" s="4" t="s">
        <v>29</v>
      </c>
    </row>
    <row r="5152" spans="1:6" x14ac:dyDescent="0.25">
      <c r="A5152" s="4" t="s">
        <v>74</v>
      </c>
      <c r="B5152" s="4" t="s">
        <v>2</v>
      </c>
      <c r="C5152" s="4" t="s">
        <v>35</v>
      </c>
      <c r="D5152" s="4">
        <v>2007</v>
      </c>
      <c r="E5152" s="4">
        <v>26214.863449288954</v>
      </c>
      <c r="F5152" s="4" t="s">
        <v>29</v>
      </c>
    </row>
    <row r="5153" spans="1:6" x14ac:dyDescent="0.25">
      <c r="A5153" s="4" t="s">
        <v>74</v>
      </c>
      <c r="B5153" s="4" t="s">
        <v>2</v>
      </c>
      <c r="C5153" s="4" t="s">
        <v>35</v>
      </c>
      <c r="D5153" s="4">
        <v>2008</v>
      </c>
      <c r="E5153" s="4">
        <v>24858.490534147371</v>
      </c>
      <c r="F5153" s="4" t="s">
        <v>29</v>
      </c>
    </row>
    <row r="5154" spans="1:6" x14ac:dyDescent="0.25">
      <c r="A5154" s="4" t="s">
        <v>74</v>
      </c>
      <c r="B5154" s="4" t="s">
        <v>2</v>
      </c>
      <c r="C5154" s="4" t="s">
        <v>35</v>
      </c>
      <c r="D5154" s="4">
        <v>2009</v>
      </c>
      <c r="E5154" s="4">
        <v>22446.045407498725</v>
      </c>
      <c r="F5154" s="4" t="s">
        <v>29</v>
      </c>
    </row>
    <row r="5155" spans="1:6" x14ac:dyDescent="0.25">
      <c r="A5155" s="4" t="s">
        <v>74</v>
      </c>
      <c r="B5155" s="4" t="s">
        <v>2</v>
      </c>
      <c r="C5155" s="4" t="s">
        <v>35</v>
      </c>
      <c r="D5155" s="4">
        <v>2010</v>
      </c>
      <c r="E5155" s="4">
        <v>21617.565081031888</v>
      </c>
      <c r="F5155" s="4" t="s">
        <v>29</v>
      </c>
    </row>
    <row r="5156" spans="1:6" x14ac:dyDescent="0.25">
      <c r="A5156" s="4" t="s">
        <v>74</v>
      </c>
      <c r="B5156" s="4" t="s">
        <v>2</v>
      </c>
      <c r="C5156" s="4" t="s">
        <v>35</v>
      </c>
      <c r="D5156" s="4">
        <v>2011</v>
      </c>
      <c r="E5156" s="4">
        <v>21535.350062628768</v>
      </c>
      <c r="F5156" s="4" t="s">
        <v>29</v>
      </c>
    </row>
    <row r="5157" spans="1:6" x14ac:dyDescent="0.25">
      <c r="A5157" s="4" t="s">
        <v>74</v>
      </c>
      <c r="B5157" s="4" t="s">
        <v>2</v>
      </c>
      <c r="C5157" s="4" t="s">
        <v>35</v>
      </c>
      <c r="D5157" s="4">
        <v>2012</v>
      </c>
      <c r="E5157" s="4">
        <v>22936.758509477593</v>
      </c>
      <c r="F5157" s="4" t="s">
        <v>29</v>
      </c>
    </row>
    <row r="5158" spans="1:6" x14ac:dyDescent="0.25">
      <c r="A5158" s="4" t="s">
        <v>74</v>
      </c>
      <c r="B5158" s="4" t="s">
        <v>2</v>
      </c>
      <c r="C5158" s="4" t="s">
        <v>35</v>
      </c>
      <c r="D5158" s="4">
        <v>2013</v>
      </c>
      <c r="E5158" s="4">
        <v>23326.349274190499</v>
      </c>
      <c r="F5158" s="4" t="s">
        <v>29</v>
      </c>
    </row>
    <row r="5159" spans="1:6" x14ac:dyDescent="0.25">
      <c r="A5159" s="4" t="s">
        <v>74</v>
      </c>
      <c r="B5159" s="4" t="s">
        <v>2</v>
      </c>
      <c r="C5159" s="4" t="s">
        <v>35</v>
      </c>
      <c r="D5159" s="4">
        <v>2014</v>
      </c>
      <c r="E5159" s="4">
        <v>22640.786462625441</v>
      </c>
      <c r="F5159" s="4" t="s">
        <v>29</v>
      </c>
    </row>
    <row r="5160" spans="1:6" x14ac:dyDescent="0.25">
      <c r="A5160" s="4" t="s">
        <v>74</v>
      </c>
      <c r="B5160" s="4" t="s">
        <v>2</v>
      </c>
      <c r="C5160" s="4" t="s">
        <v>35</v>
      </c>
      <c r="D5160" s="4">
        <v>2015</v>
      </c>
      <c r="E5160" s="4">
        <v>20228.204740943693</v>
      </c>
      <c r="F5160" s="4" t="s">
        <v>29</v>
      </c>
    </row>
    <row r="5161" spans="1:6" x14ac:dyDescent="0.25">
      <c r="A5161" s="4" t="s">
        <v>74</v>
      </c>
      <c r="B5161" s="4" t="s">
        <v>2</v>
      </c>
      <c r="C5161" s="4" t="s">
        <v>35</v>
      </c>
      <c r="D5161" s="4">
        <v>2016</v>
      </c>
      <c r="E5161" s="4">
        <v>17488.412924688299</v>
      </c>
      <c r="F5161" s="4" t="s">
        <v>29</v>
      </c>
    </row>
    <row r="5162" spans="1:6" x14ac:dyDescent="0.25">
      <c r="A5162" s="4" t="s">
        <v>74</v>
      </c>
      <c r="B5162" s="4" t="s">
        <v>2</v>
      </c>
      <c r="C5162" s="4" t="s">
        <v>35</v>
      </c>
      <c r="D5162" s="4">
        <v>2017</v>
      </c>
      <c r="E5162" s="4">
        <v>17204.000523056242</v>
      </c>
      <c r="F5162" s="4" t="s">
        <v>29</v>
      </c>
    </row>
    <row r="5163" spans="1:6" x14ac:dyDescent="0.25">
      <c r="A5163" s="4" t="s">
        <v>74</v>
      </c>
      <c r="B5163" s="4" t="s">
        <v>2</v>
      </c>
      <c r="C5163" s="4" t="s">
        <v>35</v>
      </c>
      <c r="D5163" s="4">
        <v>2018</v>
      </c>
      <c r="E5163" s="4">
        <v>16180.838571060292</v>
      </c>
      <c r="F5163" s="4" t="s">
        <v>29</v>
      </c>
    </row>
    <row r="5164" spans="1:6" x14ac:dyDescent="0.25">
      <c r="A5164" s="4" t="s">
        <v>74</v>
      </c>
      <c r="B5164" s="4" t="s">
        <v>2</v>
      </c>
      <c r="C5164" s="4" t="s">
        <v>35</v>
      </c>
      <c r="D5164" s="4">
        <v>2019</v>
      </c>
      <c r="E5164" s="4">
        <v>14714.363987135865</v>
      </c>
      <c r="F5164" s="4" t="s">
        <v>29</v>
      </c>
    </row>
    <row r="5165" spans="1:6" x14ac:dyDescent="0.25">
      <c r="A5165" s="4" t="s">
        <v>74</v>
      </c>
      <c r="B5165" s="4" t="s">
        <v>2</v>
      </c>
      <c r="C5165" s="4" t="s">
        <v>35</v>
      </c>
      <c r="D5165" s="4">
        <v>2020</v>
      </c>
      <c r="E5165" s="4">
        <v>12958.635248116228</v>
      </c>
      <c r="F5165" s="4" t="s">
        <v>29</v>
      </c>
    </row>
    <row r="5166" spans="1:6" x14ac:dyDescent="0.25">
      <c r="A5166" s="4" t="s">
        <v>74</v>
      </c>
      <c r="B5166" s="4" t="s">
        <v>2</v>
      </c>
      <c r="C5166" s="4" t="s">
        <v>35</v>
      </c>
      <c r="D5166" s="4">
        <v>2021</v>
      </c>
      <c r="E5166" s="4">
        <v>11550.067869321698</v>
      </c>
      <c r="F5166" s="4" t="s">
        <v>29</v>
      </c>
    </row>
    <row r="5167" spans="1:6" x14ac:dyDescent="0.25">
      <c r="A5167" s="4" t="s">
        <v>74</v>
      </c>
      <c r="B5167" s="4" t="s">
        <v>2</v>
      </c>
      <c r="C5167" s="4" t="s">
        <v>35</v>
      </c>
      <c r="D5167" s="4">
        <v>2022</v>
      </c>
      <c r="E5167" s="4">
        <v>10409.526272159615</v>
      </c>
      <c r="F5167" s="4" t="s">
        <v>29</v>
      </c>
    </row>
    <row r="5168" spans="1:6" x14ac:dyDescent="0.25">
      <c r="A5168" s="4" t="s">
        <v>74</v>
      </c>
      <c r="B5168" s="4" t="s">
        <v>2</v>
      </c>
      <c r="C5168" s="4" t="s">
        <v>35</v>
      </c>
      <c r="D5168" s="4">
        <v>2023</v>
      </c>
      <c r="E5168" s="4">
        <v>9507.1821526054391</v>
      </c>
      <c r="F5168" s="4" t="s">
        <v>29</v>
      </c>
    </row>
    <row r="5169" spans="1:6" x14ac:dyDescent="0.25">
      <c r="A5169" s="4" t="s">
        <v>74</v>
      </c>
      <c r="B5169" s="4" t="s">
        <v>2</v>
      </c>
      <c r="C5169" s="4" t="s">
        <v>35</v>
      </c>
      <c r="D5169" s="4">
        <v>2024</v>
      </c>
      <c r="E5169" s="4">
        <v>8805.283227761016</v>
      </c>
      <c r="F5169" s="4" t="s">
        <v>29</v>
      </c>
    </row>
    <row r="5170" spans="1:6" x14ac:dyDescent="0.25">
      <c r="A5170" s="4" t="s">
        <v>74</v>
      </c>
      <c r="B5170" s="4" t="s">
        <v>2</v>
      </c>
      <c r="C5170" s="4" t="s">
        <v>35</v>
      </c>
      <c r="D5170" s="4">
        <v>2025</v>
      </c>
      <c r="E5170" s="4">
        <v>8253.749811462676</v>
      </c>
      <c r="F5170" s="4" t="s">
        <v>29</v>
      </c>
    </row>
    <row r="5171" spans="1:6" x14ac:dyDescent="0.25">
      <c r="A5171" s="4" t="s">
        <v>74</v>
      </c>
      <c r="B5171" s="4" t="s">
        <v>2</v>
      </c>
      <c r="C5171" s="4" t="s">
        <v>35</v>
      </c>
      <c r="D5171" s="4">
        <v>2026</v>
      </c>
      <c r="E5171" s="4">
        <v>7818.1309958607853</v>
      </c>
      <c r="F5171" s="4" t="s">
        <v>29</v>
      </c>
    </row>
    <row r="5172" spans="1:6" x14ac:dyDescent="0.25">
      <c r="A5172" s="4" t="s">
        <v>74</v>
      </c>
      <c r="B5172" s="4" t="s">
        <v>2</v>
      </c>
      <c r="C5172" s="4" t="s">
        <v>35</v>
      </c>
      <c r="D5172" s="4">
        <v>2027</v>
      </c>
      <c r="E5172" s="4">
        <v>7455.6271181843576</v>
      </c>
      <c r="F5172" s="4" t="s">
        <v>29</v>
      </c>
    </row>
    <row r="5173" spans="1:6" x14ac:dyDescent="0.25">
      <c r="A5173" s="4" t="s">
        <v>74</v>
      </c>
      <c r="B5173" s="4" t="s">
        <v>2</v>
      </c>
      <c r="C5173" s="4" t="s">
        <v>35</v>
      </c>
      <c r="D5173" s="4">
        <v>2028</v>
      </c>
      <c r="E5173" s="4">
        <v>7135.2600091473269</v>
      </c>
      <c r="F5173" s="4" t="s">
        <v>29</v>
      </c>
    </row>
    <row r="5174" spans="1:6" x14ac:dyDescent="0.25">
      <c r="A5174" s="4" t="s">
        <v>74</v>
      </c>
      <c r="B5174" s="4" t="s">
        <v>2</v>
      </c>
      <c r="C5174" s="4" t="s">
        <v>35</v>
      </c>
      <c r="D5174" s="4">
        <v>2029</v>
      </c>
      <c r="E5174" s="4">
        <v>6847.7007584127177</v>
      </c>
      <c r="F5174" s="4" t="s">
        <v>29</v>
      </c>
    </row>
    <row r="5175" spans="1:6" x14ac:dyDescent="0.25">
      <c r="A5175" s="4" t="s">
        <v>74</v>
      </c>
      <c r="B5175" s="4" t="s">
        <v>2</v>
      </c>
      <c r="C5175" s="4" t="s">
        <v>35</v>
      </c>
      <c r="D5175" s="4">
        <v>2030</v>
      </c>
      <c r="E5175" s="4">
        <v>6586.8810828913456</v>
      </c>
      <c r="F5175" s="4" t="s">
        <v>29</v>
      </c>
    </row>
    <row r="5176" spans="1:6" x14ac:dyDescent="0.25">
      <c r="A5176" s="4" t="s">
        <v>74</v>
      </c>
      <c r="B5176" s="4" t="s">
        <v>2</v>
      </c>
      <c r="C5176" s="4" t="s">
        <v>35</v>
      </c>
      <c r="D5176" s="4">
        <v>2031</v>
      </c>
      <c r="E5176" s="4">
        <v>6348.0216163349969</v>
      </c>
      <c r="F5176" s="4" t="s">
        <v>29</v>
      </c>
    </row>
    <row r="5177" spans="1:6" x14ac:dyDescent="0.25">
      <c r="A5177" s="4" t="s">
        <v>74</v>
      </c>
      <c r="B5177" s="4" t="s">
        <v>2</v>
      </c>
      <c r="C5177" s="4" t="s">
        <v>35</v>
      </c>
      <c r="D5177" s="4">
        <v>2032</v>
      </c>
      <c r="E5177" s="4">
        <v>6128.4810360953934</v>
      </c>
      <c r="F5177" s="4" t="s">
        <v>29</v>
      </c>
    </row>
    <row r="5178" spans="1:6" x14ac:dyDescent="0.25">
      <c r="A5178" s="4" t="s">
        <v>74</v>
      </c>
      <c r="B5178" s="4" t="s">
        <v>2</v>
      </c>
      <c r="C5178" s="4" t="s">
        <v>35</v>
      </c>
      <c r="D5178" s="4">
        <v>2033</v>
      </c>
      <c r="E5178" s="4">
        <v>5927.16843049208</v>
      </c>
      <c r="F5178" s="4" t="s">
        <v>29</v>
      </c>
    </row>
    <row r="5179" spans="1:6" x14ac:dyDescent="0.25">
      <c r="A5179" s="4" t="s">
        <v>74</v>
      </c>
      <c r="B5179" s="4" t="s">
        <v>2</v>
      </c>
      <c r="C5179" s="4" t="s">
        <v>35</v>
      </c>
      <c r="D5179" s="4">
        <v>2034</v>
      </c>
      <c r="E5179" s="4">
        <v>5740.3290482682523</v>
      </c>
      <c r="F5179" s="4" t="s">
        <v>29</v>
      </c>
    </row>
    <row r="5180" spans="1:6" x14ac:dyDescent="0.25">
      <c r="A5180" s="4" t="s">
        <v>74</v>
      </c>
      <c r="B5180" s="4" t="s">
        <v>2</v>
      </c>
      <c r="C5180" s="4" t="s">
        <v>35</v>
      </c>
      <c r="D5180" s="4">
        <v>2035</v>
      </c>
      <c r="E5180" s="4">
        <v>5564.9532593325566</v>
      </c>
      <c r="F5180" s="4" t="s">
        <v>29</v>
      </c>
    </row>
    <row r="5181" spans="1:6" x14ac:dyDescent="0.25">
      <c r="A5181" s="4" t="s">
        <v>74</v>
      </c>
      <c r="B5181" s="4" t="s">
        <v>2</v>
      </c>
      <c r="C5181" s="4" t="s">
        <v>35</v>
      </c>
      <c r="D5181" s="4">
        <v>2036</v>
      </c>
      <c r="E5181" s="4">
        <v>5399.9114113117639</v>
      </c>
      <c r="F5181" s="4" t="s">
        <v>29</v>
      </c>
    </row>
    <row r="5182" spans="1:6" x14ac:dyDescent="0.25">
      <c r="A5182" s="4" t="s">
        <v>74</v>
      </c>
      <c r="B5182" s="4" t="s">
        <v>2</v>
      </c>
      <c r="C5182" s="4" t="s">
        <v>35</v>
      </c>
      <c r="D5182" s="4">
        <v>2037</v>
      </c>
      <c r="E5182" s="4">
        <v>5244.1589290827069</v>
      </c>
      <c r="F5182" s="4" t="s">
        <v>29</v>
      </c>
    </row>
    <row r="5183" spans="1:6" x14ac:dyDescent="0.25">
      <c r="A5183" s="4" t="s">
        <v>74</v>
      </c>
      <c r="B5183" s="4" t="s">
        <v>2</v>
      </c>
      <c r="C5183" s="4" t="s">
        <v>35</v>
      </c>
      <c r="D5183" s="4">
        <v>2038</v>
      </c>
      <c r="E5183" s="4">
        <v>5092.4453320374714</v>
      </c>
      <c r="F5183" s="4" t="s">
        <v>29</v>
      </c>
    </row>
    <row r="5184" spans="1:6" x14ac:dyDescent="0.25">
      <c r="A5184" s="4" t="s">
        <v>74</v>
      </c>
      <c r="B5184" s="4" t="s">
        <v>2</v>
      </c>
      <c r="C5184" s="4" t="s">
        <v>35</v>
      </c>
      <c r="D5184" s="4">
        <v>2039</v>
      </c>
      <c r="E5184" s="4">
        <v>4937.6583687169559</v>
      </c>
      <c r="F5184" s="4" t="s">
        <v>29</v>
      </c>
    </row>
    <row r="5185" spans="1:6" x14ac:dyDescent="0.25">
      <c r="A5185" s="4" t="s">
        <v>74</v>
      </c>
      <c r="B5185" s="4" t="s">
        <v>2</v>
      </c>
      <c r="C5185" s="4" t="s">
        <v>35</v>
      </c>
      <c r="D5185" s="4">
        <v>2040</v>
      </c>
      <c r="E5185" s="4">
        <v>4787.1802411163198</v>
      </c>
      <c r="F5185" s="4" t="s">
        <v>29</v>
      </c>
    </row>
    <row r="5186" spans="1:6" x14ac:dyDescent="0.25">
      <c r="A5186" s="4" t="s">
        <v>74</v>
      </c>
      <c r="B5186" s="4" t="s">
        <v>3</v>
      </c>
      <c r="C5186" s="4" t="s">
        <v>35</v>
      </c>
      <c r="D5186" s="4">
        <v>2005</v>
      </c>
      <c r="E5186" s="4">
        <v>20570</v>
      </c>
      <c r="F5186" s="4" t="s">
        <v>29</v>
      </c>
    </row>
    <row r="5187" spans="1:6" x14ac:dyDescent="0.25">
      <c r="A5187" s="4" t="s">
        <v>74</v>
      </c>
      <c r="B5187" s="4" t="s">
        <v>3</v>
      </c>
      <c r="C5187" s="4" t="s">
        <v>35</v>
      </c>
      <c r="D5187" s="4">
        <v>2006</v>
      </c>
      <c r="E5187" s="4">
        <v>21350</v>
      </c>
      <c r="F5187" s="4" t="s">
        <v>29</v>
      </c>
    </row>
    <row r="5188" spans="1:6" x14ac:dyDescent="0.25">
      <c r="A5188" s="4" t="s">
        <v>74</v>
      </c>
      <c r="B5188" s="4" t="s">
        <v>3</v>
      </c>
      <c r="C5188" s="4" t="s">
        <v>35</v>
      </c>
      <c r="D5188" s="4">
        <v>2007</v>
      </c>
      <c r="E5188" s="4">
        <v>21260</v>
      </c>
      <c r="F5188" s="4" t="s">
        <v>29</v>
      </c>
    </row>
    <row r="5189" spans="1:6" x14ac:dyDescent="0.25">
      <c r="A5189" s="4" t="s">
        <v>74</v>
      </c>
      <c r="B5189" s="4" t="s">
        <v>3</v>
      </c>
      <c r="C5189" s="4" t="s">
        <v>35</v>
      </c>
      <c r="D5189" s="4">
        <v>2008</v>
      </c>
      <c r="E5189" s="4">
        <v>20070</v>
      </c>
      <c r="F5189" s="4" t="s">
        <v>29</v>
      </c>
    </row>
    <row r="5190" spans="1:6" x14ac:dyDescent="0.25">
      <c r="A5190" s="4" t="s">
        <v>74</v>
      </c>
      <c r="B5190" s="4" t="s">
        <v>3</v>
      </c>
      <c r="C5190" s="4" t="s">
        <v>35</v>
      </c>
      <c r="D5190" s="4">
        <v>2009</v>
      </c>
      <c r="E5190" s="4">
        <v>18840</v>
      </c>
      <c r="F5190" s="4" t="s">
        <v>29</v>
      </c>
    </row>
    <row r="5191" spans="1:6" x14ac:dyDescent="0.25">
      <c r="A5191" s="4" t="s">
        <v>74</v>
      </c>
      <c r="B5191" s="4" t="s">
        <v>3</v>
      </c>
      <c r="C5191" s="4" t="s">
        <v>35</v>
      </c>
      <c r="D5191" s="4">
        <v>2010</v>
      </c>
      <c r="E5191" s="4">
        <v>18330</v>
      </c>
      <c r="F5191" s="4" t="s">
        <v>29</v>
      </c>
    </row>
    <row r="5192" spans="1:6" x14ac:dyDescent="0.25">
      <c r="A5192" s="4" t="s">
        <v>74</v>
      </c>
      <c r="B5192" s="4" t="s">
        <v>3</v>
      </c>
      <c r="C5192" s="4" t="s">
        <v>35</v>
      </c>
      <c r="D5192" s="4">
        <v>2011</v>
      </c>
      <c r="E5192" s="4">
        <v>17720</v>
      </c>
      <c r="F5192" s="4" t="s">
        <v>29</v>
      </c>
    </row>
    <row r="5193" spans="1:6" x14ac:dyDescent="0.25">
      <c r="A5193" s="4" t="s">
        <v>74</v>
      </c>
      <c r="B5193" s="4" t="s">
        <v>3</v>
      </c>
      <c r="C5193" s="4" t="s">
        <v>35</v>
      </c>
      <c r="D5193" s="4">
        <v>2012</v>
      </c>
      <c r="E5193" s="4">
        <v>17290</v>
      </c>
      <c r="F5193" s="4" t="s">
        <v>29</v>
      </c>
    </row>
    <row r="5194" spans="1:6" x14ac:dyDescent="0.25">
      <c r="A5194" s="4" t="s">
        <v>74</v>
      </c>
      <c r="B5194" s="4" t="s">
        <v>3</v>
      </c>
      <c r="C5194" s="4" t="s">
        <v>35</v>
      </c>
      <c r="D5194" s="4">
        <v>2013</v>
      </c>
      <c r="E5194" s="4">
        <v>18160</v>
      </c>
      <c r="F5194" s="4" t="s">
        <v>29</v>
      </c>
    </row>
    <row r="5195" spans="1:6" x14ac:dyDescent="0.25">
      <c r="A5195" s="4" t="s">
        <v>74</v>
      </c>
      <c r="B5195" s="4" t="s">
        <v>3</v>
      </c>
      <c r="C5195" s="4" t="s">
        <v>35</v>
      </c>
      <c r="D5195" s="4">
        <v>2014</v>
      </c>
      <c r="E5195" s="4">
        <v>21230</v>
      </c>
      <c r="F5195" s="4" t="s">
        <v>29</v>
      </c>
    </row>
    <row r="5196" spans="1:6" x14ac:dyDescent="0.25">
      <c r="A5196" s="4" t="s">
        <v>74</v>
      </c>
      <c r="B5196" s="4" t="s">
        <v>3</v>
      </c>
      <c r="C5196" s="4" t="s">
        <v>35</v>
      </c>
      <c r="D5196" s="4">
        <v>2015</v>
      </c>
      <c r="E5196" s="4">
        <v>26690</v>
      </c>
      <c r="F5196" s="4" t="s">
        <v>29</v>
      </c>
    </row>
    <row r="5197" spans="1:6" x14ac:dyDescent="0.25">
      <c r="A5197" s="4" t="s">
        <v>74</v>
      </c>
      <c r="B5197" s="4" t="s">
        <v>3</v>
      </c>
      <c r="C5197" s="4" t="s">
        <v>35</v>
      </c>
      <c r="D5197" s="4">
        <v>2016</v>
      </c>
      <c r="E5197" s="4">
        <v>27711.679452054788</v>
      </c>
      <c r="F5197" s="4" t="s">
        <v>29</v>
      </c>
    </row>
    <row r="5198" spans="1:6" x14ac:dyDescent="0.25">
      <c r="A5198" s="4" t="s">
        <v>74</v>
      </c>
      <c r="B5198" s="4" t="s">
        <v>3</v>
      </c>
      <c r="C5198" s="4" t="s">
        <v>35</v>
      </c>
      <c r="D5198" s="4">
        <v>2017</v>
      </c>
      <c r="E5198" s="4">
        <v>33352.013972602741</v>
      </c>
      <c r="F5198" s="4" t="s">
        <v>29</v>
      </c>
    </row>
    <row r="5199" spans="1:6" x14ac:dyDescent="0.25">
      <c r="A5199" s="4" t="s">
        <v>74</v>
      </c>
      <c r="B5199" s="4" t="s">
        <v>3</v>
      </c>
      <c r="C5199" s="4" t="s">
        <v>35</v>
      </c>
      <c r="D5199" s="4">
        <v>2018</v>
      </c>
      <c r="E5199" s="4">
        <v>33242.42833616359</v>
      </c>
      <c r="F5199" s="4" t="s">
        <v>29</v>
      </c>
    </row>
    <row r="5200" spans="1:6" x14ac:dyDescent="0.25">
      <c r="A5200" s="4" t="s">
        <v>74</v>
      </c>
      <c r="B5200" s="4" t="s">
        <v>3</v>
      </c>
      <c r="C5200" s="4" t="s">
        <v>35</v>
      </c>
      <c r="D5200" s="4">
        <v>2019</v>
      </c>
      <c r="E5200" s="4">
        <v>31576.920325208997</v>
      </c>
      <c r="F5200" s="4" t="s">
        <v>29</v>
      </c>
    </row>
    <row r="5201" spans="1:6" x14ac:dyDescent="0.25">
      <c r="A5201" s="4" t="s">
        <v>74</v>
      </c>
      <c r="B5201" s="4" t="s">
        <v>3</v>
      </c>
      <c r="C5201" s="4" t="s">
        <v>35</v>
      </c>
      <c r="D5201" s="4">
        <v>2020</v>
      </c>
      <c r="E5201" s="4">
        <v>29913.521814253087</v>
      </c>
      <c r="F5201" s="4" t="s">
        <v>29</v>
      </c>
    </row>
    <row r="5202" spans="1:6" x14ac:dyDescent="0.25">
      <c r="A5202" s="4" t="s">
        <v>74</v>
      </c>
      <c r="B5202" s="4" t="s">
        <v>3</v>
      </c>
      <c r="C5202" s="4" t="s">
        <v>35</v>
      </c>
      <c r="D5202" s="4">
        <v>2021</v>
      </c>
      <c r="E5202" s="4">
        <v>28481.095145271804</v>
      </c>
      <c r="F5202" s="4" t="s">
        <v>29</v>
      </c>
    </row>
    <row r="5203" spans="1:6" x14ac:dyDescent="0.25">
      <c r="A5203" s="4" t="s">
        <v>74</v>
      </c>
      <c r="B5203" s="4" t="s">
        <v>3</v>
      </c>
      <c r="C5203" s="4" t="s">
        <v>35</v>
      </c>
      <c r="D5203" s="4">
        <v>2022</v>
      </c>
      <c r="E5203" s="4">
        <v>27214.641868243049</v>
      </c>
      <c r="F5203" s="4" t="s">
        <v>29</v>
      </c>
    </row>
    <row r="5204" spans="1:6" x14ac:dyDescent="0.25">
      <c r="A5204" s="4" t="s">
        <v>74</v>
      </c>
      <c r="B5204" s="4" t="s">
        <v>3</v>
      </c>
      <c r="C5204" s="4" t="s">
        <v>35</v>
      </c>
      <c r="D5204" s="4">
        <v>2023</v>
      </c>
      <c r="E5204" s="4">
        <v>26099.64188541902</v>
      </c>
      <c r="F5204" s="4" t="s">
        <v>29</v>
      </c>
    </row>
    <row r="5205" spans="1:6" x14ac:dyDescent="0.25">
      <c r="A5205" s="4" t="s">
        <v>74</v>
      </c>
      <c r="B5205" s="4" t="s">
        <v>3</v>
      </c>
      <c r="C5205" s="4" t="s">
        <v>35</v>
      </c>
      <c r="D5205" s="4">
        <v>2024</v>
      </c>
      <c r="E5205" s="4">
        <v>25174.64476343603</v>
      </c>
      <c r="F5205" s="4" t="s">
        <v>29</v>
      </c>
    </row>
    <row r="5206" spans="1:6" x14ac:dyDescent="0.25">
      <c r="A5206" s="4" t="s">
        <v>74</v>
      </c>
      <c r="B5206" s="4" t="s">
        <v>3</v>
      </c>
      <c r="C5206" s="4" t="s">
        <v>35</v>
      </c>
      <c r="D5206" s="4">
        <v>2025</v>
      </c>
      <c r="E5206" s="4">
        <v>24432.138892260351</v>
      </c>
      <c r="F5206" s="4" t="s">
        <v>29</v>
      </c>
    </row>
    <row r="5207" spans="1:6" x14ac:dyDescent="0.25">
      <c r="A5207" s="4" t="s">
        <v>74</v>
      </c>
      <c r="B5207" s="4" t="s">
        <v>3</v>
      </c>
      <c r="C5207" s="4" t="s">
        <v>35</v>
      </c>
      <c r="D5207" s="4">
        <v>2026</v>
      </c>
      <c r="E5207" s="4">
        <v>23768.229451389419</v>
      </c>
      <c r="F5207" s="4" t="s">
        <v>29</v>
      </c>
    </row>
    <row r="5208" spans="1:6" x14ac:dyDescent="0.25">
      <c r="A5208" s="4" t="s">
        <v>74</v>
      </c>
      <c r="B5208" s="4" t="s">
        <v>3</v>
      </c>
      <c r="C5208" s="4" t="s">
        <v>35</v>
      </c>
      <c r="D5208" s="4">
        <v>2027</v>
      </c>
      <c r="E5208" s="4">
        <v>23102.444843858506</v>
      </c>
      <c r="F5208" s="4" t="s">
        <v>29</v>
      </c>
    </row>
    <row r="5209" spans="1:6" x14ac:dyDescent="0.25">
      <c r="A5209" s="4" t="s">
        <v>74</v>
      </c>
      <c r="B5209" s="4" t="s">
        <v>3</v>
      </c>
      <c r="C5209" s="4" t="s">
        <v>35</v>
      </c>
      <c r="D5209" s="4">
        <v>2028</v>
      </c>
      <c r="E5209" s="4">
        <v>22469.914165656784</v>
      </c>
      <c r="F5209" s="4" t="s">
        <v>29</v>
      </c>
    </row>
    <row r="5210" spans="1:6" x14ac:dyDescent="0.25">
      <c r="A5210" s="4" t="s">
        <v>74</v>
      </c>
      <c r="B5210" s="4" t="s">
        <v>3</v>
      </c>
      <c r="C5210" s="4" t="s">
        <v>35</v>
      </c>
      <c r="D5210" s="4">
        <v>2029</v>
      </c>
      <c r="E5210" s="4">
        <v>21885.983083667055</v>
      </c>
      <c r="F5210" s="4" t="s">
        <v>29</v>
      </c>
    </row>
    <row r="5211" spans="1:6" x14ac:dyDescent="0.25">
      <c r="A5211" s="4" t="s">
        <v>74</v>
      </c>
      <c r="B5211" s="4" t="s">
        <v>3</v>
      </c>
      <c r="C5211" s="4" t="s">
        <v>35</v>
      </c>
      <c r="D5211" s="4">
        <v>2030</v>
      </c>
      <c r="E5211" s="4">
        <v>21345.189552001422</v>
      </c>
      <c r="F5211" s="4" t="s">
        <v>29</v>
      </c>
    </row>
    <row r="5212" spans="1:6" x14ac:dyDescent="0.25">
      <c r="A5212" s="4" t="s">
        <v>74</v>
      </c>
      <c r="B5212" s="4" t="s">
        <v>3</v>
      </c>
      <c r="C5212" s="4" t="s">
        <v>35</v>
      </c>
      <c r="D5212" s="4">
        <v>2031</v>
      </c>
      <c r="E5212" s="4">
        <v>20863.433795161927</v>
      </c>
      <c r="F5212" s="4" t="s">
        <v>29</v>
      </c>
    </row>
    <row r="5213" spans="1:6" x14ac:dyDescent="0.25">
      <c r="A5213" s="4" t="s">
        <v>74</v>
      </c>
      <c r="B5213" s="4" t="s">
        <v>3</v>
      </c>
      <c r="C5213" s="4" t="s">
        <v>35</v>
      </c>
      <c r="D5213" s="4">
        <v>2032</v>
      </c>
      <c r="E5213" s="4">
        <v>20424.480403884576</v>
      </c>
      <c r="F5213" s="4" t="s">
        <v>29</v>
      </c>
    </row>
    <row r="5214" spans="1:6" x14ac:dyDescent="0.25">
      <c r="A5214" s="4" t="s">
        <v>74</v>
      </c>
      <c r="B5214" s="4" t="s">
        <v>3</v>
      </c>
      <c r="C5214" s="4" t="s">
        <v>35</v>
      </c>
      <c r="D5214" s="4">
        <v>2033</v>
      </c>
      <c r="E5214" s="4">
        <v>20004.057718549178</v>
      </c>
      <c r="F5214" s="4" t="s">
        <v>29</v>
      </c>
    </row>
    <row r="5215" spans="1:6" x14ac:dyDescent="0.25">
      <c r="A5215" s="4" t="s">
        <v>74</v>
      </c>
      <c r="B5215" s="4" t="s">
        <v>3</v>
      </c>
      <c r="C5215" s="4" t="s">
        <v>35</v>
      </c>
      <c r="D5215" s="4">
        <v>2034</v>
      </c>
      <c r="E5215" s="4">
        <v>19632.56428810368</v>
      </c>
      <c r="F5215" s="4" t="s">
        <v>29</v>
      </c>
    </row>
    <row r="5216" spans="1:6" x14ac:dyDescent="0.25">
      <c r="A5216" s="4" t="s">
        <v>74</v>
      </c>
      <c r="B5216" s="4" t="s">
        <v>3</v>
      </c>
      <c r="C5216" s="4" t="s">
        <v>35</v>
      </c>
      <c r="D5216" s="4">
        <v>2035</v>
      </c>
      <c r="E5216" s="4">
        <v>19292.872679542223</v>
      </c>
      <c r="F5216" s="4" t="s">
        <v>29</v>
      </c>
    </row>
    <row r="5217" spans="1:6" x14ac:dyDescent="0.25">
      <c r="A5217" s="4" t="s">
        <v>74</v>
      </c>
      <c r="B5217" s="4" t="s">
        <v>3</v>
      </c>
      <c r="C5217" s="4" t="s">
        <v>35</v>
      </c>
      <c r="D5217" s="4">
        <v>2036</v>
      </c>
      <c r="E5217" s="4">
        <v>19004.997680166107</v>
      </c>
      <c r="F5217" s="4" t="s">
        <v>29</v>
      </c>
    </row>
    <row r="5218" spans="1:6" x14ac:dyDescent="0.25">
      <c r="A5218" s="4" t="s">
        <v>74</v>
      </c>
      <c r="B5218" s="4" t="s">
        <v>3</v>
      </c>
      <c r="C5218" s="4" t="s">
        <v>35</v>
      </c>
      <c r="D5218" s="4">
        <v>2037</v>
      </c>
      <c r="E5218" s="4">
        <v>18736.201896243438</v>
      </c>
      <c r="F5218" s="4" t="s">
        <v>29</v>
      </c>
    </row>
    <row r="5219" spans="1:6" x14ac:dyDescent="0.25">
      <c r="A5219" s="4" t="s">
        <v>74</v>
      </c>
      <c r="B5219" s="4" t="s">
        <v>3</v>
      </c>
      <c r="C5219" s="4" t="s">
        <v>35</v>
      </c>
      <c r="D5219" s="4">
        <v>2038</v>
      </c>
      <c r="E5219" s="4">
        <v>18433.0960341383</v>
      </c>
      <c r="F5219" s="4" t="s">
        <v>29</v>
      </c>
    </row>
    <row r="5220" spans="1:6" x14ac:dyDescent="0.25">
      <c r="A5220" s="4" t="s">
        <v>74</v>
      </c>
      <c r="B5220" s="4" t="s">
        <v>3</v>
      </c>
      <c r="C5220" s="4" t="s">
        <v>35</v>
      </c>
      <c r="D5220" s="4">
        <v>2039</v>
      </c>
      <c r="E5220" s="4">
        <v>18153.259005302411</v>
      </c>
      <c r="F5220" s="4" t="s">
        <v>29</v>
      </c>
    </row>
    <row r="5221" spans="1:6" x14ac:dyDescent="0.25">
      <c r="A5221" s="4" t="s">
        <v>74</v>
      </c>
      <c r="B5221" s="4" t="s">
        <v>3</v>
      </c>
      <c r="C5221" s="4" t="s">
        <v>35</v>
      </c>
      <c r="D5221" s="4">
        <v>2040</v>
      </c>
      <c r="E5221" s="4">
        <v>17940.83389025541</v>
      </c>
      <c r="F5221" s="4" t="s">
        <v>29</v>
      </c>
    </row>
    <row r="5222" spans="1:6" x14ac:dyDescent="0.25">
      <c r="A5222" s="4" t="s">
        <v>74</v>
      </c>
      <c r="B5222" s="4" t="s">
        <v>4</v>
      </c>
      <c r="C5222" s="4" t="s">
        <v>35</v>
      </c>
      <c r="D5222" s="4">
        <v>2005</v>
      </c>
      <c r="E5222" s="4">
        <v>1540</v>
      </c>
      <c r="F5222" s="4" t="s">
        <v>29</v>
      </c>
    </row>
    <row r="5223" spans="1:6" x14ac:dyDescent="0.25">
      <c r="A5223" s="4" t="s">
        <v>74</v>
      </c>
      <c r="B5223" s="4" t="s">
        <v>4</v>
      </c>
      <c r="C5223" s="4" t="s">
        <v>35</v>
      </c>
      <c r="D5223" s="4">
        <v>2006</v>
      </c>
      <c r="E5223" s="4">
        <v>1750</v>
      </c>
      <c r="F5223" s="4" t="s">
        <v>29</v>
      </c>
    </row>
    <row r="5224" spans="1:6" x14ac:dyDescent="0.25">
      <c r="A5224" s="4" t="s">
        <v>74</v>
      </c>
      <c r="B5224" s="4" t="s">
        <v>4</v>
      </c>
      <c r="C5224" s="4" t="s">
        <v>35</v>
      </c>
      <c r="D5224" s="4">
        <v>2007</v>
      </c>
      <c r="E5224" s="4">
        <v>2090</v>
      </c>
      <c r="F5224" s="4" t="s">
        <v>29</v>
      </c>
    </row>
    <row r="5225" spans="1:6" x14ac:dyDescent="0.25">
      <c r="A5225" s="4" t="s">
        <v>74</v>
      </c>
      <c r="B5225" s="4" t="s">
        <v>4</v>
      </c>
      <c r="C5225" s="4" t="s">
        <v>35</v>
      </c>
      <c r="D5225" s="4">
        <v>2008</v>
      </c>
      <c r="E5225" s="4">
        <v>2410</v>
      </c>
      <c r="F5225" s="4" t="s">
        <v>29</v>
      </c>
    </row>
    <row r="5226" spans="1:6" x14ac:dyDescent="0.25">
      <c r="A5226" s="4" t="s">
        <v>74</v>
      </c>
      <c r="B5226" s="4" t="s">
        <v>4</v>
      </c>
      <c r="C5226" s="4" t="s">
        <v>35</v>
      </c>
      <c r="D5226" s="4">
        <v>2009</v>
      </c>
      <c r="E5226" s="4">
        <v>2180</v>
      </c>
      <c r="F5226" s="4" t="s">
        <v>29</v>
      </c>
    </row>
    <row r="5227" spans="1:6" x14ac:dyDescent="0.25">
      <c r="A5227" s="4" t="s">
        <v>74</v>
      </c>
      <c r="B5227" s="4" t="s">
        <v>4</v>
      </c>
      <c r="C5227" s="4" t="s">
        <v>35</v>
      </c>
      <c r="D5227" s="4">
        <v>2010</v>
      </c>
      <c r="E5227" s="4">
        <v>1920</v>
      </c>
      <c r="F5227" s="4" t="s">
        <v>29</v>
      </c>
    </row>
    <row r="5228" spans="1:6" x14ac:dyDescent="0.25">
      <c r="A5228" s="4" t="s">
        <v>74</v>
      </c>
      <c r="B5228" s="4" t="s">
        <v>4</v>
      </c>
      <c r="C5228" s="4" t="s">
        <v>35</v>
      </c>
      <c r="D5228" s="4">
        <v>2011</v>
      </c>
      <c r="E5228" s="4">
        <v>1940</v>
      </c>
      <c r="F5228" s="4" t="s">
        <v>29</v>
      </c>
    </row>
    <row r="5229" spans="1:6" x14ac:dyDescent="0.25">
      <c r="A5229" s="4" t="s">
        <v>74</v>
      </c>
      <c r="B5229" s="4" t="s">
        <v>4</v>
      </c>
      <c r="C5229" s="4" t="s">
        <v>35</v>
      </c>
      <c r="D5229" s="4">
        <v>2012</v>
      </c>
      <c r="E5229" s="4">
        <v>2000</v>
      </c>
      <c r="F5229" s="4" t="s">
        <v>29</v>
      </c>
    </row>
    <row r="5230" spans="1:6" x14ac:dyDescent="0.25">
      <c r="A5230" s="4" t="s">
        <v>74</v>
      </c>
      <c r="B5230" s="4" t="s">
        <v>4</v>
      </c>
      <c r="C5230" s="4" t="s">
        <v>35</v>
      </c>
      <c r="D5230" s="4">
        <v>2013</v>
      </c>
      <c r="E5230" s="4">
        <v>2590</v>
      </c>
      <c r="F5230" s="4" t="s">
        <v>29</v>
      </c>
    </row>
    <row r="5231" spans="1:6" x14ac:dyDescent="0.25">
      <c r="A5231" s="4" t="s">
        <v>74</v>
      </c>
      <c r="B5231" s="4" t="s">
        <v>4</v>
      </c>
      <c r="C5231" s="4" t="s">
        <v>35</v>
      </c>
      <c r="D5231" s="4">
        <v>2014</v>
      </c>
      <c r="E5231" s="4">
        <v>3780</v>
      </c>
      <c r="F5231" s="4" t="s">
        <v>29</v>
      </c>
    </row>
    <row r="5232" spans="1:6" x14ac:dyDescent="0.25">
      <c r="A5232" s="4" t="s">
        <v>74</v>
      </c>
      <c r="B5232" s="4" t="s">
        <v>4</v>
      </c>
      <c r="C5232" s="4" t="s">
        <v>35</v>
      </c>
      <c r="D5232" s="4">
        <v>2015</v>
      </c>
      <c r="E5232" s="4">
        <v>3730</v>
      </c>
      <c r="F5232" s="4" t="s">
        <v>29</v>
      </c>
    </row>
    <row r="5233" spans="1:6" x14ac:dyDescent="0.25">
      <c r="A5233" s="4" t="s">
        <v>74</v>
      </c>
      <c r="B5233" s="4" t="s">
        <v>4</v>
      </c>
      <c r="C5233" s="4" t="s">
        <v>35</v>
      </c>
      <c r="D5233" s="4">
        <v>2016</v>
      </c>
      <c r="E5233" s="4">
        <v>7631.3205479452108</v>
      </c>
      <c r="F5233" s="4" t="s">
        <v>29</v>
      </c>
    </row>
    <row r="5234" spans="1:6" x14ac:dyDescent="0.25">
      <c r="A5234" s="4" t="s">
        <v>74</v>
      </c>
      <c r="B5234" s="4" t="s">
        <v>4</v>
      </c>
      <c r="C5234" s="4" t="s">
        <v>35</v>
      </c>
      <c r="D5234" s="4">
        <v>2017</v>
      </c>
      <c r="E5234" s="4">
        <v>9506.986027397259</v>
      </c>
      <c r="F5234" s="4" t="s">
        <v>29</v>
      </c>
    </row>
    <row r="5235" spans="1:6" x14ac:dyDescent="0.25">
      <c r="A5235" s="4" t="s">
        <v>74</v>
      </c>
      <c r="B5235" s="4" t="s">
        <v>4</v>
      </c>
      <c r="C5235" s="4" t="s">
        <v>35</v>
      </c>
      <c r="D5235" s="4">
        <v>2018</v>
      </c>
      <c r="E5235" s="4">
        <v>9569.5679536473272</v>
      </c>
      <c r="F5235" s="4" t="s">
        <v>29</v>
      </c>
    </row>
    <row r="5236" spans="1:6" x14ac:dyDescent="0.25">
      <c r="A5236" s="4" t="s">
        <v>74</v>
      </c>
      <c r="B5236" s="4" t="s">
        <v>4</v>
      </c>
      <c r="C5236" s="4" t="s">
        <v>35</v>
      </c>
      <c r="D5236" s="4">
        <v>2019</v>
      </c>
      <c r="E5236" s="4">
        <v>9180.1157851138578</v>
      </c>
      <c r="F5236" s="4" t="s">
        <v>29</v>
      </c>
    </row>
    <row r="5237" spans="1:6" x14ac:dyDescent="0.25">
      <c r="A5237" s="4" t="s">
        <v>74</v>
      </c>
      <c r="B5237" s="4" t="s">
        <v>4</v>
      </c>
      <c r="C5237" s="4" t="s">
        <v>35</v>
      </c>
      <c r="D5237" s="4">
        <v>2020</v>
      </c>
      <c r="E5237" s="4">
        <v>8782.632942302238</v>
      </c>
      <c r="F5237" s="4" t="s">
        <v>29</v>
      </c>
    </row>
    <row r="5238" spans="1:6" x14ac:dyDescent="0.25">
      <c r="A5238" s="4" t="s">
        <v>74</v>
      </c>
      <c r="B5238" s="4" t="s">
        <v>4</v>
      </c>
      <c r="C5238" s="4" t="s">
        <v>35</v>
      </c>
      <c r="D5238" s="4">
        <v>2021</v>
      </c>
      <c r="E5238" s="4">
        <v>8444.864159787272</v>
      </c>
      <c r="F5238" s="4" t="s">
        <v>29</v>
      </c>
    </row>
    <row r="5239" spans="1:6" x14ac:dyDescent="0.25">
      <c r="A5239" s="4" t="s">
        <v>74</v>
      </c>
      <c r="B5239" s="4" t="s">
        <v>4</v>
      </c>
      <c r="C5239" s="4" t="s">
        <v>35</v>
      </c>
      <c r="D5239" s="4">
        <v>2022</v>
      </c>
      <c r="E5239" s="4">
        <v>8149.2455694262298</v>
      </c>
      <c r="F5239" s="4" t="s">
        <v>29</v>
      </c>
    </row>
    <row r="5240" spans="1:6" x14ac:dyDescent="0.25">
      <c r="A5240" s="4" t="s">
        <v>74</v>
      </c>
      <c r="B5240" s="4" t="s">
        <v>4</v>
      </c>
      <c r="C5240" s="4" t="s">
        <v>35</v>
      </c>
      <c r="D5240" s="4">
        <v>2023</v>
      </c>
      <c r="E5240" s="4">
        <v>7892.74601869449</v>
      </c>
      <c r="F5240" s="4" t="s">
        <v>29</v>
      </c>
    </row>
    <row r="5241" spans="1:6" x14ac:dyDescent="0.25">
      <c r="A5241" s="4" t="s">
        <v>74</v>
      </c>
      <c r="B5241" s="4" t="s">
        <v>4</v>
      </c>
      <c r="C5241" s="4" t="s">
        <v>35</v>
      </c>
      <c r="D5241" s="4">
        <v>2024</v>
      </c>
      <c r="E5241" s="4">
        <v>7688.3957222074114</v>
      </c>
      <c r="F5241" s="4" t="s">
        <v>29</v>
      </c>
    </row>
    <row r="5242" spans="1:6" x14ac:dyDescent="0.25">
      <c r="A5242" s="4" t="s">
        <v>74</v>
      </c>
      <c r="B5242" s="4" t="s">
        <v>4</v>
      </c>
      <c r="C5242" s="4" t="s">
        <v>35</v>
      </c>
      <c r="D5242" s="4">
        <v>2025</v>
      </c>
      <c r="E5242" s="4">
        <v>7535.5102340706289</v>
      </c>
      <c r="F5242" s="4" t="s">
        <v>29</v>
      </c>
    </row>
    <row r="5243" spans="1:6" x14ac:dyDescent="0.25">
      <c r="A5243" s="4" t="s">
        <v>74</v>
      </c>
      <c r="B5243" s="4" t="s">
        <v>4</v>
      </c>
      <c r="C5243" s="4" t="s">
        <v>35</v>
      </c>
      <c r="D5243" s="4">
        <v>2026</v>
      </c>
      <c r="E5243" s="4">
        <v>7403.3248253813081</v>
      </c>
      <c r="F5243" s="4" t="s">
        <v>29</v>
      </c>
    </row>
    <row r="5244" spans="1:6" x14ac:dyDescent="0.25">
      <c r="A5244" s="4" t="s">
        <v>74</v>
      </c>
      <c r="B5244" s="4" t="s">
        <v>4</v>
      </c>
      <c r="C5244" s="4" t="s">
        <v>35</v>
      </c>
      <c r="D5244" s="4">
        <v>2027</v>
      </c>
      <c r="E5244" s="4">
        <v>7267.1933211660789</v>
      </c>
      <c r="F5244" s="4" t="s">
        <v>29</v>
      </c>
    </row>
    <row r="5245" spans="1:6" x14ac:dyDescent="0.25">
      <c r="A5245" s="4" t="s">
        <v>74</v>
      </c>
      <c r="B5245" s="4" t="s">
        <v>4</v>
      </c>
      <c r="C5245" s="4" t="s">
        <v>35</v>
      </c>
      <c r="D5245" s="4">
        <v>2028</v>
      </c>
      <c r="E5245" s="4">
        <v>7138.2044507996807</v>
      </c>
      <c r="F5245" s="4" t="s">
        <v>29</v>
      </c>
    </row>
    <row r="5246" spans="1:6" x14ac:dyDescent="0.25">
      <c r="A5246" s="4" t="s">
        <v>74</v>
      </c>
      <c r="B5246" s="4" t="s">
        <v>4</v>
      </c>
      <c r="C5246" s="4" t="s">
        <v>35</v>
      </c>
      <c r="D5246" s="4">
        <v>2029</v>
      </c>
      <c r="E5246" s="4">
        <v>7021.5408448385797</v>
      </c>
      <c r="F5246" s="4" t="s">
        <v>29</v>
      </c>
    </row>
    <row r="5247" spans="1:6" x14ac:dyDescent="0.25">
      <c r="A5247" s="4" t="s">
        <v>74</v>
      </c>
      <c r="B5247" s="4" t="s">
        <v>4</v>
      </c>
      <c r="C5247" s="4" t="s">
        <v>35</v>
      </c>
      <c r="D5247" s="4">
        <v>2030</v>
      </c>
      <c r="E5247" s="4">
        <v>6915.8438843959466</v>
      </c>
      <c r="F5247" s="4" t="s">
        <v>29</v>
      </c>
    </row>
    <row r="5248" spans="1:6" x14ac:dyDescent="0.25">
      <c r="A5248" s="4" t="s">
        <v>74</v>
      </c>
      <c r="B5248" s="4" t="s">
        <v>4</v>
      </c>
      <c r="C5248" s="4" t="s">
        <v>35</v>
      </c>
      <c r="D5248" s="4">
        <v>2031</v>
      </c>
      <c r="E5248" s="4">
        <v>6826.6832304076434</v>
      </c>
      <c r="F5248" s="4" t="s">
        <v>29</v>
      </c>
    </row>
    <row r="5249" spans="1:6" x14ac:dyDescent="0.25">
      <c r="A5249" s="4" t="s">
        <v>74</v>
      </c>
      <c r="B5249" s="4" t="s">
        <v>4</v>
      </c>
      <c r="C5249" s="4" t="s">
        <v>35</v>
      </c>
      <c r="D5249" s="4">
        <v>2032</v>
      </c>
      <c r="E5249" s="4">
        <v>6749.2230056316785</v>
      </c>
      <c r="F5249" s="4" t="s">
        <v>29</v>
      </c>
    </row>
    <row r="5250" spans="1:6" x14ac:dyDescent="0.25">
      <c r="A5250" s="4" t="s">
        <v>74</v>
      </c>
      <c r="B5250" s="4" t="s">
        <v>4</v>
      </c>
      <c r="C5250" s="4" t="s">
        <v>35</v>
      </c>
      <c r="D5250" s="4">
        <v>2033</v>
      </c>
      <c r="E5250" s="4">
        <v>6675.7437555240531</v>
      </c>
      <c r="F5250" s="4" t="s">
        <v>29</v>
      </c>
    </row>
    <row r="5251" spans="1:6" x14ac:dyDescent="0.25">
      <c r="A5251" s="4" t="s">
        <v>74</v>
      </c>
      <c r="B5251" s="4" t="s">
        <v>4</v>
      </c>
      <c r="C5251" s="4" t="s">
        <v>35</v>
      </c>
      <c r="D5251" s="4">
        <v>2034</v>
      </c>
      <c r="E5251" s="4">
        <v>6616.6381623910165</v>
      </c>
      <c r="F5251" s="4" t="s">
        <v>29</v>
      </c>
    </row>
    <row r="5252" spans="1:6" x14ac:dyDescent="0.25">
      <c r="A5252" s="4" t="s">
        <v>74</v>
      </c>
      <c r="B5252" s="4" t="s">
        <v>4</v>
      </c>
      <c r="C5252" s="4" t="s">
        <v>35</v>
      </c>
      <c r="D5252" s="4">
        <v>2035</v>
      </c>
      <c r="E5252" s="4">
        <v>6566.5318250024757</v>
      </c>
      <c r="F5252" s="4" t="s">
        <v>29</v>
      </c>
    </row>
    <row r="5253" spans="1:6" x14ac:dyDescent="0.25">
      <c r="A5253" s="4" t="s">
        <v>74</v>
      </c>
      <c r="B5253" s="4" t="s">
        <v>4</v>
      </c>
      <c r="C5253" s="4" t="s">
        <v>35</v>
      </c>
      <c r="D5253" s="4">
        <v>2036</v>
      </c>
      <c r="E5253" s="4">
        <v>6532.5956006882989</v>
      </c>
      <c r="F5253" s="4" t="s">
        <v>29</v>
      </c>
    </row>
    <row r="5254" spans="1:6" x14ac:dyDescent="0.25">
      <c r="A5254" s="4" t="s">
        <v>74</v>
      </c>
      <c r="B5254" s="4" t="s">
        <v>4</v>
      </c>
      <c r="C5254" s="4" t="s">
        <v>35</v>
      </c>
      <c r="D5254" s="4">
        <v>2037</v>
      </c>
      <c r="E5254" s="4">
        <v>6503.9666956653609</v>
      </c>
      <c r="F5254" s="4" t="s">
        <v>29</v>
      </c>
    </row>
    <row r="5255" spans="1:6" x14ac:dyDescent="0.25">
      <c r="A5255" s="4" t="s">
        <v>74</v>
      </c>
      <c r="B5255" s="4" t="s">
        <v>4</v>
      </c>
      <c r="C5255" s="4" t="s">
        <v>35</v>
      </c>
      <c r="D5255" s="4">
        <v>2038</v>
      </c>
      <c r="E5255" s="4">
        <v>6462.1023875875508</v>
      </c>
      <c r="F5255" s="4" t="s">
        <v>29</v>
      </c>
    </row>
    <row r="5256" spans="1:6" x14ac:dyDescent="0.25">
      <c r="A5256" s="4" t="s">
        <v>74</v>
      </c>
      <c r="B5256" s="4" t="s">
        <v>4</v>
      </c>
      <c r="C5256" s="4" t="s">
        <v>35</v>
      </c>
      <c r="D5256" s="4">
        <v>2039</v>
      </c>
      <c r="E5256" s="4">
        <v>6427.0096379780225</v>
      </c>
      <c r="F5256" s="4" t="s">
        <v>29</v>
      </c>
    </row>
    <row r="5257" spans="1:6" x14ac:dyDescent="0.25">
      <c r="A5257" s="4" t="s">
        <v>74</v>
      </c>
      <c r="B5257" s="4" t="s">
        <v>4</v>
      </c>
      <c r="C5257" s="4" t="s">
        <v>35</v>
      </c>
      <c r="D5257" s="4">
        <v>2040</v>
      </c>
      <c r="E5257" s="4">
        <v>6414.6914329993469</v>
      </c>
      <c r="F5257" s="4" t="s">
        <v>29</v>
      </c>
    </row>
    <row r="5258" spans="1:6" x14ac:dyDescent="0.25">
      <c r="A5258" s="4" t="s">
        <v>74</v>
      </c>
      <c r="B5258" s="4" t="s">
        <v>5</v>
      </c>
      <c r="C5258" s="4" t="s">
        <v>35</v>
      </c>
      <c r="D5258" s="4">
        <v>2005</v>
      </c>
      <c r="E5258" s="4">
        <v>99600</v>
      </c>
      <c r="F5258" s="4" t="s">
        <v>29</v>
      </c>
    </row>
    <row r="5259" spans="1:6" x14ac:dyDescent="0.25">
      <c r="A5259" s="4" t="s">
        <v>74</v>
      </c>
      <c r="B5259" s="4" t="s">
        <v>5</v>
      </c>
      <c r="C5259" s="4" t="s">
        <v>35</v>
      </c>
      <c r="D5259" s="4">
        <v>2006</v>
      </c>
      <c r="E5259" s="4">
        <v>120900</v>
      </c>
      <c r="F5259" s="4" t="s">
        <v>29</v>
      </c>
    </row>
    <row r="5260" spans="1:6" x14ac:dyDescent="0.25">
      <c r="A5260" s="4" t="s">
        <v>74</v>
      </c>
      <c r="B5260" s="4" t="s">
        <v>5</v>
      </c>
      <c r="C5260" s="4" t="s">
        <v>35</v>
      </c>
      <c r="D5260" s="4">
        <v>2007</v>
      </c>
      <c r="E5260" s="4">
        <v>124700</v>
      </c>
      <c r="F5260" s="4" t="s">
        <v>29</v>
      </c>
    </row>
    <row r="5261" spans="1:6" x14ac:dyDescent="0.25">
      <c r="A5261" s="4" t="s">
        <v>74</v>
      </c>
      <c r="B5261" s="4" t="s">
        <v>5</v>
      </c>
      <c r="C5261" s="4" t="s">
        <v>35</v>
      </c>
      <c r="D5261" s="4">
        <v>2008</v>
      </c>
      <c r="E5261" s="4">
        <v>114700</v>
      </c>
      <c r="F5261" s="4" t="s">
        <v>29</v>
      </c>
    </row>
    <row r="5262" spans="1:6" x14ac:dyDescent="0.25">
      <c r="A5262" s="4" t="s">
        <v>74</v>
      </c>
      <c r="B5262" s="4" t="s">
        <v>5</v>
      </c>
      <c r="C5262" s="4" t="s">
        <v>35</v>
      </c>
      <c r="D5262" s="4">
        <v>2009</v>
      </c>
      <c r="E5262" s="4">
        <v>131200</v>
      </c>
      <c r="F5262" s="4" t="s">
        <v>29</v>
      </c>
    </row>
    <row r="5263" spans="1:6" x14ac:dyDescent="0.25">
      <c r="A5263" s="4" t="s">
        <v>74</v>
      </c>
      <c r="B5263" s="4" t="s">
        <v>5</v>
      </c>
      <c r="C5263" s="4" t="s">
        <v>35</v>
      </c>
      <c r="D5263" s="4">
        <v>2010</v>
      </c>
      <c r="E5263" s="4">
        <v>136242.99205479454</v>
      </c>
      <c r="F5263" s="4" t="s">
        <v>29</v>
      </c>
    </row>
    <row r="5264" spans="1:6" x14ac:dyDescent="0.25">
      <c r="A5264" s="4" t="s">
        <v>74</v>
      </c>
      <c r="B5264" s="4" t="s">
        <v>5</v>
      </c>
      <c r="C5264" s="4" t="s">
        <v>35</v>
      </c>
      <c r="D5264" s="4">
        <v>2011</v>
      </c>
      <c r="E5264" s="4">
        <v>141899.05890410958</v>
      </c>
      <c r="F5264" s="4" t="s">
        <v>29</v>
      </c>
    </row>
    <row r="5265" spans="1:6" x14ac:dyDescent="0.25">
      <c r="A5265" s="4" t="s">
        <v>74</v>
      </c>
      <c r="B5265" s="4" t="s">
        <v>5</v>
      </c>
      <c r="C5265" s="4" t="s">
        <v>35</v>
      </c>
      <c r="D5265" s="4">
        <v>2012</v>
      </c>
      <c r="E5265" s="4">
        <v>148216.19643835619</v>
      </c>
      <c r="F5265" s="4" t="s">
        <v>29</v>
      </c>
    </row>
    <row r="5266" spans="1:6" x14ac:dyDescent="0.25">
      <c r="A5266" s="4" t="s">
        <v>74</v>
      </c>
      <c r="B5266" s="4" t="s">
        <v>5</v>
      </c>
      <c r="C5266" s="4" t="s">
        <v>35</v>
      </c>
      <c r="D5266" s="4">
        <v>2013</v>
      </c>
      <c r="E5266" s="4">
        <v>155178.08602739728</v>
      </c>
      <c r="F5266" s="4" t="s">
        <v>29</v>
      </c>
    </row>
    <row r="5267" spans="1:6" x14ac:dyDescent="0.25">
      <c r="A5267" s="4" t="s">
        <v>74</v>
      </c>
      <c r="B5267" s="4" t="s">
        <v>5</v>
      </c>
      <c r="C5267" s="4" t="s">
        <v>35</v>
      </c>
      <c r="D5267" s="4">
        <v>2014</v>
      </c>
      <c r="E5267" s="4">
        <v>152653.42301369866</v>
      </c>
      <c r="F5267" s="4" t="s">
        <v>29</v>
      </c>
    </row>
    <row r="5268" spans="1:6" x14ac:dyDescent="0.25">
      <c r="A5268" s="4" t="s">
        <v>74</v>
      </c>
      <c r="B5268" s="4" t="s">
        <v>5</v>
      </c>
      <c r="C5268" s="4" t="s">
        <v>35</v>
      </c>
      <c r="D5268" s="4">
        <v>2015</v>
      </c>
      <c r="E5268" s="4">
        <v>184650.64986301371</v>
      </c>
      <c r="F5268" s="4" t="s">
        <v>29</v>
      </c>
    </row>
    <row r="5269" spans="1:6" x14ac:dyDescent="0.25">
      <c r="A5269" s="4" t="s">
        <v>74</v>
      </c>
      <c r="B5269" s="4" t="s">
        <v>5</v>
      </c>
      <c r="C5269" s="4" t="s">
        <v>35</v>
      </c>
      <c r="D5269" s="4">
        <v>2016</v>
      </c>
      <c r="E5269" s="4">
        <v>182833.43972602743</v>
      </c>
      <c r="F5269" s="4" t="s">
        <v>29</v>
      </c>
    </row>
    <row r="5270" spans="1:6" x14ac:dyDescent="0.25">
      <c r="A5270" s="4" t="s">
        <v>74</v>
      </c>
      <c r="B5270" s="4" t="s">
        <v>5</v>
      </c>
      <c r="C5270" s="4" t="s">
        <v>35</v>
      </c>
      <c r="D5270" s="4">
        <v>2017</v>
      </c>
      <c r="E5270" s="4">
        <v>202815.78219178083</v>
      </c>
      <c r="F5270" s="4" t="s">
        <v>29</v>
      </c>
    </row>
    <row r="5271" spans="1:6" x14ac:dyDescent="0.25">
      <c r="A5271" s="4" t="s">
        <v>74</v>
      </c>
      <c r="B5271" s="4" t="s">
        <v>5</v>
      </c>
      <c r="C5271" s="4" t="s">
        <v>35</v>
      </c>
      <c r="D5271" s="4">
        <v>2018</v>
      </c>
      <c r="E5271" s="4">
        <v>230827.34128777066</v>
      </c>
      <c r="F5271" s="4" t="s">
        <v>29</v>
      </c>
    </row>
    <row r="5272" spans="1:6" x14ac:dyDescent="0.25">
      <c r="A5272" s="4" t="s">
        <v>74</v>
      </c>
      <c r="B5272" s="4" t="s">
        <v>5</v>
      </c>
      <c r="C5272" s="4" t="s">
        <v>35</v>
      </c>
      <c r="D5272" s="4">
        <v>2019</v>
      </c>
      <c r="E5272" s="4">
        <v>252610.17220383271</v>
      </c>
      <c r="F5272" s="4" t="s">
        <v>29</v>
      </c>
    </row>
    <row r="5273" spans="1:6" x14ac:dyDescent="0.25">
      <c r="A5273" s="4" t="s">
        <v>74</v>
      </c>
      <c r="B5273" s="4" t="s">
        <v>5</v>
      </c>
      <c r="C5273" s="4" t="s">
        <v>35</v>
      </c>
      <c r="D5273" s="4">
        <v>2020</v>
      </c>
      <c r="E5273" s="4">
        <v>255214.62797112894</v>
      </c>
      <c r="F5273" s="4" t="s">
        <v>29</v>
      </c>
    </row>
    <row r="5274" spans="1:6" x14ac:dyDescent="0.25">
      <c r="A5274" s="4" t="s">
        <v>74</v>
      </c>
      <c r="B5274" s="4" t="s">
        <v>5</v>
      </c>
      <c r="C5274" s="4" t="s">
        <v>35</v>
      </c>
      <c r="D5274" s="4">
        <v>2021</v>
      </c>
      <c r="E5274" s="4">
        <v>255219.26784659942</v>
      </c>
      <c r="F5274" s="4" t="s">
        <v>29</v>
      </c>
    </row>
    <row r="5275" spans="1:6" x14ac:dyDescent="0.25">
      <c r="A5275" s="4" t="s">
        <v>74</v>
      </c>
      <c r="B5275" s="4" t="s">
        <v>5</v>
      </c>
      <c r="C5275" s="4" t="s">
        <v>35</v>
      </c>
      <c r="D5275" s="4">
        <v>2022</v>
      </c>
      <c r="E5275" s="4">
        <v>255218.37891407206</v>
      </c>
      <c r="F5275" s="4" t="s">
        <v>29</v>
      </c>
    </row>
    <row r="5276" spans="1:6" x14ac:dyDescent="0.25">
      <c r="A5276" s="4" t="s">
        <v>74</v>
      </c>
      <c r="B5276" s="4" t="s">
        <v>5</v>
      </c>
      <c r="C5276" s="4" t="s">
        <v>35</v>
      </c>
      <c r="D5276" s="4">
        <v>2023</v>
      </c>
      <c r="E5276" s="4">
        <v>255218.34310268139</v>
      </c>
      <c r="F5276" s="4" t="s">
        <v>29</v>
      </c>
    </row>
    <row r="5277" spans="1:6" x14ac:dyDescent="0.25">
      <c r="A5277" s="4" t="s">
        <v>74</v>
      </c>
      <c r="B5277" s="4" t="s">
        <v>5</v>
      </c>
      <c r="C5277" s="4" t="s">
        <v>35</v>
      </c>
      <c r="D5277" s="4">
        <v>2024</v>
      </c>
      <c r="E5277" s="4">
        <v>255218.3540049924</v>
      </c>
      <c r="F5277" s="4" t="s">
        <v>29</v>
      </c>
    </row>
    <row r="5278" spans="1:6" x14ac:dyDescent="0.25">
      <c r="A5278" s="4" t="s">
        <v>74</v>
      </c>
      <c r="B5278" s="4" t="s">
        <v>5</v>
      </c>
      <c r="C5278" s="4" t="s">
        <v>35</v>
      </c>
      <c r="D5278" s="4">
        <v>2025</v>
      </c>
      <c r="E5278" s="4">
        <v>255218.35460781632</v>
      </c>
      <c r="F5278" s="4" t="s">
        <v>29</v>
      </c>
    </row>
    <row r="5279" spans="1:6" x14ac:dyDescent="0.25">
      <c r="A5279" s="4" t="s">
        <v>74</v>
      </c>
      <c r="B5279" s="4" t="s">
        <v>5</v>
      </c>
      <c r="C5279" s="4" t="s">
        <v>35</v>
      </c>
      <c r="D5279" s="4">
        <v>2026</v>
      </c>
      <c r="E5279" s="4">
        <v>254754.52785425811</v>
      </c>
      <c r="F5279" s="4" t="s">
        <v>29</v>
      </c>
    </row>
    <row r="5280" spans="1:6" x14ac:dyDescent="0.25">
      <c r="A5280" s="4" t="s">
        <v>74</v>
      </c>
      <c r="B5280" s="4" t="s">
        <v>5</v>
      </c>
      <c r="C5280" s="4" t="s">
        <v>35</v>
      </c>
      <c r="D5280" s="4">
        <v>2027</v>
      </c>
      <c r="E5280" s="4">
        <v>253905.33573839106</v>
      </c>
      <c r="F5280" s="4" t="s">
        <v>29</v>
      </c>
    </row>
    <row r="5281" spans="1:6" x14ac:dyDescent="0.25">
      <c r="A5281" s="4" t="s">
        <v>74</v>
      </c>
      <c r="B5281" s="4" t="s">
        <v>5</v>
      </c>
      <c r="C5281" s="4" t="s">
        <v>35</v>
      </c>
      <c r="D5281" s="4">
        <v>2028</v>
      </c>
      <c r="E5281" s="4">
        <v>253066.2780788033</v>
      </c>
      <c r="F5281" s="4" t="s">
        <v>29</v>
      </c>
    </row>
    <row r="5282" spans="1:6" x14ac:dyDescent="0.25">
      <c r="A5282" s="4" t="s">
        <v>74</v>
      </c>
      <c r="B5282" s="4" t="s">
        <v>5</v>
      </c>
      <c r="C5282" s="4" t="s">
        <v>35</v>
      </c>
      <c r="D5282" s="4">
        <v>2029</v>
      </c>
      <c r="E5282" s="4">
        <v>252237.23391600058</v>
      </c>
      <c r="F5282" s="4" t="s">
        <v>29</v>
      </c>
    </row>
    <row r="5283" spans="1:6" x14ac:dyDescent="0.25">
      <c r="A5283" s="4" t="s">
        <v>74</v>
      </c>
      <c r="B5283" s="4" t="s">
        <v>5</v>
      </c>
      <c r="C5283" s="4" t="s">
        <v>35</v>
      </c>
      <c r="D5283" s="4">
        <v>2030</v>
      </c>
      <c r="E5283" s="4">
        <v>251418.08374805184</v>
      </c>
      <c r="F5283" s="4" t="s">
        <v>29</v>
      </c>
    </row>
    <row r="5284" spans="1:6" x14ac:dyDescent="0.25">
      <c r="A5284" s="4" t="s">
        <v>74</v>
      </c>
      <c r="B5284" s="4" t="s">
        <v>5</v>
      </c>
      <c r="C5284" s="4" t="s">
        <v>35</v>
      </c>
      <c r="D5284" s="4">
        <v>2031</v>
      </c>
      <c r="E5284" s="4">
        <v>250099.36226325965</v>
      </c>
      <c r="F5284" s="4" t="s">
        <v>29</v>
      </c>
    </row>
    <row r="5285" spans="1:6" x14ac:dyDescent="0.25">
      <c r="A5285" s="4" t="s">
        <v>74</v>
      </c>
      <c r="B5285" s="4" t="s">
        <v>5</v>
      </c>
      <c r="C5285" s="4" t="s">
        <v>35</v>
      </c>
      <c r="D5285" s="4">
        <v>2032</v>
      </c>
      <c r="E5285" s="4">
        <v>248367.11421334581</v>
      </c>
      <c r="F5285" s="4" t="s">
        <v>29</v>
      </c>
    </row>
    <row r="5286" spans="1:6" x14ac:dyDescent="0.25">
      <c r="A5286" s="4" t="s">
        <v>74</v>
      </c>
      <c r="B5286" s="4" t="s">
        <v>5</v>
      </c>
      <c r="C5286" s="4" t="s">
        <v>35</v>
      </c>
      <c r="D5286" s="4">
        <v>2033</v>
      </c>
      <c r="E5286" s="4">
        <v>246655.53919189793</v>
      </c>
      <c r="F5286" s="4" t="s">
        <v>29</v>
      </c>
    </row>
    <row r="5287" spans="1:6" x14ac:dyDescent="0.25">
      <c r="A5287" s="4" t="s">
        <v>74</v>
      </c>
      <c r="B5287" s="4" t="s">
        <v>5</v>
      </c>
      <c r="C5287" s="4" t="s">
        <v>35</v>
      </c>
      <c r="D5287" s="4">
        <v>2034</v>
      </c>
      <c r="E5287" s="4">
        <v>244964.39048245654</v>
      </c>
      <c r="F5287" s="4" t="s">
        <v>29</v>
      </c>
    </row>
    <row r="5288" spans="1:6" x14ac:dyDescent="0.25">
      <c r="A5288" s="4" t="s">
        <v>74</v>
      </c>
      <c r="B5288" s="4" t="s">
        <v>5</v>
      </c>
      <c r="C5288" s="4" t="s">
        <v>35</v>
      </c>
      <c r="D5288" s="4">
        <v>2035</v>
      </c>
      <c r="E5288" s="4">
        <v>243293.4243129307</v>
      </c>
      <c r="F5288" s="4" t="s">
        <v>29</v>
      </c>
    </row>
    <row r="5289" spans="1:6" x14ac:dyDescent="0.25">
      <c r="A5289" s="4" t="s">
        <v>74</v>
      </c>
      <c r="B5289" s="4" t="s">
        <v>5</v>
      </c>
      <c r="C5289" s="4" t="s">
        <v>35</v>
      </c>
      <c r="D5289" s="4">
        <v>2036</v>
      </c>
      <c r="E5289" s="4">
        <v>241642.39982045861</v>
      </c>
      <c r="F5289" s="4" t="s">
        <v>29</v>
      </c>
    </row>
    <row r="5290" spans="1:6" x14ac:dyDescent="0.25">
      <c r="A5290" s="4" t="s">
        <v>74</v>
      </c>
      <c r="B5290" s="4" t="s">
        <v>5</v>
      </c>
      <c r="C5290" s="4" t="s">
        <v>35</v>
      </c>
      <c r="D5290" s="4">
        <v>2037</v>
      </c>
      <c r="E5290" s="4">
        <v>240011.07901668912</v>
      </c>
      <c r="F5290" s="4" t="s">
        <v>29</v>
      </c>
    </row>
    <row r="5291" spans="1:6" x14ac:dyDescent="0.25">
      <c r="A5291" s="4" t="s">
        <v>74</v>
      </c>
      <c r="B5291" s="4" t="s">
        <v>5</v>
      </c>
      <c r="C5291" s="4" t="s">
        <v>35</v>
      </c>
      <c r="D5291" s="4">
        <v>2038</v>
      </c>
      <c r="E5291" s="4">
        <v>238399.22675347622</v>
      </c>
      <c r="F5291" s="4" t="s">
        <v>29</v>
      </c>
    </row>
    <row r="5292" spans="1:6" x14ac:dyDescent="0.25">
      <c r="A5292" s="4" t="s">
        <v>74</v>
      </c>
      <c r="B5292" s="4" t="s">
        <v>5</v>
      </c>
      <c r="C5292" s="4" t="s">
        <v>35</v>
      </c>
      <c r="D5292" s="4">
        <v>2039</v>
      </c>
      <c r="E5292" s="4">
        <v>236806.61068898335</v>
      </c>
      <c r="F5292" s="4" t="s">
        <v>29</v>
      </c>
    </row>
    <row r="5293" spans="1:6" x14ac:dyDescent="0.25">
      <c r="A5293" s="4" t="s">
        <v>74</v>
      </c>
      <c r="B5293" s="4" t="s">
        <v>5</v>
      </c>
      <c r="C5293" s="4" t="s">
        <v>35</v>
      </c>
      <c r="D5293" s="4">
        <v>2040</v>
      </c>
      <c r="E5293" s="4">
        <v>235233.00125419264</v>
      </c>
      <c r="F5293" s="4" t="s">
        <v>29</v>
      </c>
    </row>
    <row r="5294" spans="1:6" x14ac:dyDescent="0.25">
      <c r="A5294" s="4" t="s">
        <v>74</v>
      </c>
      <c r="B5294" s="4" t="s">
        <v>6</v>
      </c>
      <c r="C5294" s="4" t="s">
        <v>35</v>
      </c>
      <c r="D5294" s="4">
        <v>2005</v>
      </c>
      <c r="E5294" s="4">
        <v>69700</v>
      </c>
      <c r="F5294" s="4" t="s">
        <v>29</v>
      </c>
    </row>
    <row r="5295" spans="1:6" x14ac:dyDescent="0.25">
      <c r="A5295" s="4" t="s">
        <v>74</v>
      </c>
      <c r="B5295" s="4" t="s">
        <v>6</v>
      </c>
      <c r="C5295" s="4" t="s">
        <v>35</v>
      </c>
      <c r="D5295" s="4">
        <v>2006</v>
      </c>
      <c r="E5295" s="4">
        <v>78500</v>
      </c>
      <c r="F5295" s="4" t="s">
        <v>29</v>
      </c>
    </row>
    <row r="5296" spans="1:6" x14ac:dyDescent="0.25">
      <c r="A5296" s="4" t="s">
        <v>74</v>
      </c>
      <c r="B5296" s="4" t="s">
        <v>6</v>
      </c>
      <c r="C5296" s="4" t="s">
        <v>35</v>
      </c>
      <c r="D5296" s="4">
        <v>2007</v>
      </c>
      <c r="E5296" s="4">
        <v>85200</v>
      </c>
      <c r="F5296" s="4" t="s">
        <v>29</v>
      </c>
    </row>
    <row r="5297" spans="1:6" x14ac:dyDescent="0.25">
      <c r="A5297" s="4" t="s">
        <v>74</v>
      </c>
      <c r="B5297" s="4" t="s">
        <v>6</v>
      </c>
      <c r="C5297" s="4" t="s">
        <v>35</v>
      </c>
      <c r="D5297" s="4">
        <v>2008</v>
      </c>
      <c r="E5297" s="4">
        <v>92700</v>
      </c>
      <c r="F5297" s="4" t="s">
        <v>29</v>
      </c>
    </row>
    <row r="5298" spans="1:6" x14ac:dyDescent="0.25">
      <c r="A5298" s="4" t="s">
        <v>74</v>
      </c>
      <c r="B5298" s="4" t="s">
        <v>6</v>
      </c>
      <c r="C5298" s="4" t="s">
        <v>35</v>
      </c>
      <c r="D5298" s="4">
        <v>2009</v>
      </c>
      <c r="E5298" s="4">
        <v>105500</v>
      </c>
      <c r="F5298" s="4" t="s">
        <v>29</v>
      </c>
    </row>
    <row r="5299" spans="1:6" x14ac:dyDescent="0.25">
      <c r="A5299" s="4" t="s">
        <v>74</v>
      </c>
      <c r="B5299" s="4" t="s">
        <v>6</v>
      </c>
      <c r="C5299" s="4" t="s">
        <v>35</v>
      </c>
      <c r="D5299" s="4">
        <v>2010</v>
      </c>
      <c r="E5299" s="4">
        <v>119629.14712328766</v>
      </c>
      <c r="F5299" s="4" t="s">
        <v>29</v>
      </c>
    </row>
    <row r="5300" spans="1:6" x14ac:dyDescent="0.25">
      <c r="A5300" s="4" t="s">
        <v>74</v>
      </c>
      <c r="B5300" s="4" t="s">
        <v>6</v>
      </c>
      <c r="C5300" s="4" t="s">
        <v>35</v>
      </c>
      <c r="D5300" s="4">
        <v>2011</v>
      </c>
      <c r="E5300" s="4">
        <v>134719.58268493149</v>
      </c>
      <c r="F5300" s="4" t="s">
        <v>29</v>
      </c>
    </row>
    <row r="5301" spans="1:6" x14ac:dyDescent="0.25">
      <c r="A5301" s="4" t="s">
        <v>74</v>
      </c>
      <c r="B5301" s="4" t="s">
        <v>6</v>
      </c>
      <c r="C5301" s="4" t="s">
        <v>35</v>
      </c>
      <c r="D5301" s="4">
        <v>2012</v>
      </c>
      <c r="E5301" s="4">
        <v>157385.20219178079</v>
      </c>
      <c r="F5301" s="4" t="s">
        <v>29</v>
      </c>
    </row>
    <row r="5302" spans="1:6" x14ac:dyDescent="0.25">
      <c r="A5302" s="4" t="s">
        <v>74</v>
      </c>
      <c r="B5302" s="4" t="s">
        <v>6</v>
      </c>
      <c r="C5302" s="4" t="s">
        <v>35</v>
      </c>
      <c r="D5302" s="4">
        <v>2013</v>
      </c>
      <c r="E5302" s="4">
        <v>175859.07172602741</v>
      </c>
      <c r="F5302" s="4" t="s">
        <v>29</v>
      </c>
    </row>
    <row r="5303" spans="1:6" x14ac:dyDescent="0.25">
      <c r="A5303" s="4" t="s">
        <v>74</v>
      </c>
      <c r="B5303" s="4" t="s">
        <v>6</v>
      </c>
      <c r="C5303" s="4" t="s">
        <v>35</v>
      </c>
      <c r="D5303" s="4">
        <v>2014</v>
      </c>
      <c r="E5303" s="4">
        <v>200748.64076712329</v>
      </c>
      <c r="F5303" s="4" t="s">
        <v>29</v>
      </c>
    </row>
    <row r="5304" spans="1:6" x14ac:dyDescent="0.25">
      <c r="A5304" s="4" t="s">
        <v>74</v>
      </c>
      <c r="B5304" s="4" t="s">
        <v>6</v>
      </c>
      <c r="C5304" s="4" t="s">
        <v>35</v>
      </c>
      <c r="D5304" s="4">
        <v>2015</v>
      </c>
      <c r="E5304" s="4">
        <v>216516.94391559192</v>
      </c>
      <c r="F5304" s="4" t="s">
        <v>29</v>
      </c>
    </row>
    <row r="5305" spans="1:6" x14ac:dyDescent="0.25">
      <c r="A5305" s="4" t="s">
        <v>74</v>
      </c>
      <c r="B5305" s="4" t="s">
        <v>6</v>
      </c>
      <c r="C5305" s="4" t="s">
        <v>35</v>
      </c>
      <c r="D5305" s="4">
        <v>2016</v>
      </c>
      <c r="E5305" s="4">
        <v>222306.83333061248</v>
      </c>
      <c r="F5305" s="4" t="s">
        <v>29</v>
      </c>
    </row>
    <row r="5306" spans="1:6" x14ac:dyDescent="0.25">
      <c r="A5306" s="4" t="s">
        <v>74</v>
      </c>
      <c r="B5306" s="4" t="s">
        <v>6</v>
      </c>
      <c r="C5306" s="4" t="s">
        <v>35</v>
      </c>
      <c r="D5306" s="4">
        <v>2017</v>
      </c>
      <c r="E5306" s="4">
        <v>245914.92329379948</v>
      </c>
      <c r="F5306" s="4" t="s">
        <v>29</v>
      </c>
    </row>
    <row r="5307" spans="1:6" x14ac:dyDescent="0.25">
      <c r="A5307" s="4" t="s">
        <v>74</v>
      </c>
      <c r="B5307" s="4" t="s">
        <v>6</v>
      </c>
      <c r="C5307" s="4" t="s">
        <v>35</v>
      </c>
      <c r="D5307" s="4">
        <v>2018</v>
      </c>
      <c r="E5307" s="4">
        <v>262105.56735817689</v>
      </c>
      <c r="F5307" s="4" t="s">
        <v>29</v>
      </c>
    </row>
    <row r="5308" spans="1:6" x14ac:dyDescent="0.25">
      <c r="A5308" s="4" t="s">
        <v>74</v>
      </c>
      <c r="B5308" s="4" t="s">
        <v>6</v>
      </c>
      <c r="C5308" s="4" t="s">
        <v>35</v>
      </c>
      <c r="D5308" s="4">
        <v>2019</v>
      </c>
      <c r="E5308" s="4">
        <v>266200.64083449525</v>
      </c>
      <c r="F5308" s="4" t="s">
        <v>29</v>
      </c>
    </row>
    <row r="5309" spans="1:6" x14ac:dyDescent="0.25">
      <c r="A5309" s="4" t="s">
        <v>74</v>
      </c>
      <c r="B5309" s="4" t="s">
        <v>6</v>
      </c>
      <c r="C5309" s="4" t="s">
        <v>35</v>
      </c>
      <c r="D5309" s="4">
        <v>2020</v>
      </c>
      <c r="E5309" s="4">
        <v>272369.90019026212</v>
      </c>
      <c r="F5309" s="4" t="s">
        <v>29</v>
      </c>
    </row>
    <row r="5310" spans="1:6" x14ac:dyDescent="0.25">
      <c r="A5310" s="4" t="s">
        <v>74</v>
      </c>
      <c r="B5310" s="4" t="s">
        <v>6</v>
      </c>
      <c r="C5310" s="4" t="s">
        <v>35</v>
      </c>
      <c r="D5310" s="4">
        <v>2021</v>
      </c>
      <c r="E5310" s="4">
        <v>277891.72130446549</v>
      </c>
      <c r="F5310" s="4" t="s">
        <v>29</v>
      </c>
    </row>
    <row r="5311" spans="1:6" x14ac:dyDescent="0.25">
      <c r="A5311" s="4" t="s">
        <v>74</v>
      </c>
      <c r="B5311" s="4" t="s">
        <v>6</v>
      </c>
      <c r="C5311" s="4" t="s">
        <v>35</v>
      </c>
      <c r="D5311" s="4">
        <v>2022</v>
      </c>
      <c r="E5311" s="4">
        <v>277332.06605173368</v>
      </c>
      <c r="F5311" s="4" t="s">
        <v>29</v>
      </c>
    </row>
    <row r="5312" spans="1:6" x14ac:dyDescent="0.25">
      <c r="A5312" s="4" t="s">
        <v>74</v>
      </c>
      <c r="B5312" s="4" t="s">
        <v>6</v>
      </c>
      <c r="C5312" s="4" t="s">
        <v>35</v>
      </c>
      <c r="D5312" s="4">
        <v>2023</v>
      </c>
      <c r="E5312" s="4">
        <v>276737.26567004743</v>
      </c>
      <c r="F5312" s="4" t="s">
        <v>29</v>
      </c>
    </row>
    <row r="5313" spans="1:6" x14ac:dyDescent="0.25">
      <c r="A5313" s="4" t="s">
        <v>74</v>
      </c>
      <c r="B5313" s="4" t="s">
        <v>6</v>
      </c>
      <c r="C5313" s="4" t="s">
        <v>35</v>
      </c>
      <c r="D5313" s="4">
        <v>2024</v>
      </c>
      <c r="E5313" s="4">
        <v>275953.35921430634</v>
      </c>
      <c r="F5313" s="4" t="s">
        <v>29</v>
      </c>
    </row>
    <row r="5314" spans="1:6" x14ac:dyDescent="0.25">
      <c r="A5314" s="4" t="s">
        <v>74</v>
      </c>
      <c r="B5314" s="4" t="s">
        <v>6</v>
      </c>
      <c r="C5314" s="4" t="s">
        <v>35</v>
      </c>
      <c r="D5314" s="4">
        <v>2025</v>
      </c>
      <c r="E5314" s="4">
        <v>274494.12952158827</v>
      </c>
      <c r="F5314" s="4" t="s">
        <v>29</v>
      </c>
    </row>
    <row r="5315" spans="1:6" x14ac:dyDescent="0.25">
      <c r="A5315" s="4" t="s">
        <v>74</v>
      </c>
      <c r="B5315" s="4" t="s">
        <v>6</v>
      </c>
      <c r="C5315" s="4" t="s">
        <v>35</v>
      </c>
      <c r="D5315" s="4">
        <v>2026</v>
      </c>
      <c r="E5315" s="4">
        <v>272761.42658576596</v>
      </c>
      <c r="F5315" s="4" t="s">
        <v>29</v>
      </c>
    </row>
    <row r="5316" spans="1:6" x14ac:dyDescent="0.25">
      <c r="A5316" s="4" t="s">
        <v>74</v>
      </c>
      <c r="B5316" s="4" t="s">
        <v>6</v>
      </c>
      <c r="C5316" s="4" t="s">
        <v>35</v>
      </c>
      <c r="D5316" s="4">
        <v>2027</v>
      </c>
      <c r="E5316" s="4">
        <v>271172.25668488018</v>
      </c>
      <c r="F5316" s="4" t="s">
        <v>29</v>
      </c>
    </row>
    <row r="5317" spans="1:6" x14ac:dyDescent="0.25">
      <c r="A5317" s="4" t="s">
        <v>74</v>
      </c>
      <c r="B5317" s="4" t="s">
        <v>6</v>
      </c>
      <c r="C5317" s="4" t="s">
        <v>35</v>
      </c>
      <c r="D5317" s="4">
        <v>2028</v>
      </c>
      <c r="E5317" s="4">
        <v>269672.16622057935</v>
      </c>
      <c r="F5317" s="4" t="s">
        <v>29</v>
      </c>
    </row>
    <row r="5318" spans="1:6" x14ac:dyDescent="0.25">
      <c r="A5318" s="4" t="s">
        <v>74</v>
      </c>
      <c r="B5318" s="4" t="s">
        <v>6</v>
      </c>
      <c r="C5318" s="4" t="s">
        <v>35</v>
      </c>
      <c r="D5318" s="4">
        <v>2029</v>
      </c>
      <c r="E5318" s="4">
        <v>268254.44145089231</v>
      </c>
      <c r="F5318" s="4" t="s">
        <v>29</v>
      </c>
    </row>
    <row r="5319" spans="1:6" x14ac:dyDescent="0.25">
      <c r="A5319" s="4" t="s">
        <v>74</v>
      </c>
      <c r="B5319" s="4" t="s">
        <v>6</v>
      </c>
      <c r="C5319" s="4" t="s">
        <v>35</v>
      </c>
      <c r="D5319" s="4">
        <v>2030</v>
      </c>
      <c r="E5319" s="4">
        <v>265307.69298158528</v>
      </c>
      <c r="F5319" s="4" t="s">
        <v>29</v>
      </c>
    </row>
    <row r="5320" spans="1:6" x14ac:dyDescent="0.25">
      <c r="A5320" s="4" t="s">
        <v>74</v>
      </c>
      <c r="B5320" s="4" t="s">
        <v>6</v>
      </c>
      <c r="C5320" s="4" t="s">
        <v>35</v>
      </c>
      <c r="D5320" s="4">
        <v>2031</v>
      </c>
      <c r="E5320" s="4">
        <v>261225.38814195938</v>
      </c>
      <c r="F5320" s="4" t="s">
        <v>29</v>
      </c>
    </row>
    <row r="5321" spans="1:6" x14ac:dyDescent="0.25">
      <c r="A5321" s="4" t="s">
        <v>74</v>
      </c>
      <c r="B5321" s="4" t="s">
        <v>6</v>
      </c>
      <c r="C5321" s="4" t="s">
        <v>35</v>
      </c>
      <c r="D5321" s="4">
        <v>2032</v>
      </c>
      <c r="E5321" s="4">
        <v>257323.68785441664</v>
      </c>
      <c r="F5321" s="4" t="s">
        <v>29</v>
      </c>
    </row>
    <row r="5322" spans="1:6" x14ac:dyDescent="0.25">
      <c r="A5322" s="4" t="s">
        <v>74</v>
      </c>
      <c r="B5322" s="4" t="s">
        <v>6</v>
      </c>
      <c r="C5322" s="4" t="s">
        <v>35</v>
      </c>
      <c r="D5322" s="4">
        <v>2033</v>
      </c>
      <c r="E5322" s="4">
        <v>253551.04782070307</v>
      </c>
      <c r="F5322" s="4" t="s">
        <v>29</v>
      </c>
    </row>
    <row r="5323" spans="1:6" x14ac:dyDescent="0.25">
      <c r="A5323" s="4" t="s">
        <v>74</v>
      </c>
      <c r="B5323" s="4" t="s">
        <v>6</v>
      </c>
      <c r="C5323" s="4" t="s">
        <v>35</v>
      </c>
      <c r="D5323" s="4">
        <v>2034</v>
      </c>
      <c r="E5323" s="4">
        <v>249897.80777760805</v>
      </c>
      <c r="F5323" s="4" t="s">
        <v>29</v>
      </c>
    </row>
    <row r="5324" spans="1:6" x14ac:dyDescent="0.25">
      <c r="A5324" s="4" t="s">
        <v>74</v>
      </c>
      <c r="B5324" s="4" t="s">
        <v>6</v>
      </c>
      <c r="C5324" s="4" t="s">
        <v>35</v>
      </c>
      <c r="D5324" s="4">
        <v>2035</v>
      </c>
      <c r="E5324" s="4">
        <v>244007.25400471312</v>
      </c>
      <c r="F5324" s="4" t="s">
        <v>29</v>
      </c>
    </row>
    <row r="5325" spans="1:6" x14ac:dyDescent="0.25">
      <c r="A5325" s="4" t="s">
        <v>74</v>
      </c>
      <c r="B5325" s="4" t="s">
        <v>6</v>
      </c>
      <c r="C5325" s="4" t="s">
        <v>35</v>
      </c>
      <c r="D5325" s="4">
        <v>2036</v>
      </c>
      <c r="E5325" s="4">
        <v>236537.13605194734</v>
      </c>
      <c r="F5325" s="4" t="s">
        <v>29</v>
      </c>
    </row>
    <row r="5326" spans="1:6" x14ac:dyDescent="0.25">
      <c r="A5326" s="4" t="s">
        <v>74</v>
      </c>
      <c r="B5326" s="4" t="s">
        <v>6</v>
      </c>
      <c r="C5326" s="4" t="s">
        <v>35</v>
      </c>
      <c r="D5326" s="4">
        <v>2037</v>
      </c>
      <c r="E5326" s="4">
        <v>229494.98215298148</v>
      </c>
      <c r="F5326" s="4" t="s">
        <v>29</v>
      </c>
    </row>
    <row r="5327" spans="1:6" x14ac:dyDescent="0.25">
      <c r="A5327" s="4" t="s">
        <v>74</v>
      </c>
      <c r="B5327" s="4" t="s">
        <v>6</v>
      </c>
      <c r="C5327" s="4" t="s">
        <v>35</v>
      </c>
      <c r="D5327" s="4">
        <v>2038</v>
      </c>
      <c r="E5327" s="4">
        <v>221539.68759833139</v>
      </c>
      <c r="F5327" s="4" t="s">
        <v>29</v>
      </c>
    </row>
    <row r="5328" spans="1:6" x14ac:dyDescent="0.25">
      <c r="A5328" s="4" t="s">
        <v>74</v>
      </c>
      <c r="B5328" s="4" t="s">
        <v>6</v>
      </c>
      <c r="C5328" s="4" t="s">
        <v>35</v>
      </c>
      <c r="D5328" s="4">
        <v>2039</v>
      </c>
      <c r="E5328" s="4">
        <v>212960.40922699627</v>
      </c>
      <c r="F5328" s="4" t="s">
        <v>29</v>
      </c>
    </row>
    <row r="5329" spans="1:6" x14ac:dyDescent="0.25">
      <c r="A5329" s="4" t="s">
        <v>74</v>
      </c>
      <c r="B5329" s="4" t="s">
        <v>6</v>
      </c>
      <c r="C5329" s="4" t="s">
        <v>35</v>
      </c>
      <c r="D5329" s="4">
        <v>2040</v>
      </c>
      <c r="E5329" s="4">
        <v>204900.99519514298</v>
      </c>
      <c r="F5329" s="4" t="s">
        <v>29</v>
      </c>
    </row>
    <row r="5330" spans="1:6" x14ac:dyDescent="0.25">
      <c r="A5330" s="4" t="s">
        <v>74</v>
      </c>
      <c r="B5330" s="4" t="s">
        <v>23</v>
      </c>
      <c r="C5330" s="4" t="s">
        <v>35</v>
      </c>
      <c r="D5330" s="4">
        <v>2005</v>
      </c>
      <c r="E5330" s="4">
        <v>282212.47959485406</v>
      </c>
      <c r="F5330" s="4" t="s">
        <v>29</v>
      </c>
    </row>
    <row r="5331" spans="1:6" x14ac:dyDescent="0.25">
      <c r="A5331" s="4" t="s">
        <v>74</v>
      </c>
      <c r="B5331" s="4" t="s">
        <v>23</v>
      </c>
      <c r="C5331" s="4" t="s">
        <v>35</v>
      </c>
      <c r="D5331" s="4">
        <v>2006</v>
      </c>
      <c r="E5331" s="4">
        <v>308821.51053891447</v>
      </c>
      <c r="F5331" s="4" t="s">
        <v>29</v>
      </c>
    </row>
    <row r="5332" spans="1:6" x14ac:dyDescent="0.25">
      <c r="A5332" s="4" t="s">
        <v>74</v>
      </c>
      <c r="B5332" s="4" t="s">
        <v>23</v>
      </c>
      <c r="C5332" s="4" t="s">
        <v>35</v>
      </c>
      <c r="D5332" s="4">
        <v>2007</v>
      </c>
      <c r="E5332" s="4">
        <v>316621.84584741422</v>
      </c>
      <c r="F5332" s="4" t="s">
        <v>29</v>
      </c>
    </row>
    <row r="5333" spans="1:6" x14ac:dyDescent="0.25">
      <c r="A5333" s="4" t="s">
        <v>74</v>
      </c>
      <c r="B5333" s="4" t="s">
        <v>23</v>
      </c>
      <c r="C5333" s="4" t="s">
        <v>35</v>
      </c>
      <c r="D5333" s="4">
        <v>2008</v>
      </c>
      <c r="E5333" s="4">
        <v>309817.91666666669</v>
      </c>
      <c r="F5333" s="4" t="s">
        <v>29</v>
      </c>
    </row>
    <row r="5334" spans="1:6" x14ac:dyDescent="0.25">
      <c r="A5334" s="4" t="s">
        <v>74</v>
      </c>
      <c r="B5334" s="4" t="s">
        <v>23</v>
      </c>
      <c r="C5334" s="4" t="s">
        <v>35</v>
      </c>
      <c r="D5334" s="4">
        <v>2009</v>
      </c>
      <c r="E5334" s="4">
        <v>331002.26312788017</v>
      </c>
      <c r="F5334" s="4" t="s">
        <v>29</v>
      </c>
    </row>
    <row r="5335" spans="1:6" x14ac:dyDescent="0.25">
      <c r="A5335" s="4" t="s">
        <v>74</v>
      </c>
      <c r="B5335" s="4" t="s">
        <v>23</v>
      </c>
      <c r="C5335" s="4" t="s">
        <v>35</v>
      </c>
      <c r="D5335" s="4">
        <v>2010</v>
      </c>
      <c r="E5335" s="4">
        <v>349078.57793704275</v>
      </c>
      <c r="F5335" s="4" t="s">
        <v>29</v>
      </c>
    </row>
    <row r="5336" spans="1:6" x14ac:dyDescent="0.25">
      <c r="A5336" s="4" t="s">
        <v>74</v>
      </c>
      <c r="B5336" s="4" t="s">
        <v>23</v>
      </c>
      <c r="C5336" s="4" t="s">
        <v>35</v>
      </c>
      <c r="D5336" s="4">
        <v>2011</v>
      </c>
      <c r="E5336" s="4">
        <v>374155.60891879012</v>
      </c>
      <c r="F5336" s="4" t="s">
        <v>29</v>
      </c>
    </row>
    <row r="5337" spans="1:6" x14ac:dyDescent="0.25">
      <c r="A5337" s="4" t="s">
        <v>74</v>
      </c>
      <c r="B5337" s="4" t="s">
        <v>23</v>
      </c>
      <c r="C5337" s="4" t="s">
        <v>35</v>
      </c>
      <c r="D5337" s="4">
        <v>2012</v>
      </c>
      <c r="E5337" s="4">
        <v>413332.3737569534</v>
      </c>
      <c r="F5337" s="4" t="s">
        <v>29</v>
      </c>
    </row>
    <row r="5338" spans="1:6" x14ac:dyDescent="0.25">
      <c r="A5338" s="4" t="s">
        <v>74</v>
      </c>
      <c r="B5338" s="4" t="s">
        <v>23</v>
      </c>
      <c r="C5338" s="4" t="s">
        <v>35</v>
      </c>
      <c r="D5338" s="4">
        <v>2013</v>
      </c>
      <c r="E5338" s="4">
        <v>444314.08336594386</v>
      </c>
      <c r="F5338" s="4" t="s">
        <v>29</v>
      </c>
    </row>
    <row r="5339" spans="1:6" x14ac:dyDescent="0.25">
      <c r="A5339" s="4" t="s">
        <v>74</v>
      </c>
      <c r="B5339" s="4" t="s">
        <v>23</v>
      </c>
      <c r="C5339" s="4" t="s">
        <v>35</v>
      </c>
      <c r="D5339" s="4">
        <v>2014</v>
      </c>
      <c r="E5339" s="4">
        <v>472104.01654323877</v>
      </c>
      <c r="F5339" s="4" t="s">
        <v>29</v>
      </c>
    </row>
    <row r="5340" spans="1:6" x14ac:dyDescent="0.25">
      <c r="A5340" s="4" t="s">
        <v>74</v>
      </c>
      <c r="B5340" s="4" t="s">
        <v>23</v>
      </c>
      <c r="C5340" s="4" t="s">
        <v>35</v>
      </c>
      <c r="D5340" s="4">
        <v>2015</v>
      </c>
      <c r="E5340" s="4">
        <v>515890.15396101726</v>
      </c>
      <c r="F5340" s="4" t="s">
        <v>29</v>
      </c>
    </row>
    <row r="5341" spans="1:6" x14ac:dyDescent="0.25">
      <c r="A5341" s="4" t="s">
        <v>74</v>
      </c>
      <c r="B5341" s="4" t="s">
        <v>23</v>
      </c>
      <c r="C5341" s="4" t="s">
        <v>35</v>
      </c>
      <c r="D5341" s="4">
        <v>2016</v>
      </c>
      <c r="E5341" s="4">
        <v>511295.13393929158</v>
      </c>
      <c r="F5341" s="4" t="s">
        <v>29</v>
      </c>
    </row>
    <row r="5342" spans="1:6" x14ac:dyDescent="0.25">
      <c r="A5342" s="4" t="s">
        <v>74</v>
      </c>
      <c r="B5342" s="4" t="s">
        <v>23</v>
      </c>
      <c r="C5342" s="4" t="s">
        <v>35</v>
      </c>
      <c r="D5342" s="4">
        <v>2017</v>
      </c>
      <c r="E5342" s="4">
        <v>562108.93723498529</v>
      </c>
      <c r="F5342" s="4" t="s">
        <v>29</v>
      </c>
    </row>
    <row r="5343" spans="1:6" x14ac:dyDescent="0.25">
      <c r="A5343" s="4" t="s">
        <v>74</v>
      </c>
      <c r="B5343" s="4" t="s">
        <v>23</v>
      </c>
      <c r="C5343" s="4" t="s">
        <v>35</v>
      </c>
      <c r="D5343" s="4">
        <v>2018</v>
      </c>
      <c r="E5343" s="4">
        <v>606265.80359984969</v>
      </c>
      <c r="F5343" s="4" t="s">
        <v>29</v>
      </c>
    </row>
    <row r="5344" spans="1:6" x14ac:dyDescent="0.25">
      <c r="A5344" s="4" t="s">
        <v>74</v>
      </c>
      <c r="B5344" s="4" t="s">
        <v>23</v>
      </c>
      <c r="C5344" s="4" t="s">
        <v>35</v>
      </c>
      <c r="D5344" s="4">
        <v>2019</v>
      </c>
      <c r="E5344" s="4">
        <v>627325.42566271103</v>
      </c>
      <c r="F5344" s="4" t="s">
        <v>29</v>
      </c>
    </row>
    <row r="5345" spans="1:6" x14ac:dyDescent="0.25">
      <c r="A5345" s="4" t="s">
        <v>74</v>
      </c>
      <c r="B5345" s="4" t="s">
        <v>23</v>
      </c>
      <c r="C5345" s="4" t="s">
        <v>35</v>
      </c>
      <c r="D5345" s="4">
        <v>2020</v>
      </c>
      <c r="E5345" s="4">
        <v>629021.42387938895</v>
      </c>
      <c r="F5345" s="4" t="s">
        <v>29</v>
      </c>
    </row>
    <row r="5346" spans="1:6" x14ac:dyDescent="0.25">
      <c r="A5346" s="4" t="s">
        <v>74</v>
      </c>
      <c r="B5346" s="4" t="s">
        <v>23</v>
      </c>
      <c r="C5346" s="4" t="s">
        <v>35</v>
      </c>
      <c r="D5346" s="4">
        <v>2021</v>
      </c>
      <c r="E5346" s="4">
        <v>628686.87837767694</v>
      </c>
      <c r="F5346" s="4" t="s">
        <v>29</v>
      </c>
    </row>
    <row r="5347" spans="1:6" x14ac:dyDescent="0.25">
      <c r="A5347" s="4" t="s">
        <v>74</v>
      </c>
      <c r="B5347" s="4" t="s">
        <v>23</v>
      </c>
      <c r="C5347" s="4" t="s">
        <v>35</v>
      </c>
      <c r="D5347" s="4">
        <v>2022</v>
      </c>
      <c r="E5347" s="4">
        <v>623024.39089269144</v>
      </c>
      <c r="F5347" s="4" t="s">
        <v>29</v>
      </c>
    </row>
    <row r="5348" spans="1:6" x14ac:dyDescent="0.25">
      <c r="A5348" s="4" t="s">
        <v>74</v>
      </c>
      <c r="B5348" s="4" t="s">
        <v>23</v>
      </c>
      <c r="C5348" s="4" t="s">
        <v>35</v>
      </c>
      <c r="D5348" s="4">
        <v>2023</v>
      </c>
      <c r="E5348" s="4">
        <v>618136.87773198425</v>
      </c>
      <c r="F5348" s="4" t="s">
        <v>29</v>
      </c>
    </row>
    <row r="5349" spans="1:6" x14ac:dyDescent="0.25">
      <c r="A5349" s="4" t="s">
        <v>74</v>
      </c>
      <c r="B5349" s="4" t="s">
        <v>23</v>
      </c>
      <c r="C5349" s="4" t="s">
        <v>35</v>
      </c>
      <c r="D5349" s="4">
        <v>2024</v>
      </c>
      <c r="E5349" s="4">
        <v>613825.20805931522</v>
      </c>
      <c r="F5349" s="4" t="s">
        <v>29</v>
      </c>
    </row>
    <row r="5350" spans="1:6" x14ac:dyDescent="0.25">
      <c r="A5350" s="4" t="s">
        <v>74</v>
      </c>
      <c r="B5350" s="4" t="s">
        <v>23</v>
      </c>
      <c r="C5350" s="4" t="s">
        <v>35</v>
      </c>
      <c r="D5350" s="4">
        <v>2025</v>
      </c>
      <c r="E5350" s="4">
        <v>609449.5777090122</v>
      </c>
      <c r="F5350" s="4" t="s">
        <v>29</v>
      </c>
    </row>
    <row r="5351" spans="1:6" x14ac:dyDescent="0.25">
      <c r="A5351" s="4" t="s">
        <v>74</v>
      </c>
      <c r="B5351" s="4" t="s">
        <v>23</v>
      </c>
      <c r="C5351" s="4" t="s">
        <v>35</v>
      </c>
      <c r="D5351" s="4">
        <v>2026</v>
      </c>
      <c r="E5351" s="4">
        <v>604727.53147485293</v>
      </c>
      <c r="F5351" s="4" t="s">
        <v>29</v>
      </c>
    </row>
    <row r="5352" spans="1:6" x14ac:dyDescent="0.25">
      <c r="A5352" s="4" t="s">
        <v>74</v>
      </c>
      <c r="B5352" s="4" t="s">
        <v>23</v>
      </c>
      <c r="C5352" s="4" t="s">
        <v>35</v>
      </c>
      <c r="D5352" s="4">
        <v>2027</v>
      </c>
      <c r="E5352" s="4">
        <v>599903.01147984411</v>
      </c>
      <c r="F5352" s="4" t="s">
        <v>29</v>
      </c>
    </row>
    <row r="5353" spans="1:6" x14ac:dyDescent="0.25">
      <c r="A5353" s="4" t="s">
        <v>74</v>
      </c>
      <c r="B5353" s="4" t="s">
        <v>23</v>
      </c>
      <c r="C5353" s="4" t="s">
        <v>35</v>
      </c>
      <c r="D5353" s="4">
        <v>2028</v>
      </c>
      <c r="E5353" s="4">
        <v>595292.79744356638</v>
      </c>
      <c r="F5353" s="4" t="s">
        <v>29</v>
      </c>
    </row>
    <row r="5354" spans="1:6" x14ac:dyDescent="0.25">
      <c r="A5354" s="4" t="s">
        <v>74</v>
      </c>
      <c r="B5354" s="4" t="s">
        <v>23</v>
      </c>
      <c r="C5354" s="4" t="s">
        <v>35</v>
      </c>
      <c r="D5354" s="4">
        <v>2029</v>
      </c>
      <c r="E5354" s="4">
        <v>590910.39534982364</v>
      </c>
      <c r="F5354" s="4" t="s">
        <v>29</v>
      </c>
    </row>
    <row r="5355" spans="1:6" x14ac:dyDescent="0.25">
      <c r="A5355" s="4" t="s">
        <v>74</v>
      </c>
      <c r="B5355" s="4" t="s">
        <v>23</v>
      </c>
      <c r="C5355" s="4" t="s">
        <v>35</v>
      </c>
      <c r="D5355" s="4">
        <v>2030</v>
      </c>
      <c r="E5355" s="4">
        <v>585116.41168119723</v>
      </c>
      <c r="F5355" s="4" t="s">
        <v>29</v>
      </c>
    </row>
    <row r="5356" spans="1:6" x14ac:dyDescent="0.25">
      <c r="A5356" s="4" t="s">
        <v>74</v>
      </c>
      <c r="B5356" s="4" t="s">
        <v>23</v>
      </c>
      <c r="C5356" s="4" t="s">
        <v>35</v>
      </c>
      <c r="D5356" s="4">
        <v>2031</v>
      </c>
      <c r="E5356" s="4">
        <v>577805.23859894602</v>
      </c>
      <c r="F5356" s="4" t="s">
        <v>29</v>
      </c>
    </row>
    <row r="5357" spans="1:6" x14ac:dyDescent="0.25">
      <c r="A5357" s="4" t="s">
        <v>74</v>
      </c>
      <c r="B5357" s="4" t="s">
        <v>23</v>
      </c>
      <c r="C5357" s="4" t="s">
        <v>35</v>
      </c>
      <c r="D5357" s="4">
        <v>2032</v>
      </c>
      <c r="E5357" s="4">
        <v>570351.21082295012</v>
      </c>
      <c r="F5357" s="4" t="s">
        <v>29</v>
      </c>
    </row>
    <row r="5358" spans="1:6" x14ac:dyDescent="0.25">
      <c r="A5358" s="4" t="s">
        <v>74</v>
      </c>
      <c r="B5358" s="4" t="s">
        <v>23</v>
      </c>
      <c r="C5358" s="4" t="s">
        <v>35</v>
      </c>
      <c r="D5358" s="4">
        <v>2033</v>
      </c>
      <c r="E5358" s="4">
        <v>563140.2318582444</v>
      </c>
      <c r="F5358" s="4" t="s">
        <v>29</v>
      </c>
    </row>
    <row r="5359" spans="1:6" x14ac:dyDescent="0.25">
      <c r="A5359" s="4" t="s">
        <v>74</v>
      </c>
      <c r="B5359" s="4" t="s">
        <v>23</v>
      </c>
      <c r="C5359" s="4" t="s">
        <v>35</v>
      </c>
      <c r="D5359" s="4">
        <v>2034</v>
      </c>
      <c r="E5359" s="4">
        <v>556203.07938253973</v>
      </c>
      <c r="F5359" s="4" t="s">
        <v>29</v>
      </c>
    </row>
    <row r="5360" spans="1:6" x14ac:dyDescent="0.25">
      <c r="A5360" s="4" t="s">
        <v>74</v>
      </c>
      <c r="B5360" s="4" t="s">
        <v>23</v>
      </c>
      <c r="C5360" s="4" t="s">
        <v>35</v>
      </c>
      <c r="D5360" s="4">
        <v>2035</v>
      </c>
      <c r="E5360" s="4">
        <v>547135.48718134686</v>
      </c>
      <c r="F5360" s="4" t="s">
        <v>29</v>
      </c>
    </row>
    <row r="5361" spans="1:6" x14ac:dyDescent="0.25">
      <c r="A5361" s="4" t="s">
        <v>74</v>
      </c>
      <c r="B5361" s="4" t="s">
        <v>23</v>
      </c>
      <c r="C5361" s="4" t="s">
        <v>35</v>
      </c>
      <c r="D5361" s="4">
        <v>2036</v>
      </c>
      <c r="E5361" s="4">
        <v>536621.0688555839</v>
      </c>
      <c r="F5361" s="4" t="s">
        <v>29</v>
      </c>
    </row>
    <row r="5362" spans="1:6" x14ac:dyDescent="0.25">
      <c r="A5362" s="4" t="s">
        <v>74</v>
      </c>
      <c r="B5362" s="4" t="s">
        <v>23</v>
      </c>
      <c r="C5362" s="4" t="s">
        <v>35</v>
      </c>
      <c r="D5362" s="4">
        <v>2037</v>
      </c>
      <c r="E5362" s="4">
        <v>526618.19406675233</v>
      </c>
      <c r="F5362" s="4" t="s">
        <v>29</v>
      </c>
    </row>
    <row r="5363" spans="1:6" x14ac:dyDescent="0.25">
      <c r="A5363" s="4" t="s">
        <v>74</v>
      </c>
      <c r="B5363" s="4" t="s">
        <v>23</v>
      </c>
      <c r="C5363" s="4" t="s">
        <v>35</v>
      </c>
      <c r="D5363" s="4">
        <v>2038</v>
      </c>
      <c r="E5363" s="4">
        <v>515698.17935265612</v>
      </c>
      <c r="F5363" s="4" t="s">
        <v>29</v>
      </c>
    </row>
    <row r="5364" spans="1:6" x14ac:dyDescent="0.25">
      <c r="A5364" s="4" t="s">
        <v>74</v>
      </c>
      <c r="B5364" s="4" t="s">
        <v>23</v>
      </c>
      <c r="C5364" s="4" t="s">
        <v>35</v>
      </c>
      <c r="D5364" s="4">
        <v>2039</v>
      </c>
      <c r="E5364" s="4">
        <v>504202.32276654954</v>
      </c>
      <c r="F5364" s="4" t="s">
        <v>29</v>
      </c>
    </row>
    <row r="5365" spans="1:6" x14ac:dyDescent="0.25">
      <c r="A5365" s="4" t="s">
        <v>74</v>
      </c>
      <c r="B5365" s="4" t="s">
        <v>23</v>
      </c>
      <c r="C5365" s="4" t="s">
        <v>35</v>
      </c>
      <c r="D5365" s="4">
        <v>2040</v>
      </c>
      <c r="E5365" s="4">
        <v>493368.0515001702</v>
      </c>
      <c r="F5365" s="4" t="s">
        <v>29</v>
      </c>
    </row>
    <row r="5366" spans="1:6" x14ac:dyDescent="0.25">
      <c r="A5366" s="4" t="s">
        <v>75</v>
      </c>
      <c r="B5366" s="4" t="s">
        <v>1</v>
      </c>
      <c r="C5366" s="4" t="s">
        <v>35</v>
      </c>
      <c r="D5366" s="4">
        <v>2005</v>
      </c>
      <c r="E5366" s="4">
        <v>96.492316484880945</v>
      </c>
      <c r="F5366" s="4" t="s">
        <v>29</v>
      </c>
    </row>
    <row r="5367" spans="1:6" x14ac:dyDescent="0.25">
      <c r="A5367" s="4" t="s">
        <v>75</v>
      </c>
      <c r="B5367" s="4" t="s">
        <v>1</v>
      </c>
      <c r="C5367" s="4" t="s">
        <v>35</v>
      </c>
      <c r="D5367" s="4">
        <v>2006</v>
      </c>
      <c r="E5367" s="4">
        <v>679.74809020666567</v>
      </c>
      <c r="F5367" s="4" t="s">
        <v>29</v>
      </c>
    </row>
    <row r="5368" spans="1:6" x14ac:dyDescent="0.25">
      <c r="A5368" s="4" t="s">
        <v>75</v>
      </c>
      <c r="B5368" s="4" t="s">
        <v>1</v>
      </c>
      <c r="C5368" s="4" t="s">
        <v>35</v>
      </c>
      <c r="D5368" s="4">
        <v>2007</v>
      </c>
      <c r="E5368" s="4">
        <v>2091.8865299329486</v>
      </c>
      <c r="F5368" s="4" t="s">
        <v>29</v>
      </c>
    </row>
    <row r="5369" spans="1:6" x14ac:dyDescent="0.25">
      <c r="A5369" s="4" t="s">
        <v>75</v>
      </c>
      <c r="B5369" s="4" t="s">
        <v>1</v>
      </c>
      <c r="C5369" s="4" t="s">
        <v>35</v>
      </c>
      <c r="D5369" s="4">
        <v>2008</v>
      </c>
      <c r="E5369" s="4">
        <v>6718.4492038985163</v>
      </c>
      <c r="F5369" s="4" t="s">
        <v>29</v>
      </c>
    </row>
    <row r="5370" spans="1:6" x14ac:dyDescent="0.25">
      <c r="A5370" s="4" t="s">
        <v>75</v>
      </c>
      <c r="B5370" s="4" t="s">
        <v>1</v>
      </c>
      <c r="C5370" s="4" t="s">
        <v>35</v>
      </c>
      <c r="D5370" s="4">
        <v>2009</v>
      </c>
      <c r="E5370" s="4">
        <v>9701.0385576611534</v>
      </c>
      <c r="F5370" s="4" t="s">
        <v>29</v>
      </c>
    </row>
    <row r="5371" spans="1:6" x14ac:dyDescent="0.25">
      <c r="A5371" s="4" t="s">
        <v>75</v>
      </c>
      <c r="B5371" s="4" t="s">
        <v>1</v>
      </c>
      <c r="C5371" s="4" t="s">
        <v>35</v>
      </c>
      <c r="D5371" s="4">
        <v>2010</v>
      </c>
      <c r="E5371" s="4">
        <v>9228.2576536040469</v>
      </c>
      <c r="F5371" s="4" t="s">
        <v>29</v>
      </c>
    </row>
    <row r="5372" spans="1:6" x14ac:dyDescent="0.25">
      <c r="A5372" s="4" t="s">
        <v>75</v>
      </c>
      <c r="B5372" s="4" t="s">
        <v>1</v>
      </c>
      <c r="C5372" s="4" t="s">
        <v>35</v>
      </c>
      <c r="D5372" s="4">
        <v>2011</v>
      </c>
      <c r="E5372" s="4">
        <v>9711.9899431634058</v>
      </c>
      <c r="F5372" s="4" t="s">
        <v>29</v>
      </c>
    </row>
    <row r="5373" spans="1:6" x14ac:dyDescent="0.25">
      <c r="A5373" s="4" t="s">
        <v>75</v>
      </c>
      <c r="B5373" s="4" t="s">
        <v>1</v>
      </c>
      <c r="C5373" s="4" t="s">
        <v>35</v>
      </c>
      <c r="D5373" s="4">
        <v>2012</v>
      </c>
      <c r="E5373" s="4">
        <v>10965.345709805462</v>
      </c>
      <c r="F5373" s="4" t="s">
        <v>29</v>
      </c>
    </row>
    <row r="5374" spans="1:6" x14ac:dyDescent="0.25">
      <c r="A5374" s="4" t="s">
        <v>75</v>
      </c>
      <c r="B5374" s="4" t="s">
        <v>1</v>
      </c>
      <c r="C5374" s="4" t="s">
        <v>35</v>
      </c>
      <c r="D5374" s="4">
        <v>2013</v>
      </c>
      <c r="E5374" s="4">
        <v>11162.071896151936</v>
      </c>
      <c r="F5374" s="4" t="s">
        <v>29</v>
      </c>
    </row>
    <row r="5375" spans="1:6" x14ac:dyDescent="0.25">
      <c r="A5375" s="4" t="s">
        <v>75</v>
      </c>
      <c r="B5375" s="4" t="s">
        <v>1</v>
      </c>
      <c r="C5375" s="4" t="s">
        <v>35</v>
      </c>
      <c r="D5375" s="4">
        <v>2014</v>
      </c>
      <c r="E5375" s="4">
        <v>12443.269117385948</v>
      </c>
      <c r="F5375" s="4" t="s">
        <v>29</v>
      </c>
    </row>
    <row r="5376" spans="1:6" x14ac:dyDescent="0.25">
      <c r="A5376" s="4" t="s">
        <v>75</v>
      </c>
      <c r="B5376" s="4" t="s">
        <v>1</v>
      </c>
      <c r="C5376" s="4" t="s">
        <v>35</v>
      </c>
      <c r="D5376" s="4">
        <v>2015</v>
      </c>
      <c r="E5376" s="4">
        <v>10860.397371171624</v>
      </c>
      <c r="F5376" s="4" t="s">
        <v>29</v>
      </c>
    </row>
    <row r="5377" spans="1:6" x14ac:dyDescent="0.25">
      <c r="A5377" s="4" t="s">
        <v>75</v>
      </c>
      <c r="B5377" s="4" t="s">
        <v>1</v>
      </c>
      <c r="C5377" s="4" t="s">
        <v>35</v>
      </c>
      <c r="D5377" s="4">
        <v>2016</v>
      </c>
      <c r="E5377" s="4">
        <v>9253.1959502336631</v>
      </c>
      <c r="F5377" s="4" t="s">
        <v>29</v>
      </c>
    </row>
    <row r="5378" spans="1:6" x14ac:dyDescent="0.25">
      <c r="A5378" s="4" t="s">
        <v>75</v>
      </c>
      <c r="B5378" s="4" t="s">
        <v>1</v>
      </c>
      <c r="C5378" s="4" t="s">
        <v>35</v>
      </c>
      <c r="D5378" s="4">
        <v>2017</v>
      </c>
      <c r="E5378" s="4">
        <v>9004.3643733022636</v>
      </c>
      <c r="F5378" s="4" t="s">
        <v>29</v>
      </c>
    </row>
    <row r="5379" spans="1:6" x14ac:dyDescent="0.25">
      <c r="A5379" s="4" t="s">
        <v>75</v>
      </c>
      <c r="B5379" s="4" t="s">
        <v>1</v>
      </c>
      <c r="C5379" s="4" t="s">
        <v>35</v>
      </c>
      <c r="D5379" s="4">
        <v>2018</v>
      </c>
      <c r="E5379" s="4">
        <v>8738.465937597859</v>
      </c>
      <c r="F5379" s="4" t="s">
        <v>29</v>
      </c>
    </row>
    <row r="5380" spans="1:6" x14ac:dyDescent="0.25">
      <c r="A5380" s="4" t="s">
        <v>75</v>
      </c>
      <c r="B5380" s="4" t="s">
        <v>1</v>
      </c>
      <c r="C5380" s="4" t="s">
        <v>35</v>
      </c>
      <c r="D5380" s="4">
        <v>2019</v>
      </c>
      <c r="E5380" s="4">
        <v>7894.7375032269329</v>
      </c>
      <c r="F5380" s="4" t="s">
        <v>29</v>
      </c>
    </row>
    <row r="5381" spans="1:6" x14ac:dyDescent="0.25">
      <c r="A5381" s="4" t="s">
        <v>75</v>
      </c>
      <c r="B5381" s="4" t="s">
        <v>1</v>
      </c>
      <c r="C5381" s="4" t="s">
        <v>35</v>
      </c>
      <c r="D5381" s="4">
        <v>2020</v>
      </c>
      <c r="E5381" s="4">
        <v>6843.5312742628821</v>
      </c>
      <c r="F5381" s="4" t="s">
        <v>29</v>
      </c>
    </row>
    <row r="5382" spans="1:6" x14ac:dyDescent="0.25">
      <c r="A5382" s="4" t="s">
        <v>75</v>
      </c>
      <c r="B5382" s="4" t="s">
        <v>1</v>
      </c>
      <c r="C5382" s="4" t="s">
        <v>35</v>
      </c>
      <c r="D5382" s="4">
        <v>2021</v>
      </c>
      <c r="E5382" s="4">
        <v>6048.514347285819</v>
      </c>
      <c r="F5382" s="4" t="s">
        <v>29</v>
      </c>
    </row>
    <row r="5383" spans="1:6" x14ac:dyDescent="0.25">
      <c r="A5383" s="4" t="s">
        <v>75</v>
      </c>
      <c r="B5383" s="4" t="s">
        <v>1</v>
      </c>
      <c r="C5383" s="4" t="s">
        <v>35</v>
      </c>
      <c r="D5383" s="4">
        <v>2022</v>
      </c>
      <c r="E5383" s="4">
        <v>5429.804501912583</v>
      </c>
      <c r="F5383" s="4" t="s">
        <v>29</v>
      </c>
    </row>
    <row r="5384" spans="1:6" x14ac:dyDescent="0.25">
      <c r="A5384" s="4" t="s">
        <v>75</v>
      </c>
      <c r="B5384" s="4" t="s">
        <v>1</v>
      </c>
      <c r="C5384" s="4" t="s">
        <v>35</v>
      </c>
      <c r="D5384" s="4">
        <v>2023</v>
      </c>
      <c r="E5384" s="4">
        <v>4971.0744732822559</v>
      </c>
      <c r="F5384" s="4" t="s">
        <v>29</v>
      </c>
    </row>
    <row r="5385" spans="1:6" x14ac:dyDescent="0.25">
      <c r="A5385" s="4" t="s">
        <v>75</v>
      </c>
      <c r="B5385" s="4" t="s">
        <v>1</v>
      </c>
      <c r="C5385" s="4" t="s">
        <v>35</v>
      </c>
      <c r="D5385" s="4">
        <v>2024</v>
      </c>
      <c r="E5385" s="4">
        <v>4633.670045908907</v>
      </c>
      <c r="F5385" s="4" t="s">
        <v>29</v>
      </c>
    </row>
    <row r="5386" spans="1:6" x14ac:dyDescent="0.25">
      <c r="A5386" s="4" t="s">
        <v>75</v>
      </c>
      <c r="B5386" s="4" t="s">
        <v>1</v>
      </c>
      <c r="C5386" s="4" t="s">
        <v>35</v>
      </c>
      <c r="D5386" s="4">
        <v>2025</v>
      </c>
      <c r="E5386" s="4">
        <v>4377.7259155746933</v>
      </c>
      <c r="F5386" s="4" t="s">
        <v>29</v>
      </c>
    </row>
    <row r="5387" spans="1:6" x14ac:dyDescent="0.25">
      <c r="A5387" s="4" t="s">
        <v>75</v>
      </c>
      <c r="B5387" s="4" t="s">
        <v>1</v>
      </c>
      <c r="C5387" s="4" t="s">
        <v>35</v>
      </c>
      <c r="D5387" s="4">
        <v>2026</v>
      </c>
      <c r="E5387" s="4">
        <v>4180.7274839468537</v>
      </c>
      <c r="F5387" s="4" t="s">
        <v>29</v>
      </c>
    </row>
    <row r="5388" spans="1:6" x14ac:dyDescent="0.25">
      <c r="A5388" s="4" t="s">
        <v>75</v>
      </c>
      <c r="B5388" s="4" t="s">
        <v>1</v>
      </c>
      <c r="C5388" s="4" t="s">
        <v>35</v>
      </c>
      <c r="D5388" s="4">
        <v>2027</v>
      </c>
      <c r="E5388" s="4">
        <v>4017.68060019739</v>
      </c>
      <c r="F5388" s="4" t="s">
        <v>29</v>
      </c>
    </row>
    <row r="5389" spans="1:6" x14ac:dyDescent="0.25">
      <c r="A5389" s="4" t="s">
        <v>75</v>
      </c>
      <c r="B5389" s="4" t="s">
        <v>1</v>
      </c>
      <c r="C5389" s="4" t="s">
        <v>35</v>
      </c>
      <c r="D5389" s="4">
        <v>2028</v>
      </c>
      <c r="E5389" s="4">
        <v>3874.8466696119813</v>
      </c>
      <c r="F5389" s="4" t="s">
        <v>29</v>
      </c>
    </row>
    <row r="5390" spans="1:6" x14ac:dyDescent="0.25">
      <c r="A5390" s="4" t="s">
        <v>75</v>
      </c>
      <c r="B5390" s="4" t="s">
        <v>1</v>
      </c>
      <c r="C5390" s="4" t="s">
        <v>35</v>
      </c>
      <c r="D5390" s="4">
        <v>2029</v>
      </c>
      <c r="E5390" s="4">
        <v>3749.8929888669386</v>
      </c>
      <c r="F5390" s="4" t="s">
        <v>29</v>
      </c>
    </row>
    <row r="5391" spans="1:6" x14ac:dyDescent="0.25">
      <c r="A5391" s="4" t="s">
        <v>75</v>
      </c>
      <c r="B5391" s="4" t="s">
        <v>1</v>
      </c>
      <c r="C5391" s="4" t="s">
        <v>35</v>
      </c>
      <c r="D5391" s="4">
        <v>2030</v>
      </c>
      <c r="E5391" s="4">
        <v>3639.5252927212396</v>
      </c>
      <c r="F5391" s="4" t="s">
        <v>29</v>
      </c>
    </row>
    <row r="5392" spans="1:6" x14ac:dyDescent="0.25">
      <c r="A5392" s="4" t="s">
        <v>75</v>
      </c>
      <c r="B5392" s="4" t="s">
        <v>1</v>
      </c>
      <c r="C5392" s="4" t="s">
        <v>35</v>
      </c>
      <c r="D5392" s="4">
        <v>2031</v>
      </c>
      <c r="E5392" s="4">
        <v>3541.3123126382884</v>
      </c>
      <c r="F5392" s="4" t="s">
        <v>29</v>
      </c>
    </row>
    <row r="5393" spans="1:6" x14ac:dyDescent="0.25">
      <c r="A5393" s="4" t="s">
        <v>75</v>
      </c>
      <c r="B5393" s="4" t="s">
        <v>1</v>
      </c>
      <c r="C5393" s="4" t="s">
        <v>35</v>
      </c>
      <c r="D5393" s="4">
        <v>2032</v>
      </c>
      <c r="E5393" s="4">
        <v>3453.6269988315471</v>
      </c>
      <c r="F5393" s="4" t="s">
        <v>29</v>
      </c>
    </row>
    <row r="5394" spans="1:6" x14ac:dyDescent="0.25">
      <c r="A5394" s="4" t="s">
        <v>75</v>
      </c>
      <c r="B5394" s="4" t="s">
        <v>1</v>
      </c>
      <c r="C5394" s="4" t="s">
        <v>35</v>
      </c>
      <c r="D5394" s="4">
        <v>2033</v>
      </c>
      <c r="E5394" s="4">
        <v>3374.8570009824771</v>
      </c>
      <c r="F5394" s="4" t="s">
        <v>29</v>
      </c>
    </row>
    <row r="5395" spans="1:6" x14ac:dyDescent="0.25">
      <c r="A5395" s="4" t="s">
        <v>75</v>
      </c>
      <c r="B5395" s="4" t="s">
        <v>1</v>
      </c>
      <c r="C5395" s="4" t="s">
        <v>35</v>
      </c>
      <c r="D5395" s="4">
        <v>2034</v>
      </c>
      <c r="E5395" s="4">
        <v>3302.2444168992765</v>
      </c>
      <c r="F5395" s="4" t="s">
        <v>29</v>
      </c>
    </row>
    <row r="5396" spans="1:6" x14ac:dyDescent="0.25">
      <c r="A5396" s="4" t="s">
        <v>75</v>
      </c>
      <c r="B5396" s="4" t="s">
        <v>1</v>
      </c>
      <c r="C5396" s="4" t="s">
        <v>35</v>
      </c>
      <c r="D5396" s="4">
        <v>2035</v>
      </c>
      <c r="E5396" s="4">
        <v>3233.8509649683383</v>
      </c>
      <c r="F5396" s="4" t="s">
        <v>29</v>
      </c>
    </row>
    <row r="5397" spans="1:6" x14ac:dyDescent="0.25">
      <c r="A5397" s="4" t="s">
        <v>75</v>
      </c>
      <c r="B5397" s="4" t="s">
        <v>1</v>
      </c>
      <c r="C5397" s="4" t="s">
        <v>35</v>
      </c>
      <c r="D5397" s="4">
        <v>2036</v>
      </c>
      <c r="E5397" s="4">
        <v>3168.7417978995054</v>
      </c>
      <c r="F5397" s="4" t="s">
        <v>29</v>
      </c>
    </row>
    <row r="5398" spans="1:6" x14ac:dyDescent="0.25">
      <c r="A5398" s="4" t="s">
        <v>75</v>
      </c>
      <c r="B5398" s="4" t="s">
        <v>1</v>
      </c>
      <c r="C5398" s="4" t="s">
        <v>35</v>
      </c>
      <c r="D5398" s="4">
        <v>2037</v>
      </c>
      <c r="E5398" s="4">
        <v>3109.1156209402434</v>
      </c>
      <c r="F5398" s="4" t="s">
        <v>29</v>
      </c>
    </row>
    <row r="5399" spans="1:6" x14ac:dyDescent="0.25">
      <c r="A5399" s="4" t="s">
        <v>75</v>
      </c>
      <c r="B5399" s="4" t="s">
        <v>1</v>
      </c>
      <c r="C5399" s="4" t="s">
        <v>35</v>
      </c>
      <c r="D5399" s="4">
        <v>2038</v>
      </c>
      <c r="E5399" s="4">
        <v>3052.2561548593217</v>
      </c>
      <c r="F5399" s="4" t="s">
        <v>29</v>
      </c>
    </row>
    <row r="5400" spans="1:6" x14ac:dyDescent="0.25">
      <c r="A5400" s="4" t="s">
        <v>75</v>
      </c>
      <c r="B5400" s="4" t="s">
        <v>1</v>
      </c>
      <c r="C5400" s="4" t="s">
        <v>35</v>
      </c>
      <c r="D5400" s="4">
        <v>2039</v>
      </c>
      <c r="E5400" s="4">
        <v>2997.1067476801222</v>
      </c>
      <c r="F5400" s="4" t="s">
        <v>29</v>
      </c>
    </row>
    <row r="5401" spans="1:6" x14ac:dyDescent="0.25">
      <c r="A5401" s="4" t="s">
        <v>75</v>
      </c>
      <c r="B5401" s="4" t="s">
        <v>1</v>
      </c>
      <c r="C5401" s="4" t="s">
        <v>35</v>
      </c>
      <c r="D5401" s="4">
        <v>2040</v>
      </c>
      <c r="E5401" s="4">
        <v>2943.0157099061257</v>
      </c>
      <c r="F5401" s="4" t="s">
        <v>29</v>
      </c>
    </row>
    <row r="5402" spans="1:6" x14ac:dyDescent="0.25">
      <c r="A5402" s="4" t="s">
        <v>75</v>
      </c>
      <c r="B5402" s="4" t="s">
        <v>2</v>
      </c>
      <c r="C5402" s="4" t="s">
        <v>35</v>
      </c>
      <c r="D5402" s="4">
        <v>2005</v>
      </c>
      <c r="E5402" s="4">
        <v>66520.777872327206</v>
      </c>
      <c r="F5402" s="4" t="s">
        <v>29</v>
      </c>
    </row>
    <row r="5403" spans="1:6" x14ac:dyDescent="0.25">
      <c r="A5403" s="4" t="s">
        <v>75</v>
      </c>
      <c r="B5403" s="4" t="s">
        <v>2</v>
      </c>
      <c r="C5403" s="4" t="s">
        <v>35</v>
      </c>
      <c r="D5403" s="4">
        <v>2006</v>
      </c>
      <c r="E5403" s="4">
        <v>67372.372664401628</v>
      </c>
      <c r="F5403" s="4" t="s">
        <v>29</v>
      </c>
    </row>
    <row r="5404" spans="1:6" x14ac:dyDescent="0.25">
      <c r="A5404" s="4" t="s">
        <v>75</v>
      </c>
      <c r="B5404" s="4" t="s">
        <v>2</v>
      </c>
      <c r="C5404" s="4" t="s">
        <v>35</v>
      </c>
      <c r="D5404" s="4">
        <v>2007</v>
      </c>
      <c r="E5404" s="4">
        <v>65879.084796231924</v>
      </c>
      <c r="F5404" s="4" t="s">
        <v>29</v>
      </c>
    </row>
    <row r="5405" spans="1:6" x14ac:dyDescent="0.25">
      <c r="A5405" s="4" t="s">
        <v>75</v>
      </c>
      <c r="B5405" s="4" t="s">
        <v>2</v>
      </c>
      <c r="C5405" s="4" t="s">
        <v>35</v>
      </c>
      <c r="D5405" s="4">
        <v>2008</v>
      </c>
      <c r="E5405" s="4">
        <v>63127.050796101496</v>
      </c>
      <c r="F5405" s="4" t="s">
        <v>29</v>
      </c>
    </row>
    <row r="5406" spans="1:6" x14ac:dyDescent="0.25">
      <c r="A5406" s="4" t="s">
        <v>75</v>
      </c>
      <c r="B5406" s="4" t="s">
        <v>2</v>
      </c>
      <c r="C5406" s="4" t="s">
        <v>35</v>
      </c>
      <c r="D5406" s="4">
        <v>2009</v>
      </c>
      <c r="E5406" s="4">
        <v>57738.111714996281</v>
      </c>
      <c r="F5406" s="4" t="s">
        <v>29</v>
      </c>
    </row>
    <row r="5407" spans="1:6" x14ac:dyDescent="0.25">
      <c r="A5407" s="4" t="s">
        <v>75</v>
      </c>
      <c r="B5407" s="4" t="s">
        <v>2</v>
      </c>
      <c r="C5407" s="4" t="s">
        <v>35</v>
      </c>
      <c r="D5407" s="4">
        <v>2010</v>
      </c>
      <c r="E5407" s="4">
        <v>57927.210582443062</v>
      </c>
      <c r="F5407" s="4" t="s">
        <v>29</v>
      </c>
    </row>
    <row r="5408" spans="1:6" x14ac:dyDescent="0.25">
      <c r="A5408" s="4" t="s">
        <v>75</v>
      </c>
      <c r="B5408" s="4" t="s">
        <v>2</v>
      </c>
      <c r="C5408" s="4" t="s">
        <v>35</v>
      </c>
      <c r="D5408" s="4">
        <v>2011</v>
      </c>
      <c r="E5408" s="4">
        <v>58235.193228879602</v>
      </c>
      <c r="F5408" s="4" t="s">
        <v>29</v>
      </c>
    </row>
    <row r="5409" spans="1:6" x14ac:dyDescent="0.25">
      <c r="A5409" s="4" t="s">
        <v>75</v>
      </c>
      <c r="B5409" s="4" t="s">
        <v>2</v>
      </c>
      <c r="C5409" s="4" t="s">
        <v>35</v>
      </c>
      <c r="D5409" s="4">
        <v>2012</v>
      </c>
      <c r="E5409" s="4">
        <v>63998.916429851473</v>
      </c>
      <c r="F5409" s="4" t="s">
        <v>29</v>
      </c>
    </row>
    <row r="5410" spans="1:6" x14ac:dyDescent="0.25">
      <c r="A5410" s="4" t="s">
        <v>75</v>
      </c>
      <c r="B5410" s="4" t="s">
        <v>2</v>
      </c>
      <c r="C5410" s="4" t="s">
        <v>35</v>
      </c>
      <c r="D5410" s="4">
        <v>2013</v>
      </c>
      <c r="E5410" s="4">
        <v>65898.730391354446</v>
      </c>
      <c r="F5410" s="4" t="s">
        <v>29</v>
      </c>
    </row>
    <row r="5411" spans="1:6" x14ac:dyDescent="0.25">
      <c r="A5411" s="4" t="s">
        <v>75</v>
      </c>
      <c r="B5411" s="4" t="s">
        <v>2</v>
      </c>
      <c r="C5411" s="4" t="s">
        <v>35</v>
      </c>
      <c r="D5411" s="4">
        <v>2014</v>
      </c>
      <c r="E5411" s="4">
        <v>76109.268382614042</v>
      </c>
      <c r="F5411" s="4" t="s">
        <v>29</v>
      </c>
    </row>
    <row r="5412" spans="1:6" x14ac:dyDescent="0.25">
      <c r="A5412" s="4" t="s">
        <v>75</v>
      </c>
      <c r="B5412" s="4" t="s">
        <v>2</v>
      </c>
      <c r="C5412" s="4" t="s">
        <v>35</v>
      </c>
      <c r="D5412" s="4">
        <v>2015</v>
      </c>
      <c r="E5412" s="4">
        <v>66480.901538198566</v>
      </c>
      <c r="F5412" s="4" t="s">
        <v>29</v>
      </c>
    </row>
    <row r="5413" spans="1:6" x14ac:dyDescent="0.25">
      <c r="A5413" s="4" t="s">
        <v>75</v>
      </c>
      <c r="B5413" s="4" t="s">
        <v>2</v>
      </c>
      <c r="C5413" s="4" t="s">
        <v>35</v>
      </c>
      <c r="D5413" s="4">
        <v>2016</v>
      </c>
      <c r="E5413" s="4">
        <v>63793.965540929341</v>
      </c>
      <c r="F5413" s="4" t="s">
        <v>29</v>
      </c>
    </row>
    <row r="5414" spans="1:6" x14ac:dyDescent="0.25">
      <c r="A5414" s="4" t="s">
        <v>75</v>
      </c>
      <c r="B5414" s="4" t="s">
        <v>2</v>
      </c>
      <c r="C5414" s="4" t="s">
        <v>35</v>
      </c>
      <c r="D5414" s="4">
        <v>2017</v>
      </c>
      <c r="E5414" s="4">
        <v>68379.877899827276</v>
      </c>
      <c r="F5414" s="4" t="s">
        <v>29</v>
      </c>
    </row>
    <row r="5415" spans="1:6" x14ac:dyDescent="0.25">
      <c r="A5415" s="4" t="s">
        <v>75</v>
      </c>
      <c r="B5415" s="4" t="s">
        <v>2</v>
      </c>
      <c r="C5415" s="4" t="s">
        <v>35</v>
      </c>
      <c r="D5415" s="4">
        <v>2018</v>
      </c>
      <c r="E5415" s="4">
        <v>72332.06499138783</v>
      </c>
      <c r="F5415" s="4" t="s">
        <v>29</v>
      </c>
    </row>
    <row r="5416" spans="1:6" x14ac:dyDescent="0.25">
      <c r="A5416" s="4" t="s">
        <v>75</v>
      </c>
      <c r="B5416" s="4" t="s">
        <v>2</v>
      </c>
      <c r="C5416" s="4" t="s">
        <v>35</v>
      </c>
      <c r="D5416" s="4">
        <v>2019</v>
      </c>
      <c r="E5416" s="4">
        <v>73558.29100391372</v>
      </c>
      <c r="F5416" s="4" t="s">
        <v>29</v>
      </c>
    </row>
    <row r="5417" spans="1:6" x14ac:dyDescent="0.25">
      <c r="A5417" s="4" t="s">
        <v>75</v>
      </c>
      <c r="B5417" s="4" t="s">
        <v>2</v>
      </c>
      <c r="C5417" s="4" t="s">
        <v>35</v>
      </c>
      <c r="D5417" s="4">
        <v>2020</v>
      </c>
      <c r="E5417" s="4">
        <v>71881.508031924343</v>
      </c>
      <c r="F5417" s="4" t="s">
        <v>29</v>
      </c>
    </row>
    <row r="5418" spans="1:6" x14ac:dyDescent="0.25">
      <c r="A5418" s="4" t="s">
        <v>75</v>
      </c>
      <c r="B5418" s="4" t="s">
        <v>2</v>
      </c>
      <c r="C5418" s="4" t="s">
        <v>35</v>
      </c>
      <c r="D5418" s="4">
        <v>2021</v>
      </c>
      <c r="E5418" s="4">
        <v>70212.833441299343</v>
      </c>
      <c r="F5418" s="4" t="s">
        <v>29</v>
      </c>
    </row>
    <row r="5419" spans="1:6" x14ac:dyDescent="0.25">
      <c r="A5419" s="4" t="s">
        <v>75</v>
      </c>
      <c r="B5419" s="4" t="s">
        <v>2</v>
      </c>
      <c r="C5419" s="4" t="s">
        <v>35</v>
      </c>
      <c r="D5419" s="4">
        <v>2022</v>
      </c>
      <c r="E5419" s="4">
        <v>68686.219062596749</v>
      </c>
      <c r="F5419" s="4" t="s">
        <v>29</v>
      </c>
    </row>
    <row r="5420" spans="1:6" x14ac:dyDescent="0.25">
      <c r="A5420" s="4" t="s">
        <v>75</v>
      </c>
      <c r="B5420" s="4" t="s">
        <v>2</v>
      </c>
      <c r="C5420" s="4" t="s">
        <v>35</v>
      </c>
      <c r="D5420" s="4">
        <v>2023</v>
      </c>
      <c r="E5420" s="4">
        <v>67221.685122589115</v>
      </c>
      <c r="F5420" s="4" t="s">
        <v>29</v>
      </c>
    </row>
    <row r="5421" spans="1:6" x14ac:dyDescent="0.25">
      <c r="A5421" s="4" t="s">
        <v>75</v>
      </c>
      <c r="B5421" s="4" t="s">
        <v>2</v>
      </c>
      <c r="C5421" s="4" t="s">
        <v>35</v>
      </c>
      <c r="D5421" s="4">
        <v>2024</v>
      </c>
      <c r="E5421" s="4">
        <v>65696.232298945033</v>
      </c>
      <c r="F5421" s="4" t="s">
        <v>29</v>
      </c>
    </row>
    <row r="5422" spans="1:6" x14ac:dyDescent="0.25">
      <c r="A5422" s="4" t="s">
        <v>75</v>
      </c>
      <c r="B5422" s="4" t="s">
        <v>2</v>
      </c>
      <c r="C5422" s="4" t="s">
        <v>35</v>
      </c>
      <c r="D5422" s="4">
        <v>2025</v>
      </c>
      <c r="E5422" s="4">
        <v>63974.83459670029</v>
      </c>
      <c r="F5422" s="4" t="s">
        <v>29</v>
      </c>
    </row>
    <row r="5423" spans="1:6" x14ac:dyDescent="0.25">
      <c r="A5423" s="4" t="s">
        <v>75</v>
      </c>
      <c r="B5423" s="4" t="s">
        <v>2</v>
      </c>
      <c r="C5423" s="4" t="s">
        <v>35</v>
      </c>
      <c r="D5423" s="4">
        <v>2026</v>
      </c>
      <c r="E5423" s="4">
        <v>62238.472567125878</v>
      </c>
      <c r="F5423" s="4" t="s">
        <v>29</v>
      </c>
    </row>
    <row r="5424" spans="1:6" x14ac:dyDescent="0.25">
      <c r="A5424" s="4" t="s">
        <v>75</v>
      </c>
      <c r="B5424" s="4" t="s">
        <v>2</v>
      </c>
      <c r="C5424" s="4" t="s">
        <v>35</v>
      </c>
      <c r="D5424" s="4">
        <v>2027</v>
      </c>
      <c r="E5424" s="4">
        <v>60552.728725965171</v>
      </c>
      <c r="F5424" s="4" t="s">
        <v>29</v>
      </c>
    </row>
    <row r="5425" spans="1:6" x14ac:dyDescent="0.25">
      <c r="A5425" s="4" t="s">
        <v>75</v>
      </c>
      <c r="B5425" s="4" t="s">
        <v>2</v>
      </c>
      <c r="C5425" s="4" t="s">
        <v>35</v>
      </c>
      <c r="D5425" s="4">
        <v>2028</v>
      </c>
      <c r="E5425" s="4">
        <v>58873.339617791869</v>
      </c>
      <c r="F5425" s="4" t="s">
        <v>29</v>
      </c>
    </row>
    <row r="5426" spans="1:6" x14ac:dyDescent="0.25">
      <c r="A5426" s="4" t="s">
        <v>75</v>
      </c>
      <c r="B5426" s="4" t="s">
        <v>2</v>
      </c>
      <c r="C5426" s="4" t="s">
        <v>35</v>
      </c>
      <c r="D5426" s="4">
        <v>2029</v>
      </c>
      <c r="E5426" s="4">
        <v>57158.932528943005</v>
      </c>
      <c r="F5426" s="4" t="s">
        <v>29</v>
      </c>
    </row>
    <row r="5427" spans="1:6" x14ac:dyDescent="0.25">
      <c r="A5427" s="4" t="s">
        <v>75</v>
      </c>
      <c r="B5427" s="4" t="s">
        <v>2</v>
      </c>
      <c r="C5427" s="4" t="s">
        <v>35</v>
      </c>
      <c r="D5427" s="4">
        <v>2030</v>
      </c>
      <c r="E5427" s="4">
        <v>55481.318138543487</v>
      </c>
      <c r="F5427" s="4" t="s">
        <v>29</v>
      </c>
    </row>
    <row r="5428" spans="1:6" x14ac:dyDescent="0.25">
      <c r="A5428" s="4" t="s">
        <v>75</v>
      </c>
      <c r="B5428" s="4" t="s">
        <v>2</v>
      </c>
      <c r="C5428" s="4" t="s">
        <v>35</v>
      </c>
      <c r="D5428" s="4">
        <v>2031</v>
      </c>
      <c r="E5428" s="4">
        <v>53904.123765963355</v>
      </c>
      <c r="F5428" s="4" t="s">
        <v>29</v>
      </c>
    </row>
    <row r="5429" spans="1:6" x14ac:dyDescent="0.25">
      <c r="A5429" s="4" t="s">
        <v>75</v>
      </c>
      <c r="B5429" s="4" t="s">
        <v>2</v>
      </c>
      <c r="C5429" s="4" t="s">
        <v>35</v>
      </c>
      <c r="D5429" s="4">
        <v>2032</v>
      </c>
      <c r="E5429" s="4">
        <v>52399.015043974548</v>
      </c>
      <c r="F5429" s="4" t="s">
        <v>29</v>
      </c>
    </row>
    <row r="5430" spans="1:6" x14ac:dyDescent="0.25">
      <c r="A5430" s="4" t="s">
        <v>75</v>
      </c>
      <c r="B5430" s="4" t="s">
        <v>2</v>
      </c>
      <c r="C5430" s="4" t="s">
        <v>35</v>
      </c>
      <c r="D5430" s="4">
        <v>2033</v>
      </c>
      <c r="E5430" s="4">
        <v>50889.036133843882</v>
      </c>
      <c r="F5430" s="4" t="s">
        <v>29</v>
      </c>
    </row>
    <row r="5431" spans="1:6" x14ac:dyDescent="0.25">
      <c r="A5431" s="4" t="s">
        <v>75</v>
      </c>
      <c r="B5431" s="4" t="s">
        <v>2</v>
      </c>
      <c r="C5431" s="4" t="s">
        <v>35</v>
      </c>
      <c r="D5431" s="4">
        <v>2034</v>
      </c>
      <c r="E5431" s="4">
        <v>49419.543883114478</v>
      </c>
      <c r="F5431" s="4" t="s">
        <v>29</v>
      </c>
    </row>
    <row r="5432" spans="1:6" x14ac:dyDescent="0.25">
      <c r="A5432" s="4" t="s">
        <v>75</v>
      </c>
      <c r="B5432" s="4" t="s">
        <v>2</v>
      </c>
      <c r="C5432" s="4" t="s">
        <v>35</v>
      </c>
      <c r="D5432" s="4">
        <v>2035</v>
      </c>
      <c r="E5432" s="4">
        <v>48008.777546481848</v>
      </c>
      <c r="F5432" s="4" t="s">
        <v>29</v>
      </c>
    </row>
    <row r="5433" spans="1:6" x14ac:dyDescent="0.25">
      <c r="A5433" s="4" t="s">
        <v>75</v>
      </c>
      <c r="B5433" s="4" t="s">
        <v>2</v>
      </c>
      <c r="C5433" s="4" t="s">
        <v>35</v>
      </c>
      <c r="D5433" s="4">
        <v>2036</v>
      </c>
      <c r="E5433" s="4">
        <v>46576.102095172115</v>
      </c>
      <c r="F5433" s="4" t="s">
        <v>29</v>
      </c>
    </row>
    <row r="5434" spans="1:6" x14ac:dyDescent="0.25">
      <c r="A5434" s="4" t="s">
        <v>75</v>
      </c>
      <c r="B5434" s="4" t="s">
        <v>2</v>
      </c>
      <c r="C5434" s="4" t="s">
        <v>35</v>
      </c>
      <c r="D5434" s="4">
        <v>2037</v>
      </c>
      <c r="E5434" s="4">
        <v>45360.47170447831</v>
      </c>
      <c r="F5434" s="4" t="s">
        <v>29</v>
      </c>
    </row>
    <row r="5435" spans="1:6" x14ac:dyDescent="0.25">
      <c r="A5435" s="4" t="s">
        <v>75</v>
      </c>
      <c r="B5435" s="4" t="s">
        <v>2</v>
      </c>
      <c r="C5435" s="4" t="s">
        <v>35</v>
      </c>
      <c r="D5435" s="4">
        <v>2038</v>
      </c>
      <c r="E5435" s="4">
        <v>44196.191690322099</v>
      </c>
      <c r="F5435" s="4" t="s">
        <v>29</v>
      </c>
    </row>
    <row r="5436" spans="1:6" x14ac:dyDescent="0.25">
      <c r="A5436" s="4" t="s">
        <v>75</v>
      </c>
      <c r="B5436" s="4" t="s">
        <v>2</v>
      </c>
      <c r="C5436" s="4" t="s">
        <v>35</v>
      </c>
      <c r="D5436" s="4">
        <v>2039</v>
      </c>
      <c r="E5436" s="4">
        <v>43095.340970988931</v>
      </c>
      <c r="F5436" s="4" t="s">
        <v>29</v>
      </c>
    </row>
    <row r="5437" spans="1:6" x14ac:dyDescent="0.25">
      <c r="A5437" s="4" t="s">
        <v>75</v>
      </c>
      <c r="B5437" s="4" t="s">
        <v>2</v>
      </c>
      <c r="C5437" s="4" t="s">
        <v>35</v>
      </c>
      <c r="D5437" s="4">
        <v>2040</v>
      </c>
      <c r="E5437" s="4">
        <v>42040.669857076937</v>
      </c>
      <c r="F5437" s="4" t="s">
        <v>29</v>
      </c>
    </row>
    <row r="5438" spans="1:6" x14ac:dyDescent="0.25">
      <c r="A5438" s="4" t="s">
        <v>75</v>
      </c>
      <c r="B5438" s="4" t="s">
        <v>3</v>
      </c>
      <c r="C5438" s="4" t="s">
        <v>35</v>
      </c>
      <c r="D5438" s="4">
        <v>2005</v>
      </c>
      <c r="E5438" s="4">
        <v>90</v>
      </c>
      <c r="F5438" s="4" t="s">
        <v>29</v>
      </c>
    </row>
    <row r="5439" spans="1:6" x14ac:dyDescent="0.25">
      <c r="A5439" s="4" t="s">
        <v>75</v>
      </c>
      <c r="B5439" s="4" t="s">
        <v>3</v>
      </c>
      <c r="C5439" s="4" t="s">
        <v>35</v>
      </c>
      <c r="D5439" s="4">
        <v>2006</v>
      </c>
      <c r="E5439" s="4">
        <v>100</v>
      </c>
      <c r="F5439" s="4" t="s">
        <v>29</v>
      </c>
    </row>
    <row r="5440" spans="1:6" x14ac:dyDescent="0.25">
      <c r="A5440" s="4" t="s">
        <v>75</v>
      </c>
      <c r="B5440" s="4" t="s">
        <v>3</v>
      </c>
      <c r="C5440" s="4" t="s">
        <v>35</v>
      </c>
      <c r="D5440" s="4">
        <v>2007</v>
      </c>
      <c r="E5440" s="4">
        <v>100</v>
      </c>
      <c r="F5440" s="4" t="s">
        <v>29</v>
      </c>
    </row>
    <row r="5441" spans="1:6" x14ac:dyDescent="0.25">
      <c r="A5441" s="4" t="s">
        <v>75</v>
      </c>
      <c r="B5441" s="4" t="s">
        <v>3</v>
      </c>
      <c r="C5441" s="4" t="s">
        <v>35</v>
      </c>
      <c r="D5441" s="4">
        <v>2008</v>
      </c>
      <c r="E5441" s="4">
        <v>120</v>
      </c>
      <c r="F5441" s="4" t="s">
        <v>29</v>
      </c>
    </row>
    <row r="5442" spans="1:6" x14ac:dyDescent="0.25">
      <c r="A5442" s="4" t="s">
        <v>75</v>
      </c>
      <c r="B5442" s="4" t="s">
        <v>3</v>
      </c>
      <c r="C5442" s="4" t="s">
        <v>35</v>
      </c>
      <c r="D5442" s="4">
        <v>2009</v>
      </c>
      <c r="E5442" s="4">
        <v>170</v>
      </c>
      <c r="F5442" s="4" t="s">
        <v>29</v>
      </c>
    </row>
    <row r="5443" spans="1:6" x14ac:dyDescent="0.25">
      <c r="A5443" s="4" t="s">
        <v>75</v>
      </c>
      <c r="B5443" s="4" t="s">
        <v>3</v>
      </c>
      <c r="C5443" s="4" t="s">
        <v>35</v>
      </c>
      <c r="D5443" s="4">
        <v>2010</v>
      </c>
      <c r="E5443" s="4">
        <v>100</v>
      </c>
      <c r="F5443" s="4" t="s">
        <v>29</v>
      </c>
    </row>
    <row r="5444" spans="1:6" x14ac:dyDescent="0.25">
      <c r="A5444" s="4" t="s">
        <v>75</v>
      </c>
      <c r="B5444" s="4" t="s">
        <v>3</v>
      </c>
      <c r="C5444" s="4" t="s">
        <v>35</v>
      </c>
      <c r="D5444" s="4">
        <v>2011</v>
      </c>
      <c r="E5444" s="4">
        <v>100</v>
      </c>
      <c r="F5444" s="4" t="s">
        <v>29</v>
      </c>
    </row>
    <row r="5445" spans="1:6" x14ac:dyDescent="0.25">
      <c r="A5445" s="4" t="s">
        <v>75</v>
      </c>
      <c r="B5445" s="4" t="s">
        <v>3</v>
      </c>
      <c r="C5445" s="4" t="s">
        <v>35</v>
      </c>
      <c r="D5445" s="4">
        <v>2012</v>
      </c>
      <c r="E5445" s="4">
        <v>100</v>
      </c>
      <c r="F5445" s="4" t="s">
        <v>29</v>
      </c>
    </row>
    <row r="5446" spans="1:6" x14ac:dyDescent="0.25">
      <c r="A5446" s="4" t="s">
        <v>75</v>
      </c>
      <c r="B5446" s="4" t="s">
        <v>3</v>
      </c>
      <c r="C5446" s="4" t="s">
        <v>35</v>
      </c>
      <c r="D5446" s="4">
        <v>2013</v>
      </c>
      <c r="E5446" s="4">
        <v>100</v>
      </c>
      <c r="F5446" s="4" t="s">
        <v>29</v>
      </c>
    </row>
    <row r="5447" spans="1:6" x14ac:dyDescent="0.25">
      <c r="A5447" s="4" t="s">
        <v>75</v>
      </c>
      <c r="B5447" s="4" t="s">
        <v>3</v>
      </c>
      <c r="C5447" s="4" t="s">
        <v>35</v>
      </c>
      <c r="D5447" s="4">
        <v>2014</v>
      </c>
      <c r="E5447" s="4">
        <v>100</v>
      </c>
      <c r="F5447" s="4" t="s">
        <v>29</v>
      </c>
    </row>
    <row r="5448" spans="1:6" x14ac:dyDescent="0.25">
      <c r="A5448" s="4" t="s">
        <v>75</v>
      </c>
      <c r="B5448" s="4" t="s">
        <v>3</v>
      </c>
      <c r="C5448" s="4" t="s">
        <v>35</v>
      </c>
      <c r="D5448" s="4">
        <v>2015</v>
      </c>
      <c r="E5448" s="4">
        <v>100</v>
      </c>
      <c r="F5448" s="4" t="s">
        <v>29</v>
      </c>
    </row>
    <row r="5449" spans="1:6" x14ac:dyDescent="0.25">
      <c r="A5449" s="4" t="s">
        <v>75</v>
      </c>
      <c r="B5449" s="4" t="s">
        <v>3</v>
      </c>
      <c r="C5449" s="4" t="s">
        <v>35</v>
      </c>
      <c r="D5449" s="4">
        <v>2016</v>
      </c>
      <c r="E5449" s="4">
        <v>100</v>
      </c>
      <c r="F5449" s="4" t="s">
        <v>29</v>
      </c>
    </row>
    <row r="5450" spans="1:6" x14ac:dyDescent="0.25">
      <c r="A5450" s="4" t="s">
        <v>75</v>
      </c>
      <c r="B5450" s="4" t="s">
        <v>3</v>
      </c>
      <c r="C5450" s="4" t="s">
        <v>35</v>
      </c>
      <c r="D5450" s="4">
        <v>2017</v>
      </c>
      <c r="E5450" s="4">
        <v>100</v>
      </c>
      <c r="F5450" s="4" t="s">
        <v>29</v>
      </c>
    </row>
    <row r="5451" spans="1:6" x14ac:dyDescent="0.25">
      <c r="A5451" s="4" t="s">
        <v>75</v>
      </c>
      <c r="B5451" s="4" t="s">
        <v>3</v>
      </c>
      <c r="C5451" s="4" t="s">
        <v>35</v>
      </c>
      <c r="D5451" s="4">
        <v>2018</v>
      </c>
      <c r="E5451" s="4">
        <v>100</v>
      </c>
      <c r="F5451" s="4" t="s">
        <v>29</v>
      </c>
    </row>
    <row r="5452" spans="1:6" x14ac:dyDescent="0.25">
      <c r="A5452" s="4" t="s">
        <v>75</v>
      </c>
      <c r="B5452" s="4" t="s">
        <v>3</v>
      </c>
      <c r="C5452" s="4" t="s">
        <v>35</v>
      </c>
      <c r="D5452" s="4">
        <v>2019</v>
      </c>
      <c r="E5452" s="4">
        <v>100</v>
      </c>
      <c r="F5452" s="4" t="s">
        <v>29</v>
      </c>
    </row>
    <row r="5453" spans="1:6" x14ac:dyDescent="0.25">
      <c r="A5453" s="4" t="s">
        <v>75</v>
      </c>
      <c r="B5453" s="4" t="s">
        <v>3</v>
      </c>
      <c r="C5453" s="4" t="s">
        <v>35</v>
      </c>
      <c r="D5453" s="4">
        <v>2020</v>
      </c>
      <c r="E5453" s="4">
        <v>100</v>
      </c>
      <c r="F5453" s="4" t="s">
        <v>29</v>
      </c>
    </row>
    <row r="5454" spans="1:6" x14ac:dyDescent="0.25">
      <c r="A5454" s="4" t="s">
        <v>75</v>
      </c>
      <c r="B5454" s="4" t="s">
        <v>3</v>
      </c>
      <c r="C5454" s="4" t="s">
        <v>35</v>
      </c>
      <c r="D5454" s="4">
        <v>2021</v>
      </c>
      <c r="E5454" s="4">
        <v>100</v>
      </c>
      <c r="F5454" s="4" t="s">
        <v>29</v>
      </c>
    </row>
    <row r="5455" spans="1:6" x14ac:dyDescent="0.25">
      <c r="A5455" s="4" t="s">
        <v>75</v>
      </c>
      <c r="B5455" s="4" t="s">
        <v>3</v>
      </c>
      <c r="C5455" s="4" t="s">
        <v>35</v>
      </c>
      <c r="D5455" s="4">
        <v>2022</v>
      </c>
      <c r="E5455" s="4">
        <v>100</v>
      </c>
      <c r="F5455" s="4" t="s">
        <v>29</v>
      </c>
    </row>
    <row r="5456" spans="1:6" x14ac:dyDescent="0.25">
      <c r="A5456" s="4" t="s">
        <v>75</v>
      </c>
      <c r="B5456" s="4" t="s">
        <v>3</v>
      </c>
      <c r="C5456" s="4" t="s">
        <v>35</v>
      </c>
      <c r="D5456" s="4">
        <v>2023</v>
      </c>
      <c r="E5456" s="4">
        <v>100</v>
      </c>
      <c r="F5456" s="4" t="s">
        <v>29</v>
      </c>
    </row>
    <row r="5457" spans="1:6" x14ac:dyDescent="0.25">
      <c r="A5457" s="4" t="s">
        <v>75</v>
      </c>
      <c r="B5457" s="4" t="s">
        <v>3</v>
      </c>
      <c r="C5457" s="4" t="s">
        <v>35</v>
      </c>
      <c r="D5457" s="4">
        <v>2024</v>
      </c>
      <c r="E5457" s="4">
        <v>100</v>
      </c>
      <c r="F5457" s="4" t="s">
        <v>29</v>
      </c>
    </row>
    <row r="5458" spans="1:6" x14ac:dyDescent="0.25">
      <c r="A5458" s="4" t="s">
        <v>75</v>
      </c>
      <c r="B5458" s="4" t="s">
        <v>3</v>
      </c>
      <c r="C5458" s="4" t="s">
        <v>35</v>
      </c>
      <c r="D5458" s="4">
        <v>2025</v>
      </c>
      <c r="E5458" s="4">
        <v>100</v>
      </c>
      <c r="F5458" s="4" t="s">
        <v>29</v>
      </c>
    </row>
    <row r="5459" spans="1:6" x14ac:dyDescent="0.25">
      <c r="A5459" s="4" t="s">
        <v>75</v>
      </c>
      <c r="B5459" s="4" t="s">
        <v>3</v>
      </c>
      <c r="C5459" s="4" t="s">
        <v>35</v>
      </c>
      <c r="D5459" s="4">
        <v>2026</v>
      </c>
      <c r="E5459" s="4">
        <v>100</v>
      </c>
      <c r="F5459" s="4" t="s">
        <v>29</v>
      </c>
    </row>
    <row r="5460" spans="1:6" x14ac:dyDescent="0.25">
      <c r="A5460" s="4" t="s">
        <v>75</v>
      </c>
      <c r="B5460" s="4" t="s">
        <v>3</v>
      </c>
      <c r="C5460" s="4" t="s">
        <v>35</v>
      </c>
      <c r="D5460" s="4">
        <v>2027</v>
      </c>
      <c r="E5460" s="4">
        <v>100</v>
      </c>
      <c r="F5460" s="4" t="s">
        <v>29</v>
      </c>
    </row>
    <row r="5461" spans="1:6" x14ac:dyDescent="0.25">
      <c r="A5461" s="4" t="s">
        <v>75</v>
      </c>
      <c r="B5461" s="4" t="s">
        <v>3</v>
      </c>
      <c r="C5461" s="4" t="s">
        <v>35</v>
      </c>
      <c r="D5461" s="4">
        <v>2028</v>
      </c>
      <c r="E5461" s="4">
        <v>100</v>
      </c>
      <c r="F5461" s="4" t="s">
        <v>29</v>
      </c>
    </row>
    <row r="5462" spans="1:6" x14ac:dyDescent="0.25">
      <c r="A5462" s="4" t="s">
        <v>75</v>
      </c>
      <c r="B5462" s="4" t="s">
        <v>3</v>
      </c>
      <c r="C5462" s="4" t="s">
        <v>35</v>
      </c>
      <c r="D5462" s="4">
        <v>2029</v>
      </c>
      <c r="E5462" s="4">
        <v>100</v>
      </c>
      <c r="F5462" s="4" t="s">
        <v>29</v>
      </c>
    </row>
    <row r="5463" spans="1:6" x14ac:dyDescent="0.25">
      <c r="A5463" s="4" t="s">
        <v>75</v>
      </c>
      <c r="B5463" s="4" t="s">
        <v>3</v>
      </c>
      <c r="C5463" s="4" t="s">
        <v>35</v>
      </c>
      <c r="D5463" s="4">
        <v>2030</v>
      </c>
      <c r="E5463" s="4">
        <v>100</v>
      </c>
      <c r="F5463" s="4" t="s">
        <v>29</v>
      </c>
    </row>
    <row r="5464" spans="1:6" x14ac:dyDescent="0.25">
      <c r="A5464" s="4" t="s">
        <v>75</v>
      </c>
      <c r="B5464" s="4" t="s">
        <v>3</v>
      </c>
      <c r="C5464" s="4" t="s">
        <v>35</v>
      </c>
      <c r="D5464" s="4">
        <v>2031</v>
      </c>
      <c r="E5464" s="4">
        <v>100</v>
      </c>
      <c r="F5464" s="4" t="s">
        <v>29</v>
      </c>
    </row>
    <row r="5465" spans="1:6" x14ac:dyDescent="0.25">
      <c r="A5465" s="4" t="s">
        <v>75</v>
      </c>
      <c r="B5465" s="4" t="s">
        <v>3</v>
      </c>
      <c r="C5465" s="4" t="s">
        <v>35</v>
      </c>
      <c r="D5465" s="4">
        <v>2032</v>
      </c>
      <c r="E5465" s="4">
        <v>100</v>
      </c>
      <c r="F5465" s="4" t="s">
        <v>29</v>
      </c>
    </row>
    <row r="5466" spans="1:6" x14ac:dyDescent="0.25">
      <c r="A5466" s="4" t="s">
        <v>75</v>
      </c>
      <c r="B5466" s="4" t="s">
        <v>3</v>
      </c>
      <c r="C5466" s="4" t="s">
        <v>35</v>
      </c>
      <c r="D5466" s="4">
        <v>2033</v>
      </c>
      <c r="E5466" s="4">
        <v>100</v>
      </c>
      <c r="F5466" s="4" t="s">
        <v>29</v>
      </c>
    </row>
    <row r="5467" spans="1:6" x14ac:dyDescent="0.25">
      <c r="A5467" s="4" t="s">
        <v>75</v>
      </c>
      <c r="B5467" s="4" t="s">
        <v>3</v>
      </c>
      <c r="C5467" s="4" t="s">
        <v>35</v>
      </c>
      <c r="D5467" s="4">
        <v>2034</v>
      </c>
      <c r="E5467" s="4">
        <v>100</v>
      </c>
      <c r="F5467" s="4" t="s">
        <v>29</v>
      </c>
    </row>
    <row r="5468" spans="1:6" x14ac:dyDescent="0.25">
      <c r="A5468" s="4" t="s">
        <v>75</v>
      </c>
      <c r="B5468" s="4" t="s">
        <v>3</v>
      </c>
      <c r="C5468" s="4" t="s">
        <v>35</v>
      </c>
      <c r="D5468" s="4">
        <v>2035</v>
      </c>
      <c r="E5468" s="4">
        <v>100</v>
      </c>
      <c r="F5468" s="4" t="s">
        <v>29</v>
      </c>
    </row>
    <row r="5469" spans="1:6" x14ac:dyDescent="0.25">
      <c r="A5469" s="4" t="s">
        <v>75</v>
      </c>
      <c r="B5469" s="4" t="s">
        <v>3</v>
      </c>
      <c r="C5469" s="4" t="s">
        <v>35</v>
      </c>
      <c r="D5469" s="4">
        <v>2036</v>
      </c>
      <c r="E5469" s="4">
        <v>100</v>
      </c>
      <c r="F5469" s="4" t="s">
        <v>29</v>
      </c>
    </row>
    <row r="5470" spans="1:6" x14ac:dyDescent="0.25">
      <c r="A5470" s="4" t="s">
        <v>75</v>
      </c>
      <c r="B5470" s="4" t="s">
        <v>3</v>
      </c>
      <c r="C5470" s="4" t="s">
        <v>35</v>
      </c>
      <c r="D5470" s="4">
        <v>2037</v>
      </c>
      <c r="E5470" s="4">
        <v>100</v>
      </c>
      <c r="F5470" s="4" t="s">
        <v>29</v>
      </c>
    </row>
    <row r="5471" spans="1:6" x14ac:dyDescent="0.25">
      <c r="A5471" s="4" t="s">
        <v>75</v>
      </c>
      <c r="B5471" s="4" t="s">
        <v>3</v>
      </c>
      <c r="C5471" s="4" t="s">
        <v>35</v>
      </c>
      <c r="D5471" s="4">
        <v>2038</v>
      </c>
      <c r="E5471" s="4">
        <v>100</v>
      </c>
      <c r="F5471" s="4" t="s">
        <v>29</v>
      </c>
    </row>
    <row r="5472" spans="1:6" x14ac:dyDescent="0.25">
      <c r="A5472" s="4" t="s">
        <v>75</v>
      </c>
      <c r="B5472" s="4" t="s">
        <v>3</v>
      </c>
      <c r="C5472" s="4" t="s">
        <v>35</v>
      </c>
      <c r="D5472" s="4">
        <v>2039</v>
      </c>
      <c r="E5472" s="4">
        <v>100</v>
      </c>
      <c r="F5472" s="4" t="s">
        <v>29</v>
      </c>
    </row>
    <row r="5473" spans="1:6" x14ac:dyDescent="0.25">
      <c r="A5473" s="4" t="s">
        <v>75</v>
      </c>
      <c r="B5473" s="4" t="s">
        <v>3</v>
      </c>
      <c r="C5473" s="4" t="s">
        <v>35</v>
      </c>
      <c r="D5473" s="4">
        <v>2040</v>
      </c>
      <c r="E5473" s="4">
        <v>100</v>
      </c>
      <c r="F5473" s="4" t="s">
        <v>29</v>
      </c>
    </row>
    <row r="5474" spans="1:6" x14ac:dyDescent="0.25">
      <c r="A5474" s="4" t="s">
        <v>75</v>
      </c>
      <c r="B5474" s="4" t="s">
        <v>23</v>
      </c>
      <c r="C5474" s="4" t="s">
        <v>35</v>
      </c>
      <c r="D5474" s="4">
        <v>2005</v>
      </c>
      <c r="E5474" s="4">
        <v>66707.270188812094</v>
      </c>
      <c r="F5474" s="4" t="s">
        <v>29</v>
      </c>
    </row>
    <row r="5475" spans="1:6" x14ac:dyDescent="0.25">
      <c r="A5475" s="4" t="s">
        <v>75</v>
      </c>
      <c r="B5475" s="4" t="s">
        <v>23</v>
      </c>
      <c r="C5475" s="4" t="s">
        <v>35</v>
      </c>
      <c r="D5475" s="4">
        <v>2006</v>
      </c>
      <c r="E5475" s="4">
        <v>68152.120754608288</v>
      </c>
      <c r="F5475" s="4" t="s">
        <v>29</v>
      </c>
    </row>
    <row r="5476" spans="1:6" x14ac:dyDescent="0.25">
      <c r="A5476" s="4" t="s">
        <v>75</v>
      </c>
      <c r="B5476" s="4" t="s">
        <v>23</v>
      </c>
      <c r="C5476" s="4" t="s">
        <v>35</v>
      </c>
      <c r="D5476" s="4">
        <v>2007</v>
      </c>
      <c r="E5476" s="4">
        <v>68070.971326164872</v>
      </c>
      <c r="F5476" s="4" t="s">
        <v>29</v>
      </c>
    </row>
    <row r="5477" spans="1:6" x14ac:dyDescent="0.25">
      <c r="A5477" s="4" t="s">
        <v>75</v>
      </c>
      <c r="B5477" s="4" t="s">
        <v>23</v>
      </c>
      <c r="C5477" s="4" t="s">
        <v>35</v>
      </c>
      <c r="D5477" s="4">
        <v>2008</v>
      </c>
      <c r="E5477" s="4">
        <v>69965.500000000015</v>
      </c>
      <c r="F5477" s="4" t="s">
        <v>29</v>
      </c>
    </row>
    <row r="5478" spans="1:6" x14ac:dyDescent="0.25">
      <c r="A5478" s="4" t="s">
        <v>75</v>
      </c>
      <c r="B5478" s="4" t="s">
        <v>23</v>
      </c>
      <c r="C5478" s="4" t="s">
        <v>35</v>
      </c>
      <c r="D5478" s="4">
        <v>2009</v>
      </c>
      <c r="E5478" s="4">
        <v>67609.15027265744</v>
      </c>
      <c r="F5478" s="4" t="s">
        <v>29</v>
      </c>
    </row>
    <row r="5479" spans="1:6" x14ac:dyDescent="0.25">
      <c r="A5479" s="4" t="s">
        <v>75</v>
      </c>
      <c r="B5479" s="4" t="s">
        <v>23</v>
      </c>
      <c r="C5479" s="4" t="s">
        <v>35</v>
      </c>
      <c r="D5479" s="4">
        <v>2010</v>
      </c>
      <c r="E5479" s="4">
        <v>67255.468236047105</v>
      </c>
      <c r="F5479" s="4" t="s">
        <v>29</v>
      </c>
    </row>
    <row r="5480" spans="1:6" x14ac:dyDescent="0.25">
      <c r="A5480" s="4" t="s">
        <v>75</v>
      </c>
      <c r="B5480" s="4" t="s">
        <v>23</v>
      </c>
      <c r="C5480" s="4" t="s">
        <v>35</v>
      </c>
      <c r="D5480" s="4">
        <v>2011</v>
      </c>
      <c r="E5480" s="4">
        <v>68047.183172043005</v>
      </c>
      <c r="F5480" s="4" t="s">
        <v>29</v>
      </c>
    </row>
    <row r="5481" spans="1:6" x14ac:dyDescent="0.25">
      <c r="A5481" s="4" t="s">
        <v>75</v>
      </c>
      <c r="B5481" s="4" t="s">
        <v>23</v>
      </c>
      <c r="C5481" s="4" t="s">
        <v>35</v>
      </c>
      <c r="D5481" s="4">
        <v>2012</v>
      </c>
      <c r="E5481" s="4">
        <v>75064.26213965693</v>
      </c>
      <c r="F5481" s="4" t="s">
        <v>29</v>
      </c>
    </row>
    <row r="5482" spans="1:6" x14ac:dyDescent="0.25">
      <c r="A5482" s="4" t="s">
        <v>75</v>
      </c>
      <c r="B5482" s="4" t="s">
        <v>23</v>
      </c>
      <c r="C5482" s="4" t="s">
        <v>35</v>
      </c>
      <c r="D5482" s="4">
        <v>2013</v>
      </c>
      <c r="E5482" s="4">
        <v>77160.802287506376</v>
      </c>
      <c r="F5482" s="4" t="s">
        <v>29</v>
      </c>
    </row>
    <row r="5483" spans="1:6" x14ac:dyDescent="0.25">
      <c r="A5483" s="4" t="s">
        <v>75</v>
      </c>
      <c r="B5483" s="4" t="s">
        <v>23</v>
      </c>
      <c r="C5483" s="4" t="s">
        <v>35</v>
      </c>
      <c r="D5483" s="4">
        <v>2014</v>
      </c>
      <c r="E5483" s="4">
        <v>88652.537499999991</v>
      </c>
      <c r="F5483" s="4" t="s">
        <v>29</v>
      </c>
    </row>
    <row r="5484" spans="1:6" x14ac:dyDescent="0.25">
      <c r="A5484" s="4" t="s">
        <v>75</v>
      </c>
      <c r="B5484" s="4" t="s">
        <v>23</v>
      </c>
      <c r="C5484" s="4" t="s">
        <v>35</v>
      </c>
      <c r="D5484" s="4">
        <v>2015</v>
      </c>
      <c r="E5484" s="4">
        <v>77441.298909370191</v>
      </c>
      <c r="F5484" s="4" t="s">
        <v>29</v>
      </c>
    </row>
    <row r="5485" spans="1:6" x14ac:dyDescent="0.25">
      <c r="A5485" s="4" t="s">
        <v>75</v>
      </c>
      <c r="B5485" s="4" t="s">
        <v>23</v>
      </c>
      <c r="C5485" s="4" t="s">
        <v>35</v>
      </c>
      <c r="D5485" s="4">
        <v>2016</v>
      </c>
      <c r="E5485" s="4">
        <v>73147.161491163002</v>
      </c>
      <c r="F5485" s="4" t="s">
        <v>29</v>
      </c>
    </row>
    <row r="5486" spans="1:6" x14ac:dyDescent="0.25">
      <c r="A5486" s="4" t="s">
        <v>75</v>
      </c>
      <c r="B5486" s="4" t="s">
        <v>23</v>
      </c>
      <c r="C5486" s="4" t="s">
        <v>35</v>
      </c>
      <c r="D5486" s="4">
        <v>2017</v>
      </c>
      <c r="E5486" s="4">
        <v>77484.242273129537</v>
      </c>
      <c r="F5486" s="4" t="s">
        <v>29</v>
      </c>
    </row>
    <row r="5487" spans="1:6" x14ac:dyDescent="0.25">
      <c r="A5487" s="4" t="s">
        <v>75</v>
      </c>
      <c r="B5487" s="4" t="s">
        <v>23</v>
      </c>
      <c r="C5487" s="4" t="s">
        <v>35</v>
      </c>
      <c r="D5487" s="4">
        <v>2018</v>
      </c>
      <c r="E5487" s="4">
        <v>81170.530928985681</v>
      </c>
      <c r="F5487" s="4" t="s">
        <v>29</v>
      </c>
    </row>
    <row r="5488" spans="1:6" x14ac:dyDescent="0.25">
      <c r="A5488" s="4" t="s">
        <v>75</v>
      </c>
      <c r="B5488" s="4" t="s">
        <v>23</v>
      </c>
      <c r="C5488" s="4" t="s">
        <v>35</v>
      </c>
      <c r="D5488" s="4">
        <v>2019</v>
      </c>
      <c r="E5488" s="4">
        <v>81553.028507140654</v>
      </c>
      <c r="F5488" s="4" t="s">
        <v>29</v>
      </c>
    </row>
    <row r="5489" spans="1:6" x14ac:dyDescent="0.25">
      <c r="A5489" s="4" t="s">
        <v>75</v>
      </c>
      <c r="B5489" s="4" t="s">
        <v>23</v>
      </c>
      <c r="C5489" s="4" t="s">
        <v>35</v>
      </c>
      <c r="D5489" s="4">
        <v>2020</v>
      </c>
      <c r="E5489" s="4">
        <v>78825.039306187231</v>
      </c>
      <c r="F5489" s="4" t="s">
        <v>29</v>
      </c>
    </row>
    <row r="5490" spans="1:6" x14ac:dyDescent="0.25">
      <c r="A5490" s="4" t="s">
        <v>75</v>
      </c>
      <c r="B5490" s="4" t="s">
        <v>23</v>
      </c>
      <c r="C5490" s="4" t="s">
        <v>35</v>
      </c>
      <c r="D5490" s="4">
        <v>2021</v>
      </c>
      <c r="E5490" s="4">
        <v>76361.347788585161</v>
      </c>
      <c r="F5490" s="4" t="s">
        <v>29</v>
      </c>
    </row>
    <row r="5491" spans="1:6" x14ac:dyDescent="0.25">
      <c r="A5491" s="4" t="s">
        <v>75</v>
      </c>
      <c r="B5491" s="4" t="s">
        <v>23</v>
      </c>
      <c r="C5491" s="4" t="s">
        <v>35</v>
      </c>
      <c r="D5491" s="4">
        <v>2022</v>
      </c>
      <c r="E5491" s="4">
        <v>74216.023564509334</v>
      </c>
      <c r="F5491" s="4" t="s">
        <v>29</v>
      </c>
    </row>
    <row r="5492" spans="1:6" x14ac:dyDescent="0.25">
      <c r="A5492" s="4" t="s">
        <v>75</v>
      </c>
      <c r="B5492" s="4" t="s">
        <v>23</v>
      </c>
      <c r="C5492" s="4" t="s">
        <v>35</v>
      </c>
      <c r="D5492" s="4">
        <v>2023</v>
      </c>
      <c r="E5492" s="4">
        <v>72292.759595871365</v>
      </c>
      <c r="F5492" s="4" t="s">
        <v>29</v>
      </c>
    </row>
    <row r="5493" spans="1:6" x14ac:dyDescent="0.25">
      <c r="A5493" s="4" t="s">
        <v>75</v>
      </c>
      <c r="B5493" s="4" t="s">
        <v>23</v>
      </c>
      <c r="C5493" s="4" t="s">
        <v>35</v>
      </c>
      <c r="D5493" s="4">
        <v>2024</v>
      </c>
      <c r="E5493" s="4">
        <v>70429.902344853937</v>
      </c>
      <c r="F5493" s="4" t="s">
        <v>29</v>
      </c>
    </row>
    <row r="5494" spans="1:6" x14ac:dyDescent="0.25">
      <c r="A5494" s="4" t="s">
        <v>75</v>
      </c>
      <c r="B5494" s="4" t="s">
        <v>23</v>
      </c>
      <c r="C5494" s="4" t="s">
        <v>35</v>
      </c>
      <c r="D5494" s="4">
        <v>2025</v>
      </c>
      <c r="E5494" s="4">
        <v>68452.560512274984</v>
      </c>
      <c r="F5494" s="4" t="s">
        <v>29</v>
      </c>
    </row>
    <row r="5495" spans="1:6" x14ac:dyDescent="0.25">
      <c r="A5495" s="4" t="s">
        <v>75</v>
      </c>
      <c r="B5495" s="4" t="s">
        <v>23</v>
      </c>
      <c r="C5495" s="4" t="s">
        <v>35</v>
      </c>
      <c r="D5495" s="4">
        <v>2026</v>
      </c>
      <c r="E5495" s="4">
        <v>66519.200051072738</v>
      </c>
      <c r="F5495" s="4" t="s">
        <v>29</v>
      </c>
    </row>
    <row r="5496" spans="1:6" x14ac:dyDescent="0.25">
      <c r="A5496" s="4" t="s">
        <v>75</v>
      </c>
      <c r="B5496" s="4" t="s">
        <v>23</v>
      </c>
      <c r="C5496" s="4" t="s">
        <v>35</v>
      </c>
      <c r="D5496" s="4">
        <v>2027</v>
      </c>
      <c r="E5496" s="4">
        <v>64670.40932616256</v>
      </c>
      <c r="F5496" s="4" t="s">
        <v>29</v>
      </c>
    </row>
    <row r="5497" spans="1:6" x14ac:dyDescent="0.25">
      <c r="A5497" s="4" t="s">
        <v>75</v>
      </c>
      <c r="B5497" s="4" t="s">
        <v>23</v>
      </c>
      <c r="C5497" s="4" t="s">
        <v>35</v>
      </c>
      <c r="D5497" s="4">
        <v>2028</v>
      </c>
      <c r="E5497" s="4">
        <v>62848.186287403849</v>
      </c>
      <c r="F5497" s="4" t="s">
        <v>29</v>
      </c>
    </row>
    <row r="5498" spans="1:6" x14ac:dyDescent="0.25">
      <c r="A5498" s="4" t="s">
        <v>75</v>
      </c>
      <c r="B5498" s="4" t="s">
        <v>23</v>
      </c>
      <c r="C5498" s="4" t="s">
        <v>35</v>
      </c>
      <c r="D5498" s="4">
        <v>2029</v>
      </c>
      <c r="E5498" s="4">
        <v>61008.825517809943</v>
      </c>
      <c r="F5498" s="4" t="s">
        <v>29</v>
      </c>
    </row>
    <row r="5499" spans="1:6" x14ac:dyDescent="0.25">
      <c r="A5499" s="4" t="s">
        <v>75</v>
      </c>
      <c r="B5499" s="4" t="s">
        <v>23</v>
      </c>
      <c r="C5499" s="4" t="s">
        <v>35</v>
      </c>
      <c r="D5499" s="4">
        <v>2030</v>
      </c>
      <c r="E5499" s="4">
        <v>59220.84343126473</v>
      </c>
      <c r="F5499" s="4" t="s">
        <v>29</v>
      </c>
    </row>
    <row r="5500" spans="1:6" x14ac:dyDescent="0.25">
      <c r="A5500" s="4" t="s">
        <v>75</v>
      </c>
      <c r="B5500" s="4" t="s">
        <v>23</v>
      </c>
      <c r="C5500" s="4" t="s">
        <v>35</v>
      </c>
      <c r="D5500" s="4">
        <v>2031</v>
      </c>
      <c r="E5500" s="4">
        <v>57545.43607860164</v>
      </c>
      <c r="F5500" s="4" t="s">
        <v>29</v>
      </c>
    </row>
    <row r="5501" spans="1:6" x14ac:dyDescent="0.25">
      <c r="A5501" s="4" t="s">
        <v>75</v>
      </c>
      <c r="B5501" s="4" t="s">
        <v>23</v>
      </c>
      <c r="C5501" s="4" t="s">
        <v>35</v>
      </c>
      <c r="D5501" s="4">
        <v>2032</v>
      </c>
      <c r="E5501" s="4">
        <v>55952.642042806096</v>
      </c>
      <c r="F5501" s="4" t="s">
        <v>29</v>
      </c>
    </row>
    <row r="5502" spans="1:6" x14ac:dyDescent="0.25">
      <c r="A5502" s="4" t="s">
        <v>75</v>
      </c>
      <c r="B5502" s="4" t="s">
        <v>23</v>
      </c>
      <c r="C5502" s="4" t="s">
        <v>35</v>
      </c>
      <c r="D5502" s="4">
        <v>2033</v>
      </c>
      <c r="E5502" s="4">
        <v>54363.893134826358</v>
      </c>
      <c r="F5502" s="4" t="s">
        <v>29</v>
      </c>
    </row>
    <row r="5503" spans="1:6" x14ac:dyDescent="0.25">
      <c r="A5503" s="4" t="s">
        <v>75</v>
      </c>
      <c r="B5503" s="4" t="s">
        <v>23</v>
      </c>
      <c r="C5503" s="4" t="s">
        <v>35</v>
      </c>
      <c r="D5503" s="4">
        <v>2034</v>
      </c>
      <c r="E5503" s="4">
        <v>52821.788300013752</v>
      </c>
      <c r="F5503" s="4" t="s">
        <v>29</v>
      </c>
    </row>
    <row r="5504" spans="1:6" x14ac:dyDescent="0.25">
      <c r="A5504" s="4" t="s">
        <v>75</v>
      </c>
      <c r="B5504" s="4" t="s">
        <v>23</v>
      </c>
      <c r="C5504" s="4" t="s">
        <v>35</v>
      </c>
      <c r="D5504" s="4">
        <v>2035</v>
      </c>
      <c r="E5504" s="4">
        <v>51342.628511450188</v>
      </c>
      <c r="F5504" s="4" t="s">
        <v>29</v>
      </c>
    </row>
    <row r="5505" spans="1:6" x14ac:dyDescent="0.25">
      <c r="A5505" s="4" t="s">
        <v>75</v>
      </c>
      <c r="B5505" s="4" t="s">
        <v>23</v>
      </c>
      <c r="C5505" s="4" t="s">
        <v>35</v>
      </c>
      <c r="D5505" s="4">
        <v>2036</v>
      </c>
      <c r="E5505" s="4">
        <v>49844.843893071622</v>
      </c>
      <c r="F5505" s="4" t="s">
        <v>29</v>
      </c>
    </row>
    <row r="5506" spans="1:6" x14ac:dyDescent="0.25">
      <c r="A5506" s="4" t="s">
        <v>75</v>
      </c>
      <c r="B5506" s="4" t="s">
        <v>23</v>
      </c>
      <c r="C5506" s="4" t="s">
        <v>35</v>
      </c>
      <c r="D5506" s="4">
        <v>2037</v>
      </c>
      <c r="E5506" s="4">
        <v>48569.587325418557</v>
      </c>
      <c r="F5506" s="4" t="s">
        <v>29</v>
      </c>
    </row>
    <row r="5507" spans="1:6" x14ac:dyDescent="0.25">
      <c r="A5507" s="4" t="s">
        <v>75</v>
      </c>
      <c r="B5507" s="4" t="s">
        <v>23</v>
      </c>
      <c r="C5507" s="4" t="s">
        <v>35</v>
      </c>
      <c r="D5507" s="4">
        <v>2038</v>
      </c>
      <c r="E5507" s="4">
        <v>47348.447845181421</v>
      </c>
      <c r="F5507" s="4" t="s">
        <v>29</v>
      </c>
    </row>
    <row r="5508" spans="1:6" x14ac:dyDescent="0.25">
      <c r="A5508" s="4" t="s">
        <v>75</v>
      </c>
      <c r="B5508" s="4" t="s">
        <v>23</v>
      </c>
      <c r="C5508" s="4" t="s">
        <v>35</v>
      </c>
      <c r="D5508" s="4">
        <v>2039</v>
      </c>
      <c r="E5508" s="4">
        <v>46192.447718669056</v>
      </c>
      <c r="F5508" s="4" t="s">
        <v>29</v>
      </c>
    </row>
    <row r="5509" spans="1:6" x14ac:dyDescent="0.25">
      <c r="A5509" s="4" t="s">
        <v>75</v>
      </c>
      <c r="B5509" s="4" t="s">
        <v>23</v>
      </c>
      <c r="C5509" s="4" t="s">
        <v>35</v>
      </c>
      <c r="D5509" s="4">
        <v>2040</v>
      </c>
      <c r="E5509" s="4">
        <v>45083.685566983062</v>
      </c>
      <c r="F5509" s="4" t="s">
        <v>29</v>
      </c>
    </row>
    <row r="5510" spans="1:6" x14ac:dyDescent="0.25">
      <c r="A5510" s="4" t="s">
        <v>76</v>
      </c>
      <c r="B5510" s="4" t="s">
        <v>1</v>
      </c>
      <c r="C5510" s="4" t="s">
        <v>35</v>
      </c>
      <c r="D5510" s="4">
        <v>2005</v>
      </c>
      <c r="E5510" s="4">
        <v>2203.4851382488482</v>
      </c>
      <c r="F5510" s="4" t="s">
        <v>29</v>
      </c>
    </row>
    <row r="5511" spans="1:6" x14ac:dyDescent="0.25">
      <c r="A5511" s="4" t="s">
        <v>76</v>
      </c>
      <c r="B5511" s="4" t="s">
        <v>1</v>
      </c>
      <c r="C5511" s="4" t="s">
        <v>35</v>
      </c>
      <c r="D5511" s="4">
        <v>2006</v>
      </c>
      <c r="E5511" s="4">
        <v>3398.1617415514593</v>
      </c>
      <c r="F5511" s="4" t="s">
        <v>29</v>
      </c>
    </row>
    <row r="5512" spans="1:6" x14ac:dyDescent="0.25">
      <c r="A5512" s="4" t="s">
        <v>76</v>
      </c>
      <c r="B5512" s="4" t="s">
        <v>1</v>
      </c>
      <c r="C5512" s="4" t="s">
        <v>35</v>
      </c>
      <c r="D5512" s="4">
        <v>2007</v>
      </c>
      <c r="E5512" s="4">
        <v>3531.5109030977987</v>
      </c>
      <c r="F5512" s="4" t="s">
        <v>29</v>
      </c>
    </row>
    <row r="5513" spans="1:6" x14ac:dyDescent="0.25">
      <c r="A5513" s="4" t="s">
        <v>76</v>
      </c>
      <c r="B5513" s="4" t="s">
        <v>1</v>
      </c>
      <c r="C5513" s="4" t="s">
        <v>35</v>
      </c>
      <c r="D5513" s="4">
        <v>2008</v>
      </c>
      <c r="E5513" s="4">
        <v>3746.5833333333339</v>
      </c>
      <c r="F5513" s="4" t="s">
        <v>29</v>
      </c>
    </row>
    <row r="5514" spans="1:6" x14ac:dyDescent="0.25">
      <c r="A5514" s="4" t="s">
        <v>76</v>
      </c>
      <c r="B5514" s="4" t="s">
        <v>1</v>
      </c>
      <c r="C5514" s="4" t="s">
        <v>35</v>
      </c>
      <c r="D5514" s="4">
        <v>2009</v>
      </c>
      <c r="E5514" s="4">
        <v>4116.2247580645162</v>
      </c>
      <c r="F5514" s="4" t="s">
        <v>29</v>
      </c>
    </row>
    <row r="5515" spans="1:6" x14ac:dyDescent="0.25">
      <c r="A5515" s="4" t="s">
        <v>76</v>
      </c>
      <c r="B5515" s="4" t="s">
        <v>1</v>
      </c>
      <c r="C5515" s="4" t="s">
        <v>35</v>
      </c>
      <c r="D5515" s="4">
        <v>2010</v>
      </c>
      <c r="E5515" s="4">
        <v>4763.6846684587817</v>
      </c>
      <c r="F5515" s="4" t="s">
        <v>29</v>
      </c>
    </row>
    <row r="5516" spans="1:6" x14ac:dyDescent="0.25">
      <c r="A5516" s="4" t="s">
        <v>76</v>
      </c>
      <c r="B5516" s="4" t="s">
        <v>1</v>
      </c>
      <c r="C5516" s="4" t="s">
        <v>35</v>
      </c>
      <c r="D5516" s="4">
        <v>2011</v>
      </c>
      <c r="E5516" s="4">
        <v>6462.2715092165899</v>
      </c>
      <c r="F5516" s="4" t="s">
        <v>29</v>
      </c>
    </row>
    <row r="5517" spans="1:6" x14ac:dyDescent="0.25">
      <c r="A5517" s="4" t="s">
        <v>76</v>
      </c>
      <c r="B5517" s="4" t="s">
        <v>1</v>
      </c>
      <c r="C5517" s="4" t="s">
        <v>35</v>
      </c>
      <c r="D5517" s="4">
        <v>2012</v>
      </c>
      <c r="E5517" s="4">
        <v>8094.5645528982814</v>
      </c>
      <c r="F5517" s="4" t="s">
        <v>29</v>
      </c>
    </row>
    <row r="5518" spans="1:6" x14ac:dyDescent="0.25">
      <c r="A5518" s="4" t="s">
        <v>76</v>
      </c>
      <c r="B5518" s="4" t="s">
        <v>1</v>
      </c>
      <c r="C5518" s="4" t="s">
        <v>35</v>
      </c>
      <c r="D5518" s="4">
        <v>2013</v>
      </c>
      <c r="E5518" s="4">
        <v>8262.7367191500271</v>
      </c>
      <c r="F5518" s="4" t="s">
        <v>29</v>
      </c>
    </row>
    <row r="5519" spans="1:6" x14ac:dyDescent="0.25">
      <c r="A5519" s="4" t="s">
        <v>76</v>
      </c>
      <c r="B5519" s="4" t="s">
        <v>1</v>
      </c>
      <c r="C5519" s="4" t="s">
        <v>35</v>
      </c>
      <c r="D5519" s="4">
        <v>2014</v>
      </c>
      <c r="E5519" s="4">
        <v>7781.3506688428042</v>
      </c>
      <c r="F5519" s="4" t="s">
        <v>29</v>
      </c>
    </row>
    <row r="5520" spans="1:6" x14ac:dyDescent="0.25">
      <c r="A5520" s="4" t="s">
        <v>76</v>
      </c>
      <c r="B5520" s="4" t="s">
        <v>1</v>
      </c>
      <c r="C5520" s="4" t="s">
        <v>35</v>
      </c>
      <c r="D5520" s="4">
        <v>2015</v>
      </c>
      <c r="E5520" s="4">
        <v>7282.7969105222728</v>
      </c>
      <c r="F5520" s="4" t="s">
        <v>29</v>
      </c>
    </row>
    <row r="5521" spans="1:6" x14ac:dyDescent="0.25">
      <c r="A5521" s="4" t="s">
        <v>76</v>
      </c>
      <c r="B5521" s="4" t="s">
        <v>1</v>
      </c>
      <c r="C5521" s="4" t="s">
        <v>35</v>
      </c>
      <c r="D5521" s="4">
        <v>2016</v>
      </c>
      <c r="E5521" s="4">
        <v>6380.9985653812873</v>
      </c>
      <c r="F5521" s="4" t="s">
        <v>29</v>
      </c>
    </row>
    <row r="5522" spans="1:6" x14ac:dyDescent="0.25">
      <c r="A5522" s="4" t="s">
        <v>76</v>
      </c>
      <c r="B5522" s="4" t="s">
        <v>1</v>
      </c>
      <c r="C5522" s="4" t="s">
        <v>35</v>
      </c>
      <c r="D5522" s="4">
        <v>2017</v>
      </c>
      <c r="E5522" s="4">
        <v>5830.8193436537013</v>
      </c>
      <c r="F5522" s="4" t="s">
        <v>29</v>
      </c>
    </row>
    <row r="5523" spans="1:6" x14ac:dyDescent="0.25">
      <c r="A5523" s="4" t="s">
        <v>76</v>
      </c>
      <c r="B5523" s="4" t="s">
        <v>1</v>
      </c>
      <c r="C5523" s="4" t="s">
        <v>35</v>
      </c>
      <c r="D5523" s="4">
        <v>2018</v>
      </c>
      <c r="E5523" s="4">
        <v>5369.865258996082</v>
      </c>
      <c r="F5523" s="4" t="s">
        <v>29</v>
      </c>
    </row>
    <row r="5524" spans="1:6" x14ac:dyDescent="0.25">
      <c r="A5524" s="4" t="s">
        <v>76</v>
      </c>
      <c r="B5524" s="4" t="s">
        <v>1</v>
      </c>
      <c r="C5524" s="4" t="s">
        <v>35</v>
      </c>
      <c r="D5524" s="4">
        <v>2019</v>
      </c>
      <c r="E5524" s="4">
        <v>4826.200514756646</v>
      </c>
      <c r="F5524" s="4" t="s">
        <v>29</v>
      </c>
    </row>
    <row r="5525" spans="1:6" x14ac:dyDescent="0.25">
      <c r="A5525" s="4" t="s">
        <v>76</v>
      </c>
      <c r="B5525" s="4" t="s">
        <v>1</v>
      </c>
      <c r="C5525" s="4" t="s">
        <v>35</v>
      </c>
      <c r="D5525" s="4">
        <v>2020</v>
      </c>
      <c r="E5525" s="4">
        <v>4267.6017782455583</v>
      </c>
      <c r="F5525" s="4" t="s">
        <v>29</v>
      </c>
    </row>
    <row r="5526" spans="1:6" x14ac:dyDescent="0.25">
      <c r="A5526" s="4" t="s">
        <v>76</v>
      </c>
      <c r="B5526" s="4" t="s">
        <v>1</v>
      </c>
      <c r="C5526" s="4" t="s">
        <v>35</v>
      </c>
      <c r="D5526" s="4">
        <v>2021</v>
      </c>
      <c r="E5526" s="4">
        <v>3797.378295239665</v>
      </c>
      <c r="F5526" s="4" t="s">
        <v>29</v>
      </c>
    </row>
    <row r="5527" spans="1:6" x14ac:dyDescent="0.25">
      <c r="A5527" s="4" t="s">
        <v>76</v>
      </c>
      <c r="B5527" s="4" t="s">
        <v>1</v>
      </c>
      <c r="C5527" s="4" t="s">
        <v>35</v>
      </c>
      <c r="D5527" s="4">
        <v>2022</v>
      </c>
      <c r="E5527" s="4">
        <v>3399.8378073104177</v>
      </c>
      <c r="F5527" s="4" t="s">
        <v>29</v>
      </c>
    </row>
    <row r="5528" spans="1:6" x14ac:dyDescent="0.25">
      <c r="A5528" s="4" t="s">
        <v>76</v>
      </c>
      <c r="B5528" s="4" t="s">
        <v>1</v>
      </c>
      <c r="C5528" s="4" t="s">
        <v>35</v>
      </c>
      <c r="D5528" s="4">
        <v>2023</v>
      </c>
      <c r="E5528" s="4">
        <v>3065.0307733479453</v>
      </c>
      <c r="F5528" s="4" t="s">
        <v>29</v>
      </c>
    </row>
    <row r="5529" spans="1:6" x14ac:dyDescent="0.25">
      <c r="A5529" s="4" t="s">
        <v>76</v>
      </c>
      <c r="B5529" s="4" t="s">
        <v>1</v>
      </c>
      <c r="C5529" s="4" t="s">
        <v>35</v>
      </c>
      <c r="D5529" s="4">
        <v>2024</v>
      </c>
      <c r="E5529" s="4">
        <v>2768.2390913435229</v>
      </c>
      <c r="F5529" s="4" t="s">
        <v>29</v>
      </c>
    </row>
    <row r="5530" spans="1:6" x14ac:dyDescent="0.25">
      <c r="A5530" s="4" t="s">
        <v>76</v>
      </c>
      <c r="B5530" s="4" t="s">
        <v>1</v>
      </c>
      <c r="C5530" s="4" t="s">
        <v>35</v>
      </c>
      <c r="D5530" s="4">
        <v>2025</v>
      </c>
      <c r="E5530" s="4">
        <v>2495.7500226776319</v>
      </c>
      <c r="F5530" s="4" t="s">
        <v>29</v>
      </c>
    </row>
    <row r="5531" spans="1:6" x14ac:dyDescent="0.25">
      <c r="A5531" s="4" t="s">
        <v>76</v>
      </c>
      <c r="B5531" s="4" t="s">
        <v>1</v>
      </c>
      <c r="C5531" s="4" t="s">
        <v>35</v>
      </c>
      <c r="D5531" s="4">
        <v>2026</v>
      </c>
      <c r="E5531" s="4">
        <v>2266.0725639206576</v>
      </c>
      <c r="F5531" s="4" t="s">
        <v>29</v>
      </c>
    </row>
    <row r="5532" spans="1:6" x14ac:dyDescent="0.25">
      <c r="A5532" s="4" t="s">
        <v>76</v>
      </c>
      <c r="B5532" s="4" t="s">
        <v>1</v>
      </c>
      <c r="C5532" s="4" t="s">
        <v>35</v>
      </c>
      <c r="D5532" s="4">
        <v>2027</v>
      </c>
      <c r="E5532" s="4">
        <v>2073.8518187363525</v>
      </c>
      <c r="F5532" s="4" t="s">
        <v>29</v>
      </c>
    </row>
    <row r="5533" spans="1:6" x14ac:dyDescent="0.25">
      <c r="A5533" s="4" t="s">
        <v>76</v>
      </c>
      <c r="B5533" s="4" t="s">
        <v>1</v>
      </c>
      <c r="C5533" s="4" t="s">
        <v>35</v>
      </c>
      <c r="D5533" s="4">
        <v>2028</v>
      </c>
      <c r="E5533" s="4">
        <v>1904.0265262321277</v>
      </c>
      <c r="F5533" s="4" t="s">
        <v>29</v>
      </c>
    </row>
    <row r="5534" spans="1:6" x14ac:dyDescent="0.25">
      <c r="A5534" s="4" t="s">
        <v>76</v>
      </c>
      <c r="B5534" s="4" t="s">
        <v>1</v>
      </c>
      <c r="C5534" s="4" t="s">
        <v>35</v>
      </c>
      <c r="D5534" s="4">
        <v>2029</v>
      </c>
      <c r="E5534" s="4">
        <v>1753.2272247578774</v>
      </c>
      <c r="F5534" s="4" t="s">
        <v>29</v>
      </c>
    </row>
    <row r="5535" spans="1:6" x14ac:dyDescent="0.25">
      <c r="A5535" s="4" t="s">
        <v>76</v>
      </c>
      <c r="B5535" s="4" t="s">
        <v>1</v>
      </c>
      <c r="C5535" s="4" t="s">
        <v>35</v>
      </c>
      <c r="D5535" s="4">
        <v>2030</v>
      </c>
      <c r="E5535" s="4">
        <v>1618.4977142543837</v>
      </c>
      <c r="F5535" s="4" t="s">
        <v>29</v>
      </c>
    </row>
    <row r="5536" spans="1:6" x14ac:dyDescent="0.25">
      <c r="A5536" s="4" t="s">
        <v>76</v>
      </c>
      <c r="B5536" s="4" t="s">
        <v>1</v>
      </c>
      <c r="C5536" s="4" t="s">
        <v>35</v>
      </c>
      <c r="D5536" s="4">
        <v>2031</v>
      </c>
      <c r="E5536" s="4">
        <v>1497.3150864770485</v>
      </c>
      <c r="F5536" s="4" t="s">
        <v>29</v>
      </c>
    </row>
    <row r="5537" spans="1:6" x14ac:dyDescent="0.25">
      <c r="A5537" s="4" t="s">
        <v>76</v>
      </c>
      <c r="B5537" s="4" t="s">
        <v>1</v>
      </c>
      <c r="C5537" s="4" t="s">
        <v>35</v>
      </c>
      <c r="D5537" s="4">
        <v>2032</v>
      </c>
      <c r="E5537" s="4">
        <v>1388.2489355591995</v>
      </c>
      <c r="F5537" s="4" t="s">
        <v>29</v>
      </c>
    </row>
    <row r="5538" spans="1:6" x14ac:dyDescent="0.25">
      <c r="A5538" s="4" t="s">
        <v>76</v>
      </c>
      <c r="B5538" s="4" t="s">
        <v>1</v>
      </c>
      <c r="C5538" s="4" t="s">
        <v>35</v>
      </c>
      <c r="D5538" s="4">
        <v>2033</v>
      </c>
      <c r="E5538" s="4">
        <v>1290.1444688857778</v>
      </c>
      <c r="F5538" s="4" t="s">
        <v>29</v>
      </c>
    </row>
    <row r="5539" spans="1:6" x14ac:dyDescent="0.25">
      <c r="A5539" s="4" t="s">
        <v>76</v>
      </c>
      <c r="B5539" s="4" t="s">
        <v>1</v>
      </c>
      <c r="C5539" s="4" t="s">
        <v>35</v>
      </c>
      <c r="D5539" s="4">
        <v>2034</v>
      </c>
      <c r="E5539" s="4">
        <v>1201.6723132268414</v>
      </c>
      <c r="F5539" s="4" t="s">
        <v>29</v>
      </c>
    </row>
    <row r="5540" spans="1:6" x14ac:dyDescent="0.25">
      <c r="A5540" s="4" t="s">
        <v>76</v>
      </c>
      <c r="B5540" s="4" t="s">
        <v>1</v>
      </c>
      <c r="C5540" s="4" t="s">
        <v>35</v>
      </c>
      <c r="D5540" s="4">
        <v>2035</v>
      </c>
      <c r="E5540" s="4">
        <v>1121.7904641232358</v>
      </c>
      <c r="F5540" s="4" t="s">
        <v>29</v>
      </c>
    </row>
    <row r="5541" spans="1:6" x14ac:dyDescent="0.25">
      <c r="A5541" s="4" t="s">
        <v>76</v>
      </c>
      <c r="B5541" s="4" t="s">
        <v>1</v>
      </c>
      <c r="C5541" s="4" t="s">
        <v>35</v>
      </c>
      <c r="D5541" s="4">
        <v>2036</v>
      </c>
      <c r="E5541" s="4">
        <v>1046.5511629260316</v>
      </c>
      <c r="F5541" s="4" t="s">
        <v>29</v>
      </c>
    </row>
    <row r="5542" spans="1:6" x14ac:dyDescent="0.25">
      <c r="A5542" s="4" t="s">
        <v>76</v>
      </c>
      <c r="B5542" s="4" t="s">
        <v>1</v>
      </c>
      <c r="C5542" s="4" t="s">
        <v>35</v>
      </c>
      <c r="D5542" s="4">
        <v>2037</v>
      </c>
      <c r="E5542" s="4">
        <v>962.39270006440984</v>
      </c>
      <c r="F5542" s="4" t="s">
        <v>29</v>
      </c>
    </row>
    <row r="5543" spans="1:6" x14ac:dyDescent="0.25">
      <c r="A5543" s="4" t="s">
        <v>76</v>
      </c>
      <c r="B5543" s="4" t="s">
        <v>1</v>
      </c>
      <c r="C5543" s="4" t="s">
        <v>35</v>
      </c>
      <c r="D5543" s="4">
        <v>2038</v>
      </c>
      <c r="E5543" s="4">
        <v>882.76610947739414</v>
      </c>
      <c r="F5543" s="4" t="s">
        <v>29</v>
      </c>
    </row>
    <row r="5544" spans="1:6" x14ac:dyDescent="0.25">
      <c r="A5544" s="4" t="s">
        <v>76</v>
      </c>
      <c r="B5544" s="4" t="s">
        <v>1</v>
      </c>
      <c r="C5544" s="4" t="s">
        <v>35</v>
      </c>
      <c r="D5544" s="4">
        <v>2039</v>
      </c>
      <c r="E5544" s="4">
        <v>818.24779277914524</v>
      </c>
      <c r="F5544" s="4" t="s">
        <v>29</v>
      </c>
    </row>
    <row r="5545" spans="1:6" x14ac:dyDescent="0.25">
      <c r="A5545" s="4" t="s">
        <v>76</v>
      </c>
      <c r="B5545" s="4" t="s">
        <v>1</v>
      </c>
      <c r="C5545" s="4" t="s">
        <v>35</v>
      </c>
      <c r="D5545" s="4">
        <v>2040</v>
      </c>
      <c r="E5545" s="4">
        <v>761.54052909836571</v>
      </c>
      <c r="F5545" s="4" t="s">
        <v>29</v>
      </c>
    </row>
    <row r="5546" spans="1:6" x14ac:dyDescent="0.25">
      <c r="A5546" s="4" t="s">
        <v>76</v>
      </c>
      <c r="B5546" s="4" t="s">
        <v>23</v>
      </c>
      <c r="C5546" s="4" t="s">
        <v>35</v>
      </c>
      <c r="D5546" s="4">
        <v>2005</v>
      </c>
      <c r="E5546" s="4">
        <v>2203.4851382488482</v>
      </c>
      <c r="F5546" s="4" t="s">
        <v>29</v>
      </c>
    </row>
    <row r="5547" spans="1:6" x14ac:dyDescent="0.25">
      <c r="A5547" s="4" t="s">
        <v>76</v>
      </c>
      <c r="B5547" s="4" t="s">
        <v>23</v>
      </c>
      <c r="C5547" s="4" t="s">
        <v>35</v>
      </c>
      <c r="D5547" s="4">
        <v>2006</v>
      </c>
      <c r="E5547" s="4">
        <v>3398.1617415514593</v>
      </c>
      <c r="F5547" s="4" t="s">
        <v>29</v>
      </c>
    </row>
    <row r="5548" spans="1:6" x14ac:dyDescent="0.25">
      <c r="A5548" s="4" t="s">
        <v>76</v>
      </c>
      <c r="B5548" s="4" t="s">
        <v>23</v>
      </c>
      <c r="C5548" s="4" t="s">
        <v>35</v>
      </c>
      <c r="D5548" s="4">
        <v>2007</v>
      </c>
      <c r="E5548" s="4">
        <v>3531.5109030977987</v>
      </c>
      <c r="F5548" s="4" t="s">
        <v>29</v>
      </c>
    </row>
    <row r="5549" spans="1:6" x14ac:dyDescent="0.25">
      <c r="A5549" s="4" t="s">
        <v>76</v>
      </c>
      <c r="B5549" s="4" t="s">
        <v>23</v>
      </c>
      <c r="C5549" s="4" t="s">
        <v>35</v>
      </c>
      <c r="D5549" s="4">
        <v>2008</v>
      </c>
      <c r="E5549" s="4">
        <v>3746.5833333333339</v>
      </c>
      <c r="F5549" s="4" t="s">
        <v>29</v>
      </c>
    </row>
    <row r="5550" spans="1:6" x14ac:dyDescent="0.25">
      <c r="A5550" s="4" t="s">
        <v>76</v>
      </c>
      <c r="B5550" s="4" t="s">
        <v>23</v>
      </c>
      <c r="C5550" s="4" t="s">
        <v>35</v>
      </c>
      <c r="D5550" s="4">
        <v>2009</v>
      </c>
      <c r="E5550" s="4">
        <v>4116.2247580645162</v>
      </c>
      <c r="F5550" s="4" t="s">
        <v>29</v>
      </c>
    </row>
    <row r="5551" spans="1:6" x14ac:dyDescent="0.25">
      <c r="A5551" s="4" t="s">
        <v>76</v>
      </c>
      <c r="B5551" s="4" t="s">
        <v>23</v>
      </c>
      <c r="C5551" s="4" t="s">
        <v>35</v>
      </c>
      <c r="D5551" s="4">
        <v>2010</v>
      </c>
      <c r="E5551" s="4">
        <v>4763.6846684587817</v>
      </c>
      <c r="F5551" s="4" t="s">
        <v>29</v>
      </c>
    </row>
    <row r="5552" spans="1:6" x14ac:dyDescent="0.25">
      <c r="A5552" s="4" t="s">
        <v>76</v>
      </c>
      <c r="B5552" s="4" t="s">
        <v>23</v>
      </c>
      <c r="C5552" s="4" t="s">
        <v>35</v>
      </c>
      <c r="D5552" s="4">
        <v>2011</v>
      </c>
      <c r="E5552" s="4">
        <v>6462.2715092165899</v>
      </c>
      <c r="F5552" s="4" t="s">
        <v>29</v>
      </c>
    </row>
    <row r="5553" spans="1:6" x14ac:dyDescent="0.25">
      <c r="A5553" s="4" t="s">
        <v>76</v>
      </c>
      <c r="B5553" s="4" t="s">
        <v>23</v>
      </c>
      <c r="C5553" s="4" t="s">
        <v>35</v>
      </c>
      <c r="D5553" s="4">
        <v>2012</v>
      </c>
      <c r="E5553" s="4">
        <v>8094.5645528982814</v>
      </c>
      <c r="F5553" s="4" t="s">
        <v>29</v>
      </c>
    </row>
    <row r="5554" spans="1:6" x14ac:dyDescent="0.25">
      <c r="A5554" s="4" t="s">
        <v>76</v>
      </c>
      <c r="B5554" s="4" t="s">
        <v>23</v>
      </c>
      <c r="C5554" s="4" t="s">
        <v>35</v>
      </c>
      <c r="D5554" s="4">
        <v>2013</v>
      </c>
      <c r="E5554" s="4">
        <v>8262.7367191500271</v>
      </c>
      <c r="F5554" s="4" t="s">
        <v>29</v>
      </c>
    </row>
    <row r="5555" spans="1:6" x14ac:dyDescent="0.25">
      <c r="A5555" s="4" t="s">
        <v>76</v>
      </c>
      <c r="B5555" s="4" t="s">
        <v>23</v>
      </c>
      <c r="C5555" s="4" t="s">
        <v>35</v>
      </c>
      <c r="D5555" s="4">
        <v>2014</v>
      </c>
      <c r="E5555" s="4">
        <v>7781.3506688428042</v>
      </c>
      <c r="F5555" s="4" t="s">
        <v>29</v>
      </c>
    </row>
    <row r="5556" spans="1:6" x14ac:dyDescent="0.25">
      <c r="A5556" s="4" t="s">
        <v>76</v>
      </c>
      <c r="B5556" s="4" t="s">
        <v>23</v>
      </c>
      <c r="C5556" s="4" t="s">
        <v>35</v>
      </c>
      <c r="D5556" s="4">
        <v>2015</v>
      </c>
      <c r="E5556" s="4">
        <v>7282.7969105222728</v>
      </c>
      <c r="F5556" s="4" t="s">
        <v>29</v>
      </c>
    </row>
    <row r="5557" spans="1:6" x14ac:dyDescent="0.25">
      <c r="A5557" s="4" t="s">
        <v>76</v>
      </c>
      <c r="B5557" s="4" t="s">
        <v>23</v>
      </c>
      <c r="C5557" s="4" t="s">
        <v>35</v>
      </c>
      <c r="D5557" s="4">
        <v>2016</v>
      </c>
      <c r="E5557" s="4">
        <v>6380.9985653812873</v>
      </c>
      <c r="F5557" s="4" t="s">
        <v>29</v>
      </c>
    </row>
    <row r="5558" spans="1:6" x14ac:dyDescent="0.25">
      <c r="A5558" s="4" t="s">
        <v>76</v>
      </c>
      <c r="B5558" s="4" t="s">
        <v>23</v>
      </c>
      <c r="C5558" s="4" t="s">
        <v>35</v>
      </c>
      <c r="D5558" s="4">
        <v>2017</v>
      </c>
      <c r="E5558" s="4">
        <v>5830.8193436537013</v>
      </c>
      <c r="F5558" s="4" t="s">
        <v>29</v>
      </c>
    </row>
    <row r="5559" spans="1:6" x14ac:dyDescent="0.25">
      <c r="A5559" s="4" t="s">
        <v>76</v>
      </c>
      <c r="B5559" s="4" t="s">
        <v>23</v>
      </c>
      <c r="C5559" s="4" t="s">
        <v>35</v>
      </c>
      <c r="D5559" s="4">
        <v>2018</v>
      </c>
      <c r="E5559" s="4">
        <v>5369.865258996082</v>
      </c>
      <c r="F5559" s="4" t="s">
        <v>29</v>
      </c>
    </row>
    <row r="5560" spans="1:6" x14ac:dyDescent="0.25">
      <c r="A5560" s="4" t="s">
        <v>76</v>
      </c>
      <c r="B5560" s="4" t="s">
        <v>23</v>
      </c>
      <c r="C5560" s="4" t="s">
        <v>35</v>
      </c>
      <c r="D5560" s="4">
        <v>2019</v>
      </c>
      <c r="E5560" s="4">
        <v>4826.200514756646</v>
      </c>
      <c r="F5560" s="4" t="s">
        <v>29</v>
      </c>
    </row>
    <row r="5561" spans="1:6" x14ac:dyDescent="0.25">
      <c r="A5561" s="4" t="s">
        <v>76</v>
      </c>
      <c r="B5561" s="4" t="s">
        <v>23</v>
      </c>
      <c r="C5561" s="4" t="s">
        <v>35</v>
      </c>
      <c r="D5561" s="4">
        <v>2020</v>
      </c>
      <c r="E5561" s="4">
        <v>4267.6017782455583</v>
      </c>
      <c r="F5561" s="4" t="s">
        <v>29</v>
      </c>
    </row>
    <row r="5562" spans="1:6" x14ac:dyDescent="0.25">
      <c r="A5562" s="4" t="s">
        <v>76</v>
      </c>
      <c r="B5562" s="4" t="s">
        <v>23</v>
      </c>
      <c r="C5562" s="4" t="s">
        <v>35</v>
      </c>
      <c r="D5562" s="4">
        <v>2021</v>
      </c>
      <c r="E5562" s="4">
        <v>3797.378295239665</v>
      </c>
      <c r="F5562" s="4" t="s">
        <v>29</v>
      </c>
    </row>
    <row r="5563" spans="1:6" x14ac:dyDescent="0.25">
      <c r="A5563" s="4" t="s">
        <v>76</v>
      </c>
      <c r="B5563" s="4" t="s">
        <v>23</v>
      </c>
      <c r="C5563" s="4" t="s">
        <v>35</v>
      </c>
      <c r="D5563" s="4">
        <v>2022</v>
      </c>
      <c r="E5563" s="4">
        <v>3399.8378073104177</v>
      </c>
      <c r="F5563" s="4" t="s">
        <v>29</v>
      </c>
    </row>
    <row r="5564" spans="1:6" x14ac:dyDescent="0.25">
      <c r="A5564" s="4" t="s">
        <v>76</v>
      </c>
      <c r="B5564" s="4" t="s">
        <v>23</v>
      </c>
      <c r="C5564" s="4" t="s">
        <v>35</v>
      </c>
      <c r="D5564" s="4">
        <v>2023</v>
      </c>
      <c r="E5564" s="4">
        <v>3065.0307733479453</v>
      </c>
      <c r="F5564" s="4" t="s">
        <v>29</v>
      </c>
    </row>
    <row r="5565" spans="1:6" x14ac:dyDescent="0.25">
      <c r="A5565" s="4" t="s">
        <v>76</v>
      </c>
      <c r="B5565" s="4" t="s">
        <v>23</v>
      </c>
      <c r="C5565" s="4" t="s">
        <v>35</v>
      </c>
      <c r="D5565" s="4">
        <v>2024</v>
      </c>
      <c r="E5565" s="4">
        <v>2768.2390913435229</v>
      </c>
      <c r="F5565" s="4" t="s">
        <v>29</v>
      </c>
    </row>
    <row r="5566" spans="1:6" x14ac:dyDescent="0.25">
      <c r="A5566" s="4" t="s">
        <v>76</v>
      </c>
      <c r="B5566" s="4" t="s">
        <v>23</v>
      </c>
      <c r="C5566" s="4" t="s">
        <v>35</v>
      </c>
      <c r="D5566" s="4">
        <v>2025</v>
      </c>
      <c r="E5566" s="4">
        <v>2495.7500226776319</v>
      </c>
      <c r="F5566" s="4" t="s">
        <v>29</v>
      </c>
    </row>
    <row r="5567" spans="1:6" x14ac:dyDescent="0.25">
      <c r="A5567" s="4" t="s">
        <v>76</v>
      </c>
      <c r="B5567" s="4" t="s">
        <v>23</v>
      </c>
      <c r="C5567" s="4" t="s">
        <v>35</v>
      </c>
      <c r="D5567" s="4">
        <v>2026</v>
      </c>
      <c r="E5567" s="4">
        <v>2266.0725639206576</v>
      </c>
      <c r="F5567" s="4" t="s">
        <v>29</v>
      </c>
    </row>
    <row r="5568" spans="1:6" x14ac:dyDescent="0.25">
      <c r="A5568" s="4" t="s">
        <v>76</v>
      </c>
      <c r="B5568" s="4" t="s">
        <v>23</v>
      </c>
      <c r="C5568" s="4" t="s">
        <v>35</v>
      </c>
      <c r="D5568" s="4">
        <v>2027</v>
      </c>
      <c r="E5568" s="4">
        <v>2073.8518187363525</v>
      </c>
      <c r="F5568" s="4" t="s">
        <v>29</v>
      </c>
    </row>
    <row r="5569" spans="1:6" x14ac:dyDescent="0.25">
      <c r="A5569" s="4" t="s">
        <v>76</v>
      </c>
      <c r="B5569" s="4" t="s">
        <v>23</v>
      </c>
      <c r="C5569" s="4" t="s">
        <v>35</v>
      </c>
      <c r="D5569" s="4">
        <v>2028</v>
      </c>
      <c r="E5569" s="4">
        <v>1904.0265262321277</v>
      </c>
      <c r="F5569" s="4" t="s">
        <v>29</v>
      </c>
    </row>
    <row r="5570" spans="1:6" x14ac:dyDescent="0.25">
      <c r="A5570" s="4" t="s">
        <v>76</v>
      </c>
      <c r="B5570" s="4" t="s">
        <v>23</v>
      </c>
      <c r="C5570" s="4" t="s">
        <v>35</v>
      </c>
      <c r="D5570" s="4">
        <v>2029</v>
      </c>
      <c r="E5570" s="4">
        <v>1753.2272247578774</v>
      </c>
      <c r="F5570" s="4" t="s">
        <v>29</v>
      </c>
    </row>
    <row r="5571" spans="1:6" x14ac:dyDescent="0.25">
      <c r="A5571" s="4" t="s">
        <v>76</v>
      </c>
      <c r="B5571" s="4" t="s">
        <v>23</v>
      </c>
      <c r="C5571" s="4" t="s">
        <v>35</v>
      </c>
      <c r="D5571" s="4">
        <v>2030</v>
      </c>
      <c r="E5571" s="4">
        <v>1618.4977142543837</v>
      </c>
      <c r="F5571" s="4" t="s">
        <v>29</v>
      </c>
    </row>
    <row r="5572" spans="1:6" x14ac:dyDescent="0.25">
      <c r="A5572" s="4" t="s">
        <v>76</v>
      </c>
      <c r="B5572" s="4" t="s">
        <v>23</v>
      </c>
      <c r="C5572" s="4" t="s">
        <v>35</v>
      </c>
      <c r="D5572" s="4">
        <v>2031</v>
      </c>
      <c r="E5572" s="4">
        <v>1497.3150864770485</v>
      </c>
      <c r="F5572" s="4" t="s">
        <v>29</v>
      </c>
    </row>
    <row r="5573" spans="1:6" x14ac:dyDescent="0.25">
      <c r="A5573" s="4" t="s">
        <v>76</v>
      </c>
      <c r="B5573" s="4" t="s">
        <v>23</v>
      </c>
      <c r="C5573" s="4" t="s">
        <v>35</v>
      </c>
      <c r="D5573" s="4">
        <v>2032</v>
      </c>
      <c r="E5573" s="4">
        <v>1388.2489355591995</v>
      </c>
      <c r="F5573" s="4" t="s">
        <v>29</v>
      </c>
    </row>
    <row r="5574" spans="1:6" x14ac:dyDescent="0.25">
      <c r="A5574" s="4" t="s">
        <v>76</v>
      </c>
      <c r="B5574" s="4" t="s">
        <v>23</v>
      </c>
      <c r="C5574" s="4" t="s">
        <v>35</v>
      </c>
      <c r="D5574" s="4">
        <v>2033</v>
      </c>
      <c r="E5574" s="4">
        <v>1290.1444688857778</v>
      </c>
      <c r="F5574" s="4" t="s">
        <v>29</v>
      </c>
    </row>
    <row r="5575" spans="1:6" x14ac:dyDescent="0.25">
      <c r="A5575" s="4" t="s">
        <v>76</v>
      </c>
      <c r="B5575" s="4" t="s">
        <v>23</v>
      </c>
      <c r="C5575" s="4" t="s">
        <v>35</v>
      </c>
      <c r="D5575" s="4">
        <v>2034</v>
      </c>
      <c r="E5575" s="4">
        <v>1201.6723132268414</v>
      </c>
      <c r="F5575" s="4" t="s">
        <v>29</v>
      </c>
    </row>
    <row r="5576" spans="1:6" x14ac:dyDescent="0.25">
      <c r="A5576" s="4" t="s">
        <v>76</v>
      </c>
      <c r="B5576" s="4" t="s">
        <v>23</v>
      </c>
      <c r="C5576" s="4" t="s">
        <v>35</v>
      </c>
      <c r="D5576" s="4">
        <v>2035</v>
      </c>
      <c r="E5576" s="4">
        <v>1121.7904641232358</v>
      </c>
      <c r="F5576" s="4" t="s">
        <v>29</v>
      </c>
    </row>
    <row r="5577" spans="1:6" x14ac:dyDescent="0.25">
      <c r="A5577" s="4" t="s">
        <v>76</v>
      </c>
      <c r="B5577" s="4" t="s">
        <v>23</v>
      </c>
      <c r="C5577" s="4" t="s">
        <v>35</v>
      </c>
      <c r="D5577" s="4">
        <v>2036</v>
      </c>
      <c r="E5577" s="4">
        <v>1046.5511629260316</v>
      </c>
      <c r="F5577" s="4" t="s">
        <v>29</v>
      </c>
    </row>
    <row r="5578" spans="1:6" x14ac:dyDescent="0.25">
      <c r="A5578" s="4" t="s">
        <v>76</v>
      </c>
      <c r="B5578" s="4" t="s">
        <v>23</v>
      </c>
      <c r="C5578" s="4" t="s">
        <v>35</v>
      </c>
      <c r="D5578" s="4">
        <v>2037</v>
      </c>
      <c r="E5578" s="4">
        <v>962.39270006440984</v>
      </c>
      <c r="F5578" s="4" t="s">
        <v>29</v>
      </c>
    </row>
    <row r="5579" spans="1:6" x14ac:dyDescent="0.25">
      <c r="A5579" s="4" t="s">
        <v>76</v>
      </c>
      <c r="B5579" s="4" t="s">
        <v>23</v>
      </c>
      <c r="C5579" s="4" t="s">
        <v>35</v>
      </c>
      <c r="D5579" s="4">
        <v>2038</v>
      </c>
      <c r="E5579" s="4">
        <v>882.76610947739414</v>
      </c>
      <c r="F5579" s="4" t="s">
        <v>29</v>
      </c>
    </row>
    <row r="5580" spans="1:6" x14ac:dyDescent="0.25">
      <c r="A5580" s="4" t="s">
        <v>76</v>
      </c>
      <c r="B5580" s="4" t="s">
        <v>23</v>
      </c>
      <c r="C5580" s="4" t="s">
        <v>35</v>
      </c>
      <c r="D5580" s="4">
        <v>2039</v>
      </c>
      <c r="E5580" s="4">
        <v>818.24779277914524</v>
      </c>
      <c r="F5580" s="4" t="s">
        <v>29</v>
      </c>
    </row>
    <row r="5581" spans="1:6" x14ac:dyDescent="0.25">
      <c r="A5581" s="4" t="s">
        <v>76</v>
      </c>
      <c r="B5581" s="4" t="s">
        <v>23</v>
      </c>
      <c r="C5581" s="4" t="s">
        <v>35</v>
      </c>
      <c r="D5581" s="4">
        <v>2040</v>
      </c>
      <c r="E5581" s="4">
        <v>761.54052909836571</v>
      </c>
      <c r="F5581" s="4" t="s">
        <v>29</v>
      </c>
    </row>
    <row r="5582" spans="1:6" x14ac:dyDescent="0.25">
      <c r="A5582" s="4" t="s">
        <v>77</v>
      </c>
      <c r="B5582" s="4" t="s">
        <v>1</v>
      </c>
      <c r="C5582" s="4" t="s">
        <v>35</v>
      </c>
      <c r="D5582" s="4">
        <v>2005</v>
      </c>
      <c r="E5582" s="4">
        <v>380</v>
      </c>
      <c r="F5582" s="4" t="s">
        <v>29</v>
      </c>
    </row>
    <row r="5583" spans="1:6" x14ac:dyDescent="0.25">
      <c r="A5583" s="4" t="s">
        <v>77</v>
      </c>
      <c r="B5583" s="4" t="s">
        <v>1</v>
      </c>
      <c r="C5583" s="4" t="s">
        <v>35</v>
      </c>
      <c r="D5583" s="4">
        <v>2006</v>
      </c>
      <c r="E5583" s="4">
        <v>340</v>
      </c>
      <c r="F5583" s="4" t="s">
        <v>29</v>
      </c>
    </row>
    <row r="5584" spans="1:6" x14ac:dyDescent="0.25">
      <c r="A5584" s="4" t="s">
        <v>77</v>
      </c>
      <c r="B5584" s="4" t="s">
        <v>1</v>
      </c>
      <c r="C5584" s="4" t="s">
        <v>35</v>
      </c>
      <c r="D5584" s="4">
        <v>2007</v>
      </c>
      <c r="E5584" s="4">
        <v>300</v>
      </c>
      <c r="F5584" s="4" t="s">
        <v>29</v>
      </c>
    </row>
    <row r="5585" spans="1:6" x14ac:dyDescent="0.25">
      <c r="A5585" s="4" t="s">
        <v>77</v>
      </c>
      <c r="B5585" s="4" t="s">
        <v>1</v>
      </c>
      <c r="C5585" s="4" t="s">
        <v>35</v>
      </c>
      <c r="D5585" s="4">
        <v>2008</v>
      </c>
      <c r="E5585" s="4">
        <v>270</v>
      </c>
      <c r="F5585" s="4" t="s">
        <v>29</v>
      </c>
    </row>
    <row r="5586" spans="1:6" x14ac:dyDescent="0.25">
      <c r="A5586" s="4" t="s">
        <v>77</v>
      </c>
      <c r="B5586" s="4" t="s">
        <v>1</v>
      </c>
      <c r="C5586" s="4" t="s">
        <v>35</v>
      </c>
      <c r="D5586" s="4">
        <v>2009</v>
      </c>
      <c r="E5586" s="4">
        <v>250</v>
      </c>
      <c r="F5586" s="4" t="s">
        <v>29</v>
      </c>
    </row>
    <row r="5587" spans="1:6" x14ac:dyDescent="0.25">
      <c r="A5587" s="4" t="s">
        <v>77</v>
      </c>
      <c r="B5587" s="4" t="s">
        <v>1</v>
      </c>
      <c r="C5587" s="4" t="s">
        <v>35</v>
      </c>
      <c r="D5587" s="4">
        <v>2010</v>
      </c>
      <c r="E5587" s="4">
        <v>240</v>
      </c>
      <c r="F5587" s="4" t="s">
        <v>29</v>
      </c>
    </row>
    <row r="5588" spans="1:6" x14ac:dyDescent="0.25">
      <c r="A5588" s="4" t="s">
        <v>77</v>
      </c>
      <c r="B5588" s="4" t="s">
        <v>1</v>
      </c>
      <c r="C5588" s="4" t="s">
        <v>35</v>
      </c>
      <c r="D5588" s="4">
        <v>2011</v>
      </c>
      <c r="E5588" s="4">
        <v>220</v>
      </c>
      <c r="F5588" s="4" t="s">
        <v>29</v>
      </c>
    </row>
    <row r="5589" spans="1:6" x14ac:dyDescent="0.25">
      <c r="A5589" s="4" t="s">
        <v>77</v>
      </c>
      <c r="B5589" s="4" t="s">
        <v>1</v>
      </c>
      <c r="C5589" s="4" t="s">
        <v>35</v>
      </c>
      <c r="D5589" s="4">
        <v>2012</v>
      </c>
      <c r="E5589" s="4">
        <v>220</v>
      </c>
      <c r="F5589" s="4" t="s">
        <v>29</v>
      </c>
    </row>
    <row r="5590" spans="1:6" x14ac:dyDescent="0.25">
      <c r="A5590" s="4" t="s">
        <v>77</v>
      </c>
      <c r="B5590" s="4" t="s">
        <v>1</v>
      </c>
      <c r="C5590" s="4" t="s">
        <v>35</v>
      </c>
      <c r="D5590" s="4">
        <v>2013</v>
      </c>
      <c r="E5590" s="4">
        <v>200</v>
      </c>
      <c r="F5590" s="4" t="s">
        <v>29</v>
      </c>
    </row>
    <row r="5591" spans="1:6" x14ac:dyDescent="0.25">
      <c r="A5591" s="4" t="s">
        <v>77</v>
      </c>
      <c r="B5591" s="4" t="s">
        <v>1</v>
      </c>
      <c r="C5591" s="4" t="s">
        <v>35</v>
      </c>
      <c r="D5591" s="4">
        <v>2014</v>
      </c>
      <c r="E5591" s="4">
        <v>190</v>
      </c>
      <c r="F5591" s="4" t="s">
        <v>29</v>
      </c>
    </row>
    <row r="5592" spans="1:6" x14ac:dyDescent="0.25">
      <c r="A5592" s="4" t="s">
        <v>77</v>
      </c>
      <c r="B5592" s="4" t="s">
        <v>1</v>
      </c>
      <c r="C5592" s="4" t="s">
        <v>35</v>
      </c>
      <c r="D5592" s="4">
        <v>2015</v>
      </c>
      <c r="E5592" s="4">
        <v>157.3838965693806</v>
      </c>
      <c r="F5592" s="4" t="s">
        <v>29</v>
      </c>
    </row>
    <row r="5593" spans="1:6" x14ac:dyDescent="0.25">
      <c r="A5593" s="4" t="s">
        <v>77</v>
      </c>
      <c r="B5593" s="4" t="s">
        <v>1</v>
      </c>
      <c r="C5593" s="4" t="s">
        <v>35</v>
      </c>
      <c r="D5593" s="4">
        <v>2016</v>
      </c>
      <c r="E5593" s="4">
        <v>155.15005760368666</v>
      </c>
      <c r="F5593" s="4" t="s">
        <v>29</v>
      </c>
    </row>
    <row r="5594" spans="1:6" x14ac:dyDescent="0.25">
      <c r="A5594" s="4" t="s">
        <v>77</v>
      </c>
      <c r="B5594" s="4" t="s">
        <v>1</v>
      </c>
      <c r="C5594" s="4" t="s">
        <v>35</v>
      </c>
      <c r="D5594" s="4">
        <v>2017</v>
      </c>
      <c r="E5594" s="4">
        <v>94</v>
      </c>
      <c r="F5594" s="4" t="s">
        <v>29</v>
      </c>
    </row>
    <row r="5595" spans="1:6" x14ac:dyDescent="0.25">
      <c r="A5595" s="4" t="s">
        <v>77</v>
      </c>
      <c r="B5595" s="4" t="s">
        <v>1</v>
      </c>
      <c r="C5595" s="4" t="s">
        <v>35</v>
      </c>
      <c r="D5595" s="4">
        <v>2018</v>
      </c>
      <c r="E5595" s="4">
        <v>120</v>
      </c>
      <c r="F5595" s="4" t="s">
        <v>29</v>
      </c>
    </row>
    <row r="5596" spans="1:6" x14ac:dyDescent="0.25">
      <c r="A5596" s="4" t="s">
        <v>77</v>
      </c>
      <c r="B5596" s="4" t="s">
        <v>1</v>
      </c>
      <c r="C5596" s="4" t="s">
        <v>35</v>
      </c>
      <c r="D5596" s="4">
        <v>2019</v>
      </c>
      <c r="E5596" s="4">
        <v>117</v>
      </c>
      <c r="F5596" s="4" t="s">
        <v>29</v>
      </c>
    </row>
    <row r="5597" spans="1:6" x14ac:dyDescent="0.25">
      <c r="A5597" s="4" t="s">
        <v>77</v>
      </c>
      <c r="B5597" s="4" t="s">
        <v>1</v>
      </c>
      <c r="C5597" s="4" t="s">
        <v>35</v>
      </c>
      <c r="D5597" s="4">
        <v>2020</v>
      </c>
      <c r="E5597" s="4">
        <v>109</v>
      </c>
      <c r="F5597" s="4" t="s">
        <v>29</v>
      </c>
    </row>
    <row r="5598" spans="1:6" x14ac:dyDescent="0.25">
      <c r="A5598" s="4" t="s">
        <v>77</v>
      </c>
      <c r="B5598" s="4" t="s">
        <v>1</v>
      </c>
      <c r="C5598" s="4" t="s">
        <v>35</v>
      </c>
      <c r="D5598" s="4">
        <v>2021</v>
      </c>
      <c r="E5598" s="4">
        <v>105</v>
      </c>
      <c r="F5598" s="4" t="s">
        <v>29</v>
      </c>
    </row>
    <row r="5599" spans="1:6" x14ac:dyDescent="0.25">
      <c r="A5599" s="4" t="s">
        <v>77</v>
      </c>
      <c r="B5599" s="4" t="s">
        <v>1</v>
      </c>
      <c r="C5599" s="4" t="s">
        <v>35</v>
      </c>
      <c r="D5599" s="4">
        <v>2022</v>
      </c>
      <c r="E5599" s="4">
        <v>100</v>
      </c>
      <c r="F5599" s="4" t="s">
        <v>29</v>
      </c>
    </row>
    <row r="5600" spans="1:6" x14ac:dyDescent="0.25">
      <c r="A5600" s="4" t="s">
        <v>77</v>
      </c>
      <c r="B5600" s="4" t="s">
        <v>1</v>
      </c>
      <c r="C5600" s="4" t="s">
        <v>35</v>
      </c>
      <c r="D5600" s="4">
        <v>2023</v>
      </c>
      <c r="E5600" s="4">
        <v>100</v>
      </c>
      <c r="F5600" s="4" t="s">
        <v>29</v>
      </c>
    </row>
    <row r="5601" spans="1:6" x14ac:dyDescent="0.25">
      <c r="A5601" s="4" t="s">
        <v>77</v>
      </c>
      <c r="B5601" s="4" t="s">
        <v>1</v>
      </c>
      <c r="C5601" s="4" t="s">
        <v>35</v>
      </c>
      <c r="D5601" s="4">
        <v>2024</v>
      </c>
      <c r="E5601" s="4">
        <v>103</v>
      </c>
      <c r="F5601" s="4" t="s">
        <v>29</v>
      </c>
    </row>
    <row r="5602" spans="1:6" x14ac:dyDescent="0.25">
      <c r="A5602" s="4" t="s">
        <v>77</v>
      </c>
      <c r="B5602" s="4" t="s">
        <v>1</v>
      </c>
      <c r="C5602" s="4" t="s">
        <v>35</v>
      </c>
      <c r="D5602" s="4">
        <v>2025</v>
      </c>
      <c r="E5602" s="4">
        <v>105</v>
      </c>
      <c r="F5602" s="4" t="s">
        <v>29</v>
      </c>
    </row>
    <row r="5603" spans="1:6" x14ac:dyDescent="0.25">
      <c r="A5603" s="4" t="s">
        <v>77</v>
      </c>
      <c r="B5603" s="4" t="s">
        <v>1</v>
      </c>
      <c r="C5603" s="4" t="s">
        <v>35</v>
      </c>
      <c r="D5603" s="4">
        <v>2026</v>
      </c>
      <c r="E5603" s="4">
        <v>104</v>
      </c>
      <c r="F5603" s="4" t="s">
        <v>29</v>
      </c>
    </row>
    <row r="5604" spans="1:6" x14ac:dyDescent="0.25">
      <c r="A5604" s="4" t="s">
        <v>77</v>
      </c>
      <c r="B5604" s="4" t="s">
        <v>1</v>
      </c>
      <c r="C5604" s="4" t="s">
        <v>35</v>
      </c>
      <c r="D5604" s="4">
        <v>2027</v>
      </c>
      <c r="E5604" s="4">
        <v>102</v>
      </c>
      <c r="F5604" s="4" t="s">
        <v>29</v>
      </c>
    </row>
    <row r="5605" spans="1:6" x14ac:dyDescent="0.25">
      <c r="A5605" s="4" t="s">
        <v>77</v>
      </c>
      <c r="B5605" s="4" t="s">
        <v>1</v>
      </c>
      <c r="C5605" s="4" t="s">
        <v>35</v>
      </c>
      <c r="D5605" s="4">
        <v>2028</v>
      </c>
      <c r="E5605" s="4">
        <v>98</v>
      </c>
      <c r="F5605" s="4" t="s">
        <v>29</v>
      </c>
    </row>
    <row r="5606" spans="1:6" x14ac:dyDescent="0.25">
      <c r="A5606" s="4" t="s">
        <v>77</v>
      </c>
      <c r="B5606" s="4" t="s">
        <v>1</v>
      </c>
      <c r="C5606" s="4" t="s">
        <v>35</v>
      </c>
      <c r="D5606" s="4">
        <v>2029</v>
      </c>
      <c r="E5606" s="4">
        <v>98</v>
      </c>
      <c r="F5606" s="4" t="s">
        <v>29</v>
      </c>
    </row>
    <row r="5607" spans="1:6" x14ac:dyDescent="0.25">
      <c r="A5607" s="4" t="s">
        <v>77</v>
      </c>
      <c r="B5607" s="4" t="s">
        <v>1</v>
      </c>
      <c r="C5607" s="4" t="s">
        <v>35</v>
      </c>
      <c r="D5607" s="4">
        <v>2030</v>
      </c>
      <c r="E5607" s="4">
        <v>102</v>
      </c>
      <c r="F5607" s="4" t="s">
        <v>29</v>
      </c>
    </row>
    <row r="5608" spans="1:6" x14ac:dyDescent="0.25">
      <c r="A5608" s="4" t="s">
        <v>77</v>
      </c>
      <c r="B5608" s="4" t="s">
        <v>1</v>
      </c>
      <c r="C5608" s="4" t="s">
        <v>35</v>
      </c>
      <c r="D5608" s="4">
        <v>2031</v>
      </c>
      <c r="E5608" s="4">
        <v>100</v>
      </c>
      <c r="F5608" s="4" t="s">
        <v>29</v>
      </c>
    </row>
    <row r="5609" spans="1:6" x14ac:dyDescent="0.25">
      <c r="A5609" s="4" t="s">
        <v>77</v>
      </c>
      <c r="B5609" s="4" t="s">
        <v>1</v>
      </c>
      <c r="C5609" s="4" t="s">
        <v>35</v>
      </c>
      <c r="D5609" s="4">
        <v>2032</v>
      </c>
      <c r="E5609" s="4">
        <v>101</v>
      </c>
      <c r="F5609" s="4" t="s">
        <v>29</v>
      </c>
    </row>
    <row r="5610" spans="1:6" x14ac:dyDescent="0.25">
      <c r="A5610" s="4" t="s">
        <v>77</v>
      </c>
      <c r="B5610" s="4" t="s">
        <v>1</v>
      </c>
      <c r="C5610" s="4" t="s">
        <v>35</v>
      </c>
      <c r="D5610" s="4">
        <v>2033</v>
      </c>
      <c r="E5610" s="4">
        <v>97</v>
      </c>
      <c r="F5610" s="4" t="s">
        <v>29</v>
      </c>
    </row>
    <row r="5611" spans="1:6" x14ac:dyDescent="0.25">
      <c r="A5611" s="4" t="s">
        <v>77</v>
      </c>
      <c r="B5611" s="4" t="s">
        <v>1</v>
      </c>
      <c r="C5611" s="4" t="s">
        <v>35</v>
      </c>
      <c r="D5611" s="4">
        <v>2034</v>
      </c>
      <c r="E5611" s="4">
        <v>96</v>
      </c>
      <c r="F5611" s="4" t="s">
        <v>29</v>
      </c>
    </row>
    <row r="5612" spans="1:6" x14ac:dyDescent="0.25">
      <c r="A5612" s="4" t="s">
        <v>77</v>
      </c>
      <c r="B5612" s="4" t="s">
        <v>1</v>
      </c>
      <c r="C5612" s="4" t="s">
        <v>35</v>
      </c>
      <c r="D5612" s="4">
        <v>2035</v>
      </c>
      <c r="E5612" s="4">
        <v>97</v>
      </c>
      <c r="F5612" s="4" t="s">
        <v>29</v>
      </c>
    </row>
    <row r="5613" spans="1:6" x14ac:dyDescent="0.25">
      <c r="A5613" s="4" t="s">
        <v>77</v>
      </c>
      <c r="B5613" s="4" t="s">
        <v>1</v>
      </c>
      <c r="C5613" s="4" t="s">
        <v>35</v>
      </c>
      <c r="D5613" s="4">
        <v>2036</v>
      </c>
      <c r="E5613" s="4">
        <v>93</v>
      </c>
      <c r="F5613" s="4" t="s">
        <v>29</v>
      </c>
    </row>
    <row r="5614" spans="1:6" x14ac:dyDescent="0.25">
      <c r="A5614" s="4" t="s">
        <v>77</v>
      </c>
      <c r="B5614" s="4" t="s">
        <v>1</v>
      </c>
      <c r="C5614" s="4" t="s">
        <v>35</v>
      </c>
      <c r="D5614" s="4">
        <v>2037</v>
      </c>
      <c r="E5614" s="4">
        <v>90</v>
      </c>
      <c r="F5614" s="4" t="s">
        <v>29</v>
      </c>
    </row>
    <row r="5615" spans="1:6" x14ac:dyDescent="0.25">
      <c r="A5615" s="4" t="s">
        <v>77</v>
      </c>
      <c r="B5615" s="4" t="s">
        <v>1</v>
      </c>
      <c r="C5615" s="4" t="s">
        <v>35</v>
      </c>
      <c r="D5615" s="4">
        <v>2038</v>
      </c>
      <c r="E5615" s="4">
        <v>88</v>
      </c>
      <c r="F5615" s="4" t="s">
        <v>29</v>
      </c>
    </row>
    <row r="5616" spans="1:6" x14ac:dyDescent="0.25">
      <c r="A5616" s="4" t="s">
        <v>77</v>
      </c>
      <c r="B5616" s="4" t="s">
        <v>1</v>
      </c>
      <c r="C5616" s="4" t="s">
        <v>35</v>
      </c>
      <c r="D5616" s="4">
        <v>2039</v>
      </c>
      <c r="E5616" s="4">
        <v>85</v>
      </c>
      <c r="F5616" s="4" t="s">
        <v>29</v>
      </c>
    </row>
    <row r="5617" spans="1:6" x14ac:dyDescent="0.25">
      <c r="A5617" s="4" t="s">
        <v>77</v>
      </c>
      <c r="B5617" s="4" t="s">
        <v>1</v>
      </c>
      <c r="C5617" s="4" t="s">
        <v>35</v>
      </c>
      <c r="D5617" s="4">
        <v>2040</v>
      </c>
      <c r="E5617" s="4">
        <v>81</v>
      </c>
      <c r="F5617" s="4" t="s">
        <v>29</v>
      </c>
    </row>
    <row r="5618" spans="1:6" x14ac:dyDescent="0.25">
      <c r="A5618" s="4" t="s">
        <v>77</v>
      </c>
      <c r="B5618" s="4" t="s">
        <v>23</v>
      </c>
      <c r="C5618" s="4" t="s">
        <v>35</v>
      </c>
      <c r="D5618" s="4">
        <v>2005</v>
      </c>
      <c r="E5618" s="4">
        <v>380</v>
      </c>
      <c r="F5618" s="4" t="s">
        <v>29</v>
      </c>
    </row>
    <row r="5619" spans="1:6" x14ac:dyDescent="0.25">
      <c r="A5619" s="4" t="s">
        <v>77</v>
      </c>
      <c r="B5619" s="4" t="s">
        <v>23</v>
      </c>
      <c r="C5619" s="4" t="s">
        <v>35</v>
      </c>
      <c r="D5619" s="4">
        <v>2006</v>
      </c>
      <c r="E5619" s="4">
        <v>340</v>
      </c>
      <c r="F5619" s="4" t="s">
        <v>29</v>
      </c>
    </row>
    <row r="5620" spans="1:6" x14ac:dyDescent="0.25">
      <c r="A5620" s="4" t="s">
        <v>77</v>
      </c>
      <c r="B5620" s="4" t="s">
        <v>23</v>
      </c>
      <c r="C5620" s="4" t="s">
        <v>35</v>
      </c>
      <c r="D5620" s="4">
        <v>2007</v>
      </c>
      <c r="E5620" s="4">
        <v>300</v>
      </c>
      <c r="F5620" s="4" t="s">
        <v>29</v>
      </c>
    </row>
    <row r="5621" spans="1:6" x14ac:dyDescent="0.25">
      <c r="A5621" s="4" t="s">
        <v>77</v>
      </c>
      <c r="B5621" s="4" t="s">
        <v>23</v>
      </c>
      <c r="C5621" s="4" t="s">
        <v>35</v>
      </c>
      <c r="D5621" s="4">
        <v>2008</v>
      </c>
      <c r="E5621" s="4">
        <v>270</v>
      </c>
      <c r="F5621" s="4" t="s">
        <v>29</v>
      </c>
    </row>
    <row r="5622" spans="1:6" x14ac:dyDescent="0.25">
      <c r="A5622" s="4" t="s">
        <v>77</v>
      </c>
      <c r="B5622" s="4" t="s">
        <v>23</v>
      </c>
      <c r="C5622" s="4" t="s">
        <v>35</v>
      </c>
      <c r="D5622" s="4">
        <v>2009</v>
      </c>
      <c r="E5622" s="4">
        <v>250</v>
      </c>
      <c r="F5622" s="4" t="s">
        <v>29</v>
      </c>
    </row>
    <row r="5623" spans="1:6" x14ac:dyDescent="0.25">
      <c r="A5623" s="4" t="s">
        <v>77</v>
      </c>
      <c r="B5623" s="4" t="s">
        <v>23</v>
      </c>
      <c r="C5623" s="4" t="s">
        <v>35</v>
      </c>
      <c r="D5623" s="4">
        <v>2010</v>
      </c>
      <c r="E5623" s="4">
        <v>240</v>
      </c>
      <c r="F5623" s="4" t="s">
        <v>29</v>
      </c>
    </row>
    <row r="5624" spans="1:6" x14ac:dyDescent="0.25">
      <c r="A5624" s="4" t="s">
        <v>77</v>
      </c>
      <c r="B5624" s="4" t="s">
        <v>23</v>
      </c>
      <c r="C5624" s="4" t="s">
        <v>35</v>
      </c>
      <c r="D5624" s="4">
        <v>2011</v>
      </c>
      <c r="E5624" s="4">
        <v>220</v>
      </c>
      <c r="F5624" s="4" t="s">
        <v>29</v>
      </c>
    </row>
    <row r="5625" spans="1:6" x14ac:dyDescent="0.25">
      <c r="A5625" s="4" t="s">
        <v>77</v>
      </c>
      <c r="B5625" s="4" t="s">
        <v>23</v>
      </c>
      <c r="C5625" s="4" t="s">
        <v>35</v>
      </c>
      <c r="D5625" s="4">
        <v>2012</v>
      </c>
      <c r="E5625" s="4">
        <v>220</v>
      </c>
      <c r="F5625" s="4" t="s">
        <v>29</v>
      </c>
    </row>
    <row r="5626" spans="1:6" x14ac:dyDescent="0.25">
      <c r="A5626" s="4" t="s">
        <v>77</v>
      </c>
      <c r="B5626" s="4" t="s">
        <v>23</v>
      </c>
      <c r="C5626" s="4" t="s">
        <v>35</v>
      </c>
      <c r="D5626" s="4">
        <v>2013</v>
      </c>
      <c r="E5626" s="4">
        <v>200</v>
      </c>
      <c r="F5626" s="4" t="s">
        <v>29</v>
      </c>
    </row>
    <row r="5627" spans="1:6" x14ac:dyDescent="0.25">
      <c r="A5627" s="4" t="s">
        <v>77</v>
      </c>
      <c r="B5627" s="4" t="s">
        <v>23</v>
      </c>
      <c r="C5627" s="4" t="s">
        <v>35</v>
      </c>
      <c r="D5627" s="4">
        <v>2014</v>
      </c>
      <c r="E5627" s="4">
        <v>190</v>
      </c>
      <c r="F5627" s="4" t="s">
        <v>29</v>
      </c>
    </row>
    <row r="5628" spans="1:6" x14ac:dyDescent="0.25">
      <c r="A5628" s="4" t="s">
        <v>77</v>
      </c>
      <c r="B5628" s="4" t="s">
        <v>23</v>
      </c>
      <c r="C5628" s="4" t="s">
        <v>35</v>
      </c>
      <c r="D5628" s="4">
        <v>2015</v>
      </c>
      <c r="E5628" s="4">
        <v>157.3838965693806</v>
      </c>
      <c r="F5628" s="4" t="s">
        <v>29</v>
      </c>
    </row>
    <row r="5629" spans="1:6" x14ac:dyDescent="0.25">
      <c r="A5629" s="4" t="s">
        <v>77</v>
      </c>
      <c r="B5629" s="4" t="s">
        <v>23</v>
      </c>
      <c r="C5629" s="4" t="s">
        <v>35</v>
      </c>
      <c r="D5629" s="4">
        <v>2016</v>
      </c>
      <c r="E5629" s="4">
        <v>155.15005760368666</v>
      </c>
      <c r="F5629" s="4" t="s">
        <v>29</v>
      </c>
    </row>
    <row r="5630" spans="1:6" x14ac:dyDescent="0.25">
      <c r="A5630" s="4" t="s">
        <v>77</v>
      </c>
      <c r="B5630" s="4" t="s">
        <v>23</v>
      </c>
      <c r="C5630" s="4" t="s">
        <v>35</v>
      </c>
      <c r="D5630" s="4">
        <v>2017</v>
      </c>
      <c r="E5630" s="4">
        <v>94</v>
      </c>
      <c r="F5630" s="4" t="s">
        <v>29</v>
      </c>
    </row>
    <row r="5631" spans="1:6" x14ac:dyDescent="0.25">
      <c r="A5631" s="4" t="s">
        <v>77</v>
      </c>
      <c r="B5631" s="4" t="s">
        <v>23</v>
      </c>
      <c r="C5631" s="4" t="s">
        <v>35</v>
      </c>
      <c r="D5631" s="4">
        <v>2018</v>
      </c>
      <c r="E5631" s="4">
        <v>120</v>
      </c>
      <c r="F5631" s="4" t="s">
        <v>29</v>
      </c>
    </row>
    <row r="5632" spans="1:6" x14ac:dyDescent="0.25">
      <c r="A5632" s="4" t="s">
        <v>77</v>
      </c>
      <c r="B5632" s="4" t="s">
        <v>23</v>
      </c>
      <c r="C5632" s="4" t="s">
        <v>35</v>
      </c>
      <c r="D5632" s="4">
        <v>2019</v>
      </c>
      <c r="E5632" s="4">
        <v>117</v>
      </c>
      <c r="F5632" s="4" t="s">
        <v>29</v>
      </c>
    </row>
    <row r="5633" spans="1:6" x14ac:dyDescent="0.25">
      <c r="A5633" s="4" t="s">
        <v>77</v>
      </c>
      <c r="B5633" s="4" t="s">
        <v>23</v>
      </c>
      <c r="C5633" s="4" t="s">
        <v>35</v>
      </c>
      <c r="D5633" s="4">
        <v>2020</v>
      </c>
      <c r="E5633" s="4">
        <v>109</v>
      </c>
      <c r="F5633" s="4" t="s">
        <v>29</v>
      </c>
    </row>
    <row r="5634" spans="1:6" x14ac:dyDescent="0.25">
      <c r="A5634" s="4" t="s">
        <v>77</v>
      </c>
      <c r="B5634" s="4" t="s">
        <v>23</v>
      </c>
      <c r="C5634" s="4" t="s">
        <v>35</v>
      </c>
      <c r="D5634" s="4">
        <v>2021</v>
      </c>
      <c r="E5634" s="4">
        <v>105</v>
      </c>
      <c r="F5634" s="4" t="s">
        <v>29</v>
      </c>
    </row>
    <row r="5635" spans="1:6" x14ac:dyDescent="0.25">
      <c r="A5635" s="4" t="s">
        <v>77</v>
      </c>
      <c r="B5635" s="4" t="s">
        <v>23</v>
      </c>
      <c r="C5635" s="4" t="s">
        <v>35</v>
      </c>
      <c r="D5635" s="4">
        <v>2022</v>
      </c>
      <c r="E5635" s="4">
        <v>100</v>
      </c>
      <c r="F5635" s="4" t="s">
        <v>29</v>
      </c>
    </row>
    <row r="5636" spans="1:6" x14ac:dyDescent="0.25">
      <c r="A5636" s="4" t="s">
        <v>77</v>
      </c>
      <c r="B5636" s="4" t="s">
        <v>23</v>
      </c>
      <c r="C5636" s="4" t="s">
        <v>35</v>
      </c>
      <c r="D5636" s="4">
        <v>2023</v>
      </c>
      <c r="E5636" s="4">
        <v>100</v>
      </c>
      <c r="F5636" s="4" t="s">
        <v>29</v>
      </c>
    </row>
    <row r="5637" spans="1:6" x14ac:dyDescent="0.25">
      <c r="A5637" s="4" t="s">
        <v>77</v>
      </c>
      <c r="B5637" s="4" t="s">
        <v>23</v>
      </c>
      <c r="C5637" s="4" t="s">
        <v>35</v>
      </c>
      <c r="D5637" s="4">
        <v>2024</v>
      </c>
      <c r="E5637" s="4">
        <v>103</v>
      </c>
      <c r="F5637" s="4" t="s">
        <v>29</v>
      </c>
    </row>
    <row r="5638" spans="1:6" x14ac:dyDescent="0.25">
      <c r="A5638" s="4" t="s">
        <v>77</v>
      </c>
      <c r="B5638" s="4" t="s">
        <v>23</v>
      </c>
      <c r="C5638" s="4" t="s">
        <v>35</v>
      </c>
      <c r="D5638" s="4">
        <v>2025</v>
      </c>
      <c r="E5638" s="4">
        <v>105</v>
      </c>
      <c r="F5638" s="4" t="s">
        <v>29</v>
      </c>
    </row>
    <row r="5639" spans="1:6" x14ac:dyDescent="0.25">
      <c r="A5639" s="4" t="s">
        <v>77</v>
      </c>
      <c r="B5639" s="4" t="s">
        <v>23</v>
      </c>
      <c r="C5639" s="4" t="s">
        <v>35</v>
      </c>
      <c r="D5639" s="4">
        <v>2026</v>
      </c>
      <c r="E5639" s="4">
        <v>104</v>
      </c>
      <c r="F5639" s="4" t="s">
        <v>29</v>
      </c>
    </row>
    <row r="5640" spans="1:6" x14ac:dyDescent="0.25">
      <c r="A5640" s="4" t="s">
        <v>77</v>
      </c>
      <c r="B5640" s="4" t="s">
        <v>23</v>
      </c>
      <c r="C5640" s="4" t="s">
        <v>35</v>
      </c>
      <c r="D5640" s="4">
        <v>2027</v>
      </c>
      <c r="E5640" s="4">
        <v>102</v>
      </c>
      <c r="F5640" s="4" t="s">
        <v>29</v>
      </c>
    </row>
    <row r="5641" spans="1:6" x14ac:dyDescent="0.25">
      <c r="A5641" s="4" t="s">
        <v>77</v>
      </c>
      <c r="B5641" s="4" t="s">
        <v>23</v>
      </c>
      <c r="C5641" s="4" t="s">
        <v>35</v>
      </c>
      <c r="D5641" s="4">
        <v>2028</v>
      </c>
      <c r="E5641" s="4">
        <v>98</v>
      </c>
      <c r="F5641" s="4" t="s">
        <v>29</v>
      </c>
    </row>
    <row r="5642" spans="1:6" x14ac:dyDescent="0.25">
      <c r="A5642" s="4" t="s">
        <v>77</v>
      </c>
      <c r="B5642" s="4" t="s">
        <v>23</v>
      </c>
      <c r="C5642" s="4" t="s">
        <v>35</v>
      </c>
      <c r="D5642" s="4">
        <v>2029</v>
      </c>
      <c r="E5642" s="4">
        <v>98</v>
      </c>
      <c r="F5642" s="4" t="s">
        <v>29</v>
      </c>
    </row>
    <row r="5643" spans="1:6" x14ac:dyDescent="0.25">
      <c r="A5643" s="4" t="s">
        <v>77</v>
      </c>
      <c r="B5643" s="4" t="s">
        <v>23</v>
      </c>
      <c r="C5643" s="4" t="s">
        <v>35</v>
      </c>
      <c r="D5643" s="4">
        <v>2030</v>
      </c>
      <c r="E5643" s="4">
        <v>102</v>
      </c>
      <c r="F5643" s="4" t="s">
        <v>29</v>
      </c>
    </row>
    <row r="5644" spans="1:6" x14ac:dyDescent="0.25">
      <c r="A5644" s="4" t="s">
        <v>77</v>
      </c>
      <c r="B5644" s="4" t="s">
        <v>23</v>
      </c>
      <c r="C5644" s="4" t="s">
        <v>35</v>
      </c>
      <c r="D5644" s="4">
        <v>2031</v>
      </c>
      <c r="E5644" s="4">
        <v>100</v>
      </c>
      <c r="F5644" s="4" t="s">
        <v>29</v>
      </c>
    </row>
    <row r="5645" spans="1:6" x14ac:dyDescent="0.25">
      <c r="A5645" s="4" t="s">
        <v>77</v>
      </c>
      <c r="B5645" s="4" t="s">
        <v>23</v>
      </c>
      <c r="C5645" s="4" t="s">
        <v>35</v>
      </c>
      <c r="D5645" s="4">
        <v>2032</v>
      </c>
      <c r="E5645" s="4">
        <v>101</v>
      </c>
      <c r="F5645" s="4" t="s">
        <v>29</v>
      </c>
    </row>
    <row r="5646" spans="1:6" x14ac:dyDescent="0.25">
      <c r="A5646" s="4" t="s">
        <v>77</v>
      </c>
      <c r="B5646" s="4" t="s">
        <v>23</v>
      </c>
      <c r="C5646" s="4" t="s">
        <v>35</v>
      </c>
      <c r="D5646" s="4">
        <v>2033</v>
      </c>
      <c r="E5646" s="4">
        <v>97</v>
      </c>
      <c r="F5646" s="4" t="s">
        <v>29</v>
      </c>
    </row>
    <row r="5647" spans="1:6" x14ac:dyDescent="0.25">
      <c r="A5647" s="4" t="s">
        <v>77</v>
      </c>
      <c r="B5647" s="4" t="s">
        <v>23</v>
      </c>
      <c r="C5647" s="4" t="s">
        <v>35</v>
      </c>
      <c r="D5647" s="4">
        <v>2034</v>
      </c>
      <c r="E5647" s="4">
        <v>96</v>
      </c>
      <c r="F5647" s="4" t="s">
        <v>29</v>
      </c>
    </row>
    <row r="5648" spans="1:6" x14ac:dyDescent="0.25">
      <c r="A5648" s="4" t="s">
        <v>77</v>
      </c>
      <c r="B5648" s="4" t="s">
        <v>23</v>
      </c>
      <c r="C5648" s="4" t="s">
        <v>35</v>
      </c>
      <c r="D5648" s="4">
        <v>2035</v>
      </c>
      <c r="E5648" s="4">
        <v>97</v>
      </c>
      <c r="F5648" s="4" t="s">
        <v>29</v>
      </c>
    </row>
    <row r="5649" spans="1:6" x14ac:dyDescent="0.25">
      <c r="A5649" s="4" t="s">
        <v>77</v>
      </c>
      <c r="B5649" s="4" t="s">
        <v>23</v>
      </c>
      <c r="C5649" s="4" t="s">
        <v>35</v>
      </c>
      <c r="D5649" s="4">
        <v>2036</v>
      </c>
      <c r="E5649" s="4">
        <v>93</v>
      </c>
      <c r="F5649" s="4" t="s">
        <v>29</v>
      </c>
    </row>
    <row r="5650" spans="1:6" x14ac:dyDescent="0.25">
      <c r="A5650" s="4" t="s">
        <v>77</v>
      </c>
      <c r="B5650" s="4" t="s">
        <v>23</v>
      </c>
      <c r="C5650" s="4" t="s">
        <v>35</v>
      </c>
      <c r="D5650" s="4">
        <v>2037</v>
      </c>
      <c r="E5650" s="4">
        <v>90</v>
      </c>
      <c r="F5650" s="4" t="s">
        <v>29</v>
      </c>
    </row>
    <row r="5651" spans="1:6" x14ac:dyDescent="0.25">
      <c r="A5651" s="4" t="s">
        <v>77</v>
      </c>
      <c r="B5651" s="4" t="s">
        <v>23</v>
      </c>
      <c r="C5651" s="4" t="s">
        <v>35</v>
      </c>
      <c r="D5651" s="4">
        <v>2038</v>
      </c>
      <c r="E5651" s="4">
        <v>88</v>
      </c>
      <c r="F5651" s="4" t="s">
        <v>29</v>
      </c>
    </row>
    <row r="5652" spans="1:6" x14ac:dyDescent="0.25">
      <c r="A5652" s="4" t="s">
        <v>77</v>
      </c>
      <c r="B5652" s="4" t="s">
        <v>23</v>
      </c>
      <c r="C5652" s="4" t="s">
        <v>35</v>
      </c>
      <c r="D5652" s="4">
        <v>2039</v>
      </c>
      <c r="E5652" s="4">
        <v>85</v>
      </c>
      <c r="F5652" s="4" t="s">
        <v>29</v>
      </c>
    </row>
    <row r="5653" spans="1:6" x14ac:dyDescent="0.25">
      <c r="A5653" s="4" t="s">
        <v>77</v>
      </c>
      <c r="B5653" s="4" t="s">
        <v>23</v>
      </c>
      <c r="C5653" s="4" t="s">
        <v>35</v>
      </c>
      <c r="D5653" s="4">
        <v>2040</v>
      </c>
      <c r="E5653" s="4">
        <v>81</v>
      </c>
      <c r="F5653" s="4" t="s">
        <v>29</v>
      </c>
    </row>
    <row r="5654" spans="1:6" x14ac:dyDescent="0.25">
      <c r="A5654" s="4" t="s">
        <v>78</v>
      </c>
      <c r="B5654" s="4" t="s">
        <v>1</v>
      </c>
      <c r="C5654" s="4" t="s">
        <v>35</v>
      </c>
      <c r="D5654" s="4">
        <v>2005</v>
      </c>
      <c r="E5654" s="4">
        <v>0</v>
      </c>
      <c r="F5654" s="4" t="s">
        <v>29</v>
      </c>
    </row>
    <row r="5655" spans="1:6" x14ac:dyDescent="0.25">
      <c r="A5655" s="4" t="s">
        <v>78</v>
      </c>
      <c r="B5655" s="4" t="s">
        <v>1</v>
      </c>
      <c r="C5655" s="4" t="s">
        <v>35</v>
      </c>
      <c r="D5655" s="4">
        <v>2006</v>
      </c>
      <c r="E5655" s="4">
        <v>0</v>
      </c>
      <c r="F5655" s="4" t="s">
        <v>29</v>
      </c>
    </row>
    <row r="5656" spans="1:6" x14ac:dyDescent="0.25">
      <c r="A5656" s="4" t="s">
        <v>78</v>
      </c>
      <c r="B5656" s="4" t="s">
        <v>1</v>
      </c>
      <c r="C5656" s="4" t="s">
        <v>35</v>
      </c>
      <c r="D5656" s="4">
        <v>2007</v>
      </c>
      <c r="E5656" s="4">
        <v>0</v>
      </c>
      <c r="F5656" s="4" t="s">
        <v>29</v>
      </c>
    </row>
    <row r="5657" spans="1:6" x14ac:dyDescent="0.25">
      <c r="A5657" s="4" t="s">
        <v>78</v>
      </c>
      <c r="B5657" s="4" t="s">
        <v>1</v>
      </c>
      <c r="C5657" s="4" t="s">
        <v>35</v>
      </c>
      <c r="D5657" s="4">
        <v>2008</v>
      </c>
      <c r="E5657" s="4">
        <v>0</v>
      </c>
      <c r="F5657" s="4" t="s">
        <v>29</v>
      </c>
    </row>
    <row r="5658" spans="1:6" x14ac:dyDescent="0.25">
      <c r="A5658" s="4" t="s">
        <v>78</v>
      </c>
      <c r="B5658" s="4" t="s">
        <v>1</v>
      </c>
      <c r="C5658" s="4" t="s">
        <v>35</v>
      </c>
      <c r="D5658" s="4">
        <v>2009</v>
      </c>
      <c r="E5658" s="4">
        <v>0</v>
      </c>
      <c r="F5658" s="4" t="s">
        <v>29</v>
      </c>
    </row>
    <row r="5659" spans="1:6" x14ac:dyDescent="0.25">
      <c r="A5659" s="4" t="s">
        <v>78</v>
      </c>
      <c r="B5659" s="4" t="s">
        <v>1</v>
      </c>
      <c r="C5659" s="4" t="s">
        <v>35</v>
      </c>
      <c r="D5659" s="4">
        <v>2010</v>
      </c>
      <c r="E5659" s="4">
        <v>0</v>
      </c>
      <c r="F5659" s="4" t="s">
        <v>29</v>
      </c>
    </row>
    <row r="5660" spans="1:6" x14ac:dyDescent="0.25">
      <c r="A5660" s="4" t="s">
        <v>78</v>
      </c>
      <c r="B5660" s="4" t="s">
        <v>1</v>
      </c>
      <c r="C5660" s="4" t="s">
        <v>35</v>
      </c>
      <c r="D5660" s="4">
        <v>2011</v>
      </c>
      <c r="E5660" s="4">
        <v>0</v>
      </c>
      <c r="F5660" s="4" t="s">
        <v>29</v>
      </c>
    </row>
    <row r="5661" spans="1:6" x14ac:dyDescent="0.25">
      <c r="A5661" s="4" t="s">
        <v>78</v>
      </c>
      <c r="B5661" s="4" t="s">
        <v>1</v>
      </c>
      <c r="C5661" s="4" t="s">
        <v>35</v>
      </c>
      <c r="D5661" s="4">
        <v>2012</v>
      </c>
      <c r="E5661" s="4">
        <v>0</v>
      </c>
      <c r="F5661" s="4" t="s">
        <v>29</v>
      </c>
    </row>
    <row r="5662" spans="1:6" x14ac:dyDescent="0.25">
      <c r="A5662" s="4" t="s">
        <v>78</v>
      </c>
      <c r="B5662" s="4" t="s">
        <v>1</v>
      </c>
      <c r="C5662" s="4" t="s">
        <v>35</v>
      </c>
      <c r="D5662" s="4">
        <v>2013</v>
      </c>
      <c r="E5662" s="4">
        <v>0</v>
      </c>
      <c r="F5662" s="4" t="s">
        <v>29</v>
      </c>
    </row>
    <row r="5663" spans="1:6" x14ac:dyDescent="0.25">
      <c r="A5663" s="4" t="s">
        <v>78</v>
      </c>
      <c r="B5663" s="4" t="s">
        <v>1</v>
      </c>
      <c r="C5663" s="4" t="s">
        <v>35</v>
      </c>
      <c r="D5663" s="4">
        <v>2014</v>
      </c>
      <c r="E5663" s="4">
        <v>0</v>
      </c>
      <c r="F5663" s="4" t="s">
        <v>29</v>
      </c>
    </row>
    <row r="5664" spans="1:6" x14ac:dyDescent="0.25">
      <c r="A5664" s="4" t="s">
        <v>78</v>
      </c>
      <c r="B5664" s="4" t="s">
        <v>1</v>
      </c>
      <c r="C5664" s="4" t="s">
        <v>35</v>
      </c>
      <c r="D5664" s="4">
        <v>2015</v>
      </c>
      <c r="E5664" s="4">
        <v>0</v>
      </c>
      <c r="F5664" s="4" t="s">
        <v>29</v>
      </c>
    </row>
    <row r="5665" spans="1:6" x14ac:dyDescent="0.25">
      <c r="A5665" s="4" t="s">
        <v>78</v>
      </c>
      <c r="B5665" s="4" t="s">
        <v>1</v>
      </c>
      <c r="C5665" s="4" t="s">
        <v>35</v>
      </c>
      <c r="D5665" s="4">
        <v>2016</v>
      </c>
      <c r="E5665" s="4">
        <v>0</v>
      </c>
      <c r="F5665" s="4" t="s">
        <v>29</v>
      </c>
    </row>
    <row r="5666" spans="1:6" x14ac:dyDescent="0.25">
      <c r="A5666" s="4" t="s">
        <v>78</v>
      </c>
      <c r="B5666" s="4" t="s">
        <v>1</v>
      </c>
      <c r="C5666" s="4" t="s">
        <v>35</v>
      </c>
      <c r="D5666" s="4">
        <v>2017</v>
      </c>
      <c r="E5666" s="4">
        <v>0</v>
      </c>
      <c r="F5666" s="4" t="s">
        <v>29</v>
      </c>
    </row>
    <row r="5667" spans="1:6" x14ac:dyDescent="0.25">
      <c r="A5667" s="4" t="s">
        <v>78</v>
      </c>
      <c r="B5667" s="4" t="s">
        <v>1</v>
      </c>
      <c r="C5667" s="4" t="s">
        <v>35</v>
      </c>
      <c r="D5667" s="4">
        <v>2018</v>
      </c>
      <c r="E5667" s="4">
        <v>0</v>
      </c>
      <c r="F5667" s="4" t="s">
        <v>29</v>
      </c>
    </row>
    <row r="5668" spans="1:6" x14ac:dyDescent="0.25">
      <c r="A5668" s="4" t="s">
        <v>78</v>
      </c>
      <c r="B5668" s="4" t="s">
        <v>1</v>
      </c>
      <c r="C5668" s="4" t="s">
        <v>35</v>
      </c>
      <c r="D5668" s="4">
        <v>2019</v>
      </c>
      <c r="E5668" s="4">
        <v>0</v>
      </c>
      <c r="F5668" s="4" t="s">
        <v>29</v>
      </c>
    </row>
    <row r="5669" spans="1:6" x14ac:dyDescent="0.25">
      <c r="A5669" s="4" t="s">
        <v>78</v>
      </c>
      <c r="B5669" s="4" t="s">
        <v>1</v>
      </c>
      <c r="C5669" s="4" t="s">
        <v>35</v>
      </c>
      <c r="D5669" s="4">
        <v>2020</v>
      </c>
      <c r="E5669" s="4">
        <v>0</v>
      </c>
      <c r="F5669" s="4" t="s">
        <v>29</v>
      </c>
    </row>
    <row r="5670" spans="1:6" x14ac:dyDescent="0.25">
      <c r="A5670" s="4" t="s">
        <v>78</v>
      </c>
      <c r="B5670" s="4" t="s">
        <v>1</v>
      </c>
      <c r="C5670" s="4" t="s">
        <v>35</v>
      </c>
      <c r="D5670" s="4">
        <v>2021</v>
      </c>
      <c r="E5670" s="4">
        <v>0</v>
      </c>
      <c r="F5670" s="4" t="s">
        <v>29</v>
      </c>
    </row>
    <row r="5671" spans="1:6" x14ac:dyDescent="0.25">
      <c r="A5671" s="4" t="s">
        <v>78</v>
      </c>
      <c r="B5671" s="4" t="s">
        <v>1</v>
      </c>
      <c r="C5671" s="4" t="s">
        <v>35</v>
      </c>
      <c r="D5671" s="4">
        <v>2022</v>
      </c>
      <c r="E5671" s="4">
        <v>0</v>
      </c>
      <c r="F5671" s="4" t="s">
        <v>29</v>
      </c>
    </row>
    <row r="5672" spans="1:6" x14ac:dyDescent="0.25">
      <c r="A5672" s="4" t="s">
        <v>78</v>
      </c>
      <c r="B5672" s="4" t="s">
        <v>1</v>
      </c>
      <c r="C5672" s="4" t="s">
        <v>35</v>
      </c>
      <c r="D5672" s="4">
        <v>2023</v>
      </c>
      <c r="E5672" s="4">
        <v>0</v>
      </c>
      <c r="F5672" s="4" t="s">
        <v>29</v>
      </c>
    </row>
    <row r="5673" spans="1:6" x14ac:dyDescent="0.25">
      <c r="A5673" s="4" t="s">
        <v>78</v>
      </c>
      <c r="B5673" s="4" t="s">
        <v>1</v>
      </c>
      <c r="C5673" s="4" t="s">
        <v>35</v>
      </c>
      <c r="D5673" s="4">
        <v>2024</v>
      </c>
      <c r="E5673" s="4">
        <v>0</v>
      </c>
      <c r="F5673" s="4" t="s">
        <v>29</v>
      </c>
    </row>
    <row r="5674" spans="1:6" x14ac:dyDescent="0.25">
      <c r="A5674" s="4" t="s">
        <v>78</v>
      </c>
      <c r="B5674" s="4" t="s">
        <v>1</v>
      </c>
      <c r="C5674" s="4" t="s">
        <v>35</v>
      </c>
      <c r="D5674" s="4">
        <v>2025</v>
      </c>
      <c r="E5674" s="4">
        <v>0</v>
      </c>
      <c r="F5674" s="4" t="s">
        <v>29</v>
      </c>
    </row>
    <row r="5675" spans="1:6" x14ac:dyDescent="0.25">
      <c r="A5675" s="4" t="s">
        <v>78</v>
      </c>
      <c r="B5675" s="4" t="s">
        <v>1</v>
      </c>
      <c r="C5675" s="4" t="s">
        <v>35</v>
      </c>
      <c r="D5675" s="4">
        <v>2026</v>
      </c>
      <c r="E5675" s="4">
        <v>0</v>
      </c>
      <c r="F5675" s="4" t="s">
        <v>29</v>
      </c>
    </row>
    <row r="5676" spans="1:6" x14ac:dyDescent="0.25">
      <c r="A5676" s="4" t="s">
        <v>78</v>
      </c>
      <c r="B5676" s="4" t="s">
        <v>1</v>
      </c>
      <c r="C5676" s="4" t="s">
        <v>35</v>
      </c>
      <c r="D5676" s="4">
        <v>2027</v>
      </c>
      <c r="E5676" s="4">
        <v>0</v>
      </c>
      <c r="F5676" s="4" t="s">
        <v>29</v>
      </c>
    </row>
    <row r="5677" spans="1:6" x14ac:dyDescent="0.25">
      <c r="A5677" s="4" t="s">
        <v>78</v>
      </c>
      <c r="B5677" s="4" t="s">
        <v>1</v>
      </c>
      <c r="C5677" s="4" t="s">
        <v>35</v>
      </c>
      <c r="D5677" s="4">
        <v>2028</v>
      </c>
      <c r="E5677" s="4">
        <v>0</v>
      </c>
      <c r="F5677" s="4" t="s">
        <v>29</v>
      </c>
    </row>
    <row r="5678" spans="1:6" x14ac:dyDescent="0.25">
      <c r="A5678" s="4" t="s">
        <v>78</v>
      </c>
      <c r="B5678" s="4" t="s">
        <v>1</v>
      </c>
      <c r="C5678" s="4" t="s">
        <v>35</v>
      </c>
      <c r="D5678" s="4">
        <v>2029</v>
      </c>
      <c r="E5678" s="4">
        <v>0</v>
      </c>
      <c r="F5678" s="4" t="s">
        <v>29</v>
      </c>
    </row>
    <row r="5679" spans="1:6" x14ac:dyDescent="0.25">
      <c r="A5679" s="4" t="s">
        <v>78</v>
      </c>
      <c r="B5679" s="4" t="s">
        <v>1</v>
      </c>
      <c r="C5679" s="4" t="s">
        <v>35</v>
      </c>
      <c r="D5679" s="4">
        <v>2030</v>
      </c>
      <c r="E5679" s="4">
        <v>0</v>
      </c>
      <c r="F5679" s="4" t="s">
        <v>29</v>
      </c>
    </row>
    <row r="5680" spans="1:6" x14ac:dyDescent="0.25">
      <c r="A5680" s="4" t="s">
        <v>78</v>
      </c>
      <c r="B5680" s="4" t="s">
        <v>1</v>
      </c>
      <c r="C5680" s="4" t="s">
        <v>35</v>
      </c>
      <c r="D5680" s="4">
        <v>2031</v>
      </c>
      <c r="E5680" s="4">
        <v>0</v>
      </c>
      <c r="F5680" s="4" t="s">
        <v>29</v>
      </c>
    </row>
    <row r="5681" spans="1:6" x14ac:dyDescent="0.25">
      <c r="A5681" s="4" t="s">
        <v>78</v>
      </c>
      <c r="B5681" s="4" t="s">
        <v>1</v>
      </c>
      <c r="C5681" s="4" t="s">
        <v>35</v>
      </c>
      <c r="D5681" s="4">
        <v>2032</v>
      </c>
      <c r="E5681" s="4">
        <v>0</v>
      </c>
      <c r="F5681" s="4" t="s">
        <v>29</v>
      </c>
    </row>
    <row r="5682" spans="1:6" x14ac:dyDescent="0.25">
      <c r="A5682" s="4" t="s">
        <v>78</v>
      </c>
      <c r="B5682" s="4" t="s">
        <v>1</v>
      </c>
      <c r="C5682" s="4" t="s">
        <v>35</v>
      </c>
      <c r="D5682" s="4">
        <v>2033</v>
      </c>
      <c r="E5682" s="4">
        <v>0</v>
      </c>
      <c r="F5682" s="4" t="s">
        <v>29</v>
      </c>
    </row>
    <row r="5683" spans="1:6" x14ac:dyDescent="0.25">
      <c r="A5683" s="4" t="s">
        <v>78</v>
      </c>
      <c r="B5683" s="4" t="s">
        <v>1</v>
      </c>
      <c r="C5683" s="4" t="s">
        <v>35</v>
      </c>
      <c r="D5683" s="4">
        <v>2034</v>
      </c>
      <c r="E5683" s="4">
        <v>0</v>
      </c>
      <c r="F5683" s="4" t="s">
        <v>29</v>
      </c>
    </row>
    <row r="5684" spans="1:6" x14ac:dyDescent="0.25">
      <c r="A5684" s="4" t="s">
        <v>78</v>
      </c>
      <c r="B5684" s="4" t="s">
        <v>1</v>
      </c>
      <c r="C5684" s="4" t="s">
        <v>35</v>
      </c>
      <c r="D5684" s="4">
        <v>2035</v>
      </c>
      <c r="E5684" s="4">
        <v>0</v>
      </c>
      <c r="F5684" s="4" t="s">
        <v>29</v>
      </c>
    </row>
    <row r="5685" spans="1:6" x14ac:dyDescent="0.25">
      <c r="A5685" s="4" t="s">
        <v>78</v>
      </c>
      <c r="B5685" s="4" t="s">
        <v>1</v>
      </c>
      <c r="C5685" s="4" t="s">
        <v>35</v>
      </c>
      <c r="D5685" s="4">
        <v>2036</v>
      </c>
      <c r="E5685" s="4">
        <v>0</v>
      </c>
      <c r="F5685" s="4" t="s">
        <v>29</v>
      </c>
    </row>
    <row r="5686" spans="1:6" x14ac:dyDescent="0.25">
      <c r="A5686" s="4" t="s">
        <v>78</v>
      </c>
      <c r="B5686" s="4" t="s">
        <v>1</v>
      </c>
      <c r="C5686" s="4" t="s">
        <v>35</v>
      </c>
      <c r="D5686" s="4">
        <v>2037</v>
      </c>
      <c r="E5686" s="4">
        <v>0</v>
      </c>
      <c r="F5686" s="4" t="s">
        <v>29</v>
      </c>
    </row>
    <row r="5687" spans="1:6" x14ac:dyDescent="0.25">
      <c r="A5687" s="4" t="s">
        <v>78</v>
      </c>
      <c r="B5687" s="4" t="s">
        <v>1</v>
      </c>
      <c r="C5687" s="4" t="s">
        <v>35</v>
      </c>
      <c r="D5687" s="4">
        <v>2038</v>
      </c>
      <c r="E5687" s="4">
        <v>0</v>
      </c>
      <c r="F5687" s="4" t="s">
        <v>29</v>
      </c>
    </row>
    <row r="5688" spans="1:6" x14ac:dyDescent="0.25">
      <c r="A5688" s="4" t="s">
        <v>78</v>
      </c>
      <c r="B5688" s="4" t="s">
        <v>1</v>
      </c>
      <c r="C5688" s="4" t="s">
        <v>35</v>
      </c>
      <c r="D5688" s="4">
        <v>2039</v>
      </c>
      <c r="E5688" s="4">
        <v>0</v>
      </c>
      <c r="F5688" s="4" t="s">
        <v>29</v>
      </c>
    </row>
    <row r="5689" spans="1:6" x14ac:dyDescent="0.25">
      <c r="A5689" s="4" t="s">
        <v>78</v>
      </c>
      <c r="B5689" s="4" t="s">
        <v>1</v>
      </c>
      <c r="C5689" s="4" t="s">
        <v>35</v>
      </c>
      <c r="D5689" s="4">
        <v>2040</v>
      </c>
      <c r="E5689" s="4">
        <v>0</v>
      </c>
      <c r="F5689" s="4" t="s">
        <v>29</v>
      </c>
    </row>
    <row r="5690" spans="1:6" x14ac:dyDescent="0.25">
      <c r="A5690" s="4" t="s">
        <v>78</v>
      </c>
      <c r="B5690" s="4" t="s">
        <v>23</v>
      </c>
      <c r="C5690" s="4" t="s">
        <v>35</v>
      </c>
      <c r="D5690" s="4">
        <v>2005</v>
      </c>
      <c r="E5690" s="4">
        <v>0</v>
      </c>
      <c r="F5690" s="4" t="s">
        <v>29</v>
      </c>
    </row>
    <row r="5691" spans="1:6" x14ac:dyDescent="0.25">
      <c r="A5691" s="4" t="s">
        <v>78</v>
      </c>
      <c r="B5691" s="4" t="s">
        <v>23</v>
      </c>
      <c r="C5691" s="4" t="s">
        <v>35</v>
      </c>
      <c r="D5691" s="4">
        <v>2006</v>
      </c>
      <c r="E5691" s="4">
        <v>0</v>
      </c>
      <c r="F5691" s="4" t="s">
        <v>29</v>
      </c>
    </row>
    <row r="5692" spans="1:6" x14ac:dyDescent="0.25">
      <c r="A5692" s="4" t="s">
        <v>78</v>
      </c>
      <c r="B5692" s="4" t="s">
        <v>23</v>
      </c>
      <c r="C5692" s="4" t="s">
        <v>35</v>
      </c>
      <c r="D5692" s="4">
        <v>2007</v>
      </c>
      <c r="E5692" s="4">
        <v>0</v>
      </c>
      <c r="F5692" s="4" t="s">
        <v>29</v>
      </c>
    </row>
    <row r="5693" spans="1:6" x14ac:dyDescent="0.25">
      <c r="A5693" s="4" t="s">
        <v>78</v>
      </c>
      <c r="B5693" s="4" t="s">
        <v>23</v>
      </c>
      <c r="C5693" s="4" t="s">
        <v>35</v>
      </c>
      <c r="D5693" s="4">
        <v>2008</v>
      </c>
      <c r="E5693" s="4">
        <v>0</v>
      </c>
      <c r="F5693" s="4" t="s">
        <v>29</v>
      </c>
    </row>
    <row r="5694" spans="1:6" x14ac:dyDescent="0.25">
      <c r="A5694" s="4" t="s">
        <v>78</v>
      </c>
      <c r="B5694" s="4" t="s">
        <v>23</v>
      </c>
      <c r="C5694" s="4" t="s">
        <v>35</v>
      </c>
      <c r="D5694" s="4">
        <v>2009</v>
      </c>
      <c r="E5694" s="4">
        <v>0</v>
      </c>
      <c r="F5694" s="4" t="s">
        <v>29</v>
      </c>
    </row>
    <row r="5695" spans="1:6" x14ac:dyDescent="0.25">
      <c r="A5695" s="4" t="s">
        <v>78</v>
      </c>
      <c r="B5695" s="4" t="s">
        <v>23</v>
      </c>
      <c r="C5695" s="4" t="s">
        <v>35</v>
      </c>
      <c r="D5695" s="4">
        <v>2010</v>
      </c>
      <c r="E5695" s="4">
        <v>0</v>
      </c>
      <c r="F5695" s="4" t="s">
        <v>29</v>
      </c>
    </row>
    <row r="5696" spans="1:6" x14ac:dyDescent="0.25">
      <c r="A5696" s="4" t="s">
        <v>78</v>
      </c>
      <c r="B5696" s="4" t="s">
        <v>23</v>
      </c>
      <c r="C5696" s="4" t="s">
        <v>35</v>
      </c>
      <c r="D5696" s="4">
        <v>2011</v>
      </c>
      <c r="E5696" s="4">
        <v>0</v>
      </c>
      <c r="F5696" s="4" t="s">
        <v>29</v>
      </c>
    </row>
    <row r="5697" spans="1:6" x14ac:dyDescent="0.25">
      <c r="A5697" s="4" t="s">
        <v>78</v>
      </c>
      <c r="B5697" s="4" t="s">
        <v>23</v>
      </c>
      <c r="C5697" s="4" t="s">
        <v>35</v>
      </c>
      <c r="D5697" s="4">
        <v>2012</v>
      </c>
      <c r="E5697" s="4">
        <v>0</v>
      </c>
      <c r="F5697" s="4" t="s">
        <v>29</v>
      </c>
    </row>
    <row r="5698" spans="1:6" x14ac:dyDescent="0.25">
      <c r="A5698" s="4" t="s">
        <v>78</v>
      </c>
      <c r="B5698" s="4" t="s">
        <v>23</v>
      </c>
      <c r="C5698" s="4" t="s">
        <v>35</v>
      </c>
      <c r="D5698" s="4">
        <v>2013</v>
      </c>
      <c r="E5698" s="4">
        <v>0</v>
      </c>
      <c r="F5698" s="4" t="s">
        <v>29</v>
      </c>
    </row>
    <row r="5699" spans="1:6" x14ac:dyDescent="0.25">
      <c r="A5699" s="4" t="s">
        <v>78</v>
      </c>
      <c r="B5699" s="4" t="s">
        <v>23</v>
      </c>
      <c r="C5699" s="4" t="s">
        <v>35</v>
      </c>
      <c r="D5699" s="4">
        <v>2014</v>
      </c>
      <c r="E5699" s="4">
        <v>0</v>
      </c>
      <c r="F5699" s="4" t="s">
        <v>29</v>
      </c>
    </row>
    <row r="5700" spans="1:6" x14ac:dyDescent="0.25">
      <c r="A5700" s="4" t="s">
        <v>78</v>
      </c>
      <c r="B5700" s="4" t="s">
        <v>23</v>
      </c>
      <c r="C5700" s="4" t="s">
        <v>35</v>
      </c>
      <c r="D5700" s="4">
        <v>2015</v>
      </c>
      <c r="E5700" s="4">
        <v>0</v>
      </c>
      <c r="F5700" s="4" t="s">
        <v>29</v>
      </c>
    </row>
    <row r="5701" spans="1:6" x14ac:dyDescent="0.25">
      <c r="A5701" s="4" t="s">
        <v>78</v>
      </c>
      <c r="B5701" s="4" t="s">
        <v>23</v>
      </c>
      <c r="C5701" s="4" t="s">
        <v>35</v>
      </c>
      <c r="D5701" s="4">
        <v>2016</v>
      </c>
      <c r="E5701" s="4">
        <v>0</v>
      </c>
      <c r="F5701" s="4" t="s">
        <v>29</v>
      </c>
    </row>
    <row r="5702" spans="1:6" x14ac:dyDescent="0.25">
      <c r="A5702" s="4" t="s">
        <v>78</v>
      </c>
      <c r="B5702" s="4" t="s">
        <v>23</v>
      </c>
      <c r="C5702" s="4" t="s">
        <v>35</v>
      </c>
      <c r="D5702" s="4">
        <v>2017</v>
      </c>
      <c r="E5702" s="4">
        <v>0</v>
      </c>
      <c r="F5702" s="4" t="s">
        <v>29</v>
      </c>
    </row>
    <row r="5703" spans="1:6" x14ac:dyDescent="0.25">
      <c r="A5703" s="4" t="s">
        <v>78</v>
      </c>
      <c r="B5703" s="4" t="s">
        <v>23</v>
      </c>
      <c r="C5703" s="4" t="s">
        <v>35</v>
      </c>
      <c r="D5703" s="4">
        <v>2018</v>
      </c>
      <c r="E5703" s="4">
        <v>0</v>
      </c>
      <c r="F5703" s="4" t="s">
        <v>29</v>
      </c>
    </row>
    <row r="5704" spans="1:6" x14ac:dyDescent="0.25">
      <c r="A5704" s="4" t="s">
        <v>78</v>
      </c>
      <c r="B5704" s="4" t="s">
        <v>23</v>
      </c>
      <c r="C5704" s="4" t="s">
        <v>35</v>
      </c>
      <c r="D5704" s="4">
        <v>2019</v>
      </c>
      <c r="E5704" s="4">
        <v>0</v>
      </c>
      <c r="F5704" s="4" t="s">
        <v>29</v>
      </c>
    </row>
    <row r="5705" spans="1:6" x14ac:dyDescent="0.25">
      <c r="A5705" s="4" t="s">
        <v>78</v>
      </c>
      <c r="B5705" s="4" t="s">
        <v>23</v>
      </c>
      <c r="C5705" s="4" t="s">
        <v>35</v>
      </c>
      <c r="D5705" s="4">
        <v>2020</v>
      </c>
      <c r="E5705" s="4">
        <v>0</v>
      </c>
      <c r="F5705" s="4" t="s">
        <v>29</v>
      </c>
    </row>
    <row r="5706" spans="1:6" x14ac:dyDescent="0.25">
      <c r="A5706" s="4" t="s">
        <v>78</v>
      </c>
      <c r="B5706" s="4" t="s">
        <v>23</v>
      </c>
      <c r="C5706" s="4" t="s">
        <v>35</v>
      </c>
      <c r="D5706" s="4">
        <v>2021</v>
      </c>
      <c r="E5706" s="4">
        <v>0</v>
      </c>
      <c r="F5706" s="4" t="s">
        <v>29</v>
      </c>
    </row>
    <row r="5707" spans="1:6" x14ac:dyDescent="0.25">
      <c r="A5707" s="4" t="s">
        <v>78</v>
      </c>
      <c r="B5707" s="4" t="s">
        <v>23</v>
      </c>
      <c r="C5707" s="4" t="s">
        <v>35</v>
      </c>
      <c r="D5707" s="4">
        <v>2022</v>
      </c>
      <c r="E5707" s="4">
        <v>0</v>
      </c>
      <c r="F5707" s="4" t="s">
        <v>29</v>
      </c>
    </row>
    <row r="5708" spans="1:6" x14ac:dyDescent="0.25">
      <c r="A5708" s="4" t="s">
        <v>78</v>
      </c>
      <c r="B5708" s="4" t="s">
        <v>23</v>
      </c>
      <c r="C5708" s="4" t="s">
        <v>35</v>
      </c>
      <c r="D5708" s="4">
        <v>2023</v>
      </c>
      <c r="E5708" s="4">
        <v>0</v>
      </c>
      <c r="F5708" s="4" t="s">
        <v>29</v>
      </c>
    </row>
    <row r="5709" spans="1:6" x14ac:dyDescent="0.25">
      <c r="A5709" s="4" t="s">
        <v>78</v>
      </c>
      <c r="B5709" s="4" t="s">
        <v>23</v>
      </c>
      <c r="C5709" s="4" t="s">
        <v>35</v>
      </c>
      <c r="D5709" s="4">
        <v>2024</v>
      </c>
      <c r="E5709" s="4">
        <v>0</v>
      </c>
      <c r="F5709" s="4" t="s">
        <v>29</v>
      </c>
    </row>
    <row r="5710" spans="1:6" x14ac:dyDescent="0.25">
      <c r="A5710" s="4" t="s">
        <v>78</v>
      </c>
      <c r="B5710" s="4" t="s">
        <v>23</v>
      </c>
      <c r="C5710" s="4" t="s">
        <v>35</v>
      </c>
      <c r="D5710" s="4">
        <v>2025</v>
      </c>
      <c r="E5710" s="4">
        <v>0</v>
      </c>
      <c r="F5710" s="4" t="s">
        <v>29</v>
      </c>
    </row>
    <row r="5711" spans="1:6" x14ac:dyDescent="0.25">
      <c r="A5711" s="4" t="s">
        <v>78</v>
      </c>
      <c r="B5711" s="4" t="s">
        <v>23</v>
      </c>
      <c r="C5711" s="4" t="s">
        <v>35</v>
      </c>
      <c r="D5711" s="4">
        <v>2026</v>
      </c>
      <c r="E5711" s="4">
        <v>0</v>
      </c>
      <c r="F5711" s="4" t="s">
        <v>29</v>
      </c>
    </row>
    <row r="5712" spans="1:6" x14ac:dyDescent="0.25">
      <c r="A5712" s="4" t="s">
        <v>78</v>
      </c>
      <c r="B5712" s="4" t="s">
        <v>23</v>
      </c>
      <c r="C5712" s="4" t="s">
        <v>35</v>
      </c>
      <c r="D5712" s="4">
        <v>2027</v>
      </c>
      <c r="E5712" s="4">
        <v>0</v>
      </c>
      <c r="F5712" s="4" t="s">
        <v>29</v>
      </c>
    </row>
    <row r="5713" spans="1:6" x14ac:dyDescent="0.25">
      <c r="A5713" s="4" t="s">
        <v>78</v>
      </c>
      <c r="B5713" s="4" t="s">
        <v>23</v>
      </c>
      <c r="C5713" s="4" t="s">
        <v>35</v>
      </c>
      <c r="D5713" s="4">
        <v>2028</v>
      </c>
      <c r="E5713" s="4">
        <v>0</v>
      </c>
      <c r="F5713" s="4" t="s">
        <v>29</v>
      </c>
    </row>
    <row r="5714" spans="1:6" x14ac:dyDescent="0.25">
      <c r="A5714" s="4" t="s">
        <v>78</v>
      </c>
      <c r="B5714" s="4" t="s">
        <v>23</v>
      </c>
      <c r="C5714" s="4" t="s">
        <v>35</v>
      </c>
      <c r="D5714" s="4">
        <v>2029</v>
      </c>
      <c r="E5714" s="4">
        <v>0</v>
      </c>
      <c r="F5714" s="4" t="s">
        <v>29</v>
      </c>
    </row>
    <row r="5715" spans="1:6" x14ac:dyDescent="0.25">
      <c r="A5715" s="4" t="s">
        <v>78</v>
      </c>
      <c r="B5715" s="4" t="s">
        <v>23</v>
      </c>
      <c r="C5715" s="4" t="s">
        <v>35</v>
      </c>
      <c r="D5715" s="4">
        <v>2030</v>
      </c>
      <c r="E5715" s="4">
        <v>0</v>
      </c>
      <c r="F5715" s="4" t="s">
        <v>29</v>
      </c>
    </row>
    <row r="5716" spans="1:6" x14ac:dyDescent="0.25">
      <c r="A5716" s="4" t="s">
        <v>78</v>
      </c>
      <c r="B5716" s="4" t="s">
        <v>23</v>
      </c>
      <c r="C5716" s="4" t="s">
        <v>35</v>
      </c>
      <c r="D5716" s="4">
        <v>2031</v>
      </c>
      <c r="E5716" s="4">
        <v>0</v>
      </c>
      <c r="F5716" s="4" t="s">
        <v>29</v>
      </c>
    </row>
    <row r="5717" spans="1:6" x14ac:dyDescent="0.25">
      <c r="A5717" s="4" t="s">
        <v>78</v>
      </c>
      <c r="B5717" s="4" t="s">
        <v>23</v>
      </c>
      <c r="C5717" s="4" t="s">
        <v>35</v>
      </c>
      <c r="D5717" s="4">
        <v>2032</v>
      </c>
      <c r="E5717" s="4">
        <v>0</v>
      </c>
      <c r="F5717" s="4" t="s">
        <v>29</v>
      </c>
    </row>
    <row r="5718" spans="1:6" x14ac:dyDescent="0.25">
      <c r="A5718" s="4" t="s">
        <v>78</v>
      </c>
      <c r="B5718" s="4" t="s">
        <v>23</v>
      </c>
      <c r="C5718" s="4" t="s">
        <v>35</v>
      </c>
      <c r="D5718" s="4">
        <v>2033</v>
      </c>
      <c r="E5718" s="4">
        <v>0</v>
      </c>
      <c r="F5718" s="4" t="s">
        <v>29</v>
      </c>
    </row>
    <row r="5719" spans="1:6" x14ac:dyDescent="0.25">
      <c r="A5719" s="4" t="s">
        <v>78</v>
      </c>
      <c r="B5719" s="4" t="s">
        <v>23</v>
      </c>
      <c r="C5719" s="4" t="s">
        <v>35</v>
      </c>
      <c r="D5719" s="4">
        <v>2034</v>
      </c>
      <c r="E5719" s="4">
        <v>0</v>
      </c>
      <c r="F5719" s="4" t="s">
        <v>29</v>
      </c>
    </row>
    <row r="5720" spans="1:6" x14ac:dyDescent="0.25">
      <c r="A5720" s="4" t="s">
        <v>78</v>
      </c>
      <c r="B5720" s="4" t="s">
        <v>23</v>
      </c>
      <c r="C5720" s="4" t="s">
        <v>35</v>
      </c>
      <c r="D5720" s="4">
        <v>2035</v>
      </c>
      <c r="E5720" s="4">
        <v>0</v>
      </c>
      <c r="F5720" s="4" t="s">
        <v>29</v>
      </c>
    </row>
    <row r="5721" spans="1:6" x14ac:dyDescent="0.25">
      <c r="A5721" s="4" t="s">
        <v>78</v>
      </c>
      <c r="B5721" s="4" t="s">
        <v>23</v>
      </c>
      <c r="C5721" s="4" t="s">
        <v>35</v>
      </c>
      <c r="D5721" s="4">
        <v>2036</v>
      </c>
      <c r="E5721" s="4">
        <v>0</v>
      </c>
      <c r="F5721" s="4" t="s">
        <v>29</v>
      </c>
    </row>
    <row r="5722" spans="1:6" x14ac:dyDescent="0.25">
      <c r="A5722" s="4" t="s">
        <v>78</v>
      </c>
      <c r="B5722" s="4" t="s">
        <v>23</v>
      </c>
      <c r="C5722" s="4" t="s">
        <v>35</v>
      </c>
      <c r="D5722" s="4">
        <v>2037</v>
      </c>
      <c r="E5722" s="4">
        <v>0</v>
      </c>
      <c r="F5722" s="4" t="s">
        <v>29</v>
      </c>
    </row>
    <row r="5723" spans="1:6" x14ac:dyDescent="0.25">
      <c r="A5723" s="4" t="s">
        <v>78</v>
      </c>
      <c r="B5723" s="4" t="s">
        <v>23</v>
      </c>
      <c r="C5723" s="4" t="s">
        <v>35</v>
      </c>
      <c r="D5723" s="4">
        <v>2038</v>
      </c>
      <c r="E5723" s="4">
        <v>0</v>
      </c>
      <c r="F5723" s="4" t="s">
        <v>29</v>
      </c>
    </row>
    <row r="5724" spans="1:6" x14ac:dyDescent="0.25">
      <c r="A5724" s="4" t="s">
        <v>78</v>
      </c>
      <c r="B5724" s="4" t="s">
        <v>23</v>
      </c>
      <c r="C5724" s="4" t="s">
        <v>35</v>
      </c>
      <c r="D5724" s="4">
        <v>2039</v>
      </c>
      <c r="E5724" s="4">
        <v>0</v>
      </c>
      <c r="F5724" s="4" t="s">
        <v>29</v>
      </c>
    </row>
    <row r="5725" spans="1:6" x14ac:dyDescent="0.25">
      <c r="A5725" s="4" t="s">
        <v>78</v>
      </c>
      <c r="B5725" s="4" t="s">
        <v>23</v>
      </c>
      <c r="C5725" s="4" t="s">
        <v>35</v>
      </c>
      <c r="D5725" s="4">
        <v>2040</v>
      </c>
      <c r="E5725" s="4">
        <v>0</v>
      </c>
      <c r="F5725" s="4" t="s">
        <v>29</v>
      </c>
    </row>
    <row r="5726" spans="1:6" x14ac:dyDescent="0.25">
      <c r="A5726" s="4" t="s">
        <v>79</v>
      </c>
      <c r="B5726" s="4" t="s">
        <v>1</v>
      </c>
      <c r="C5726" s="4" t="s">
        <v>35</v>
      </c>
      <c r="D5726" s="4">
        <v>2005</v>
      </c>
      <c r="E5726" s="4">
        <v>0</v>
      </c>
      <c r="F5726" s="4" t="s">
        <v>29</v>
      </c>
    </row>
    <row r="5727" spans="1:6" x14ac:dyDescent="0.25">
      <c r="A5727" s="4" t="s">
        <v>79</v>
      </c>
      <c r="B5727" s="4" t="s">
        <v>1</v>
      </c>
      <c r="C5727" s="4" t="s">
        <v>35</v>
      </c>
      <c r="D5727" s="4">
        <v>2006</v>
      </c>
      <c r="E5727" s="4">
        <v>0</v>
      </c>
      <c r="F5727" s="4" t="s">
        <v>29</v>
      </c>
    </row>
    <row r="5728" spans="1:6" x14ac:dyDescent="0.25">
      <c r="A5728" s="4" t="s">
        <v>79</v>
      </c>
      <c r="B5728" s="4" t="s">
        <v>1</v>
      </c>
      <c r="C5728" s="4" t="s">
        <v>35</v>
      </c>
      <c r="D5728" s="4">
        <v>2007</v>
      </c>
      <c r="E5728" s="4">
        <v>0</v>
      </c>
      <c r="F5728" s="4" t="s">
        <v>29</v>
      </c>
    </row>
    <row r="5729" spans="1:6" x14ac:dyDescent="0.25">
      <c r="A5729" s="4" t="s">
        <v>79</v>
      </c>
      <c r="B5729" s="4" t="s">
        <v>1</v>
      </c>
      <c r="C5729" s="4" t="s">
        <v>35</v>
      </c>
      <c r="D5729" s="4">
        <v>2008</v>
      </c>
      <c r="E5729" s="4">
        <v>0</v>
      </c>
      <c r="F5729" s="4" t="s">
        <v>29</v>
      </c>
    </row>
    <row r="5730" spans="1:6" x14ac:dyDescent="0.25">
      <c r="A5730" s="4" t="s">
        <v>79</v>
      </c>
      <c r="B5730" s="4" t="s">
        <v>1</v>
      </c>
      <c r="C5730" s="4" t="s">
        <v>35</v>
      </c>
      <c r="D5730" s="4">
        <v>2009</v>
      </c>
      <c r="E5730" s="4">
        <v>0</v>
      </c>
      <c r="F5730" s="4" t="s">
        <v>29</v>
      </c>
    </row>
    <row r="5731" spans="1:6" x14ac:dyDescent="0.25">
      <c r="A5731" s="4" t="s">
        <v>79</v>
      </c>
      <c r="B5731" s="4" t="s">
        <v>1</v>
      </c>
      <c r="C5731" s="4" t="s">
        <v>35</v>
      </c>
      <c r="D5731" s="4">
        <v>2010</v>
      </c>
      <c r="E5731" s="4">
        <v>0</v>
      </c>
      <c r="F5731" s="4" t="s">
        <v>29</v>
      </c>
    </row>
    <row r="5732" spans="1:6" x14ac:dyDescent="0.25">
      <c r="A5732" s="4" t="s">
        <v>79</v>
      </c>
      <c r="B5732" s="4" t="s">
        <v>1</v>
      </c>
      <c r="C5732" s="4" t="s">
        <v>35</v>
      </c>
      <c r="D5732" s="4">
        <v>2011</v>
      </c>
      <c r="E5732" s="4">
        <v>0</v>
      </c>
      <c r="F5732" s="4" t="s">
        <v>29</v>
      </c>
    </row>
    <row r="5733" spans="1:6" x14ac:dyDescent="0.25">
      <c r="A5733" s="4" t="s">
        <v>79</v>
      </c>
      <c r="B5733" s="4" t="s">
        <v>1</v>
      </c>
      <c r="C5733" s="4" t="s">
        <v>35</v>
      </c>
      <c r="D5733" s="4">
        <v>2012</v>
      </c>
      <c r="E5733" s="4">
        <v>0</v>
      </c>
      <c r="F5733" s="4" t="s">
        <v>29</v>
      </c>
    </row>
    <row r="5734" spans="1:6" x14ac:dyDescent="0.25">
      <c r="A5734" s="4" t="s">
        <v>79</v>
      </c>
      <c r="B5734" s="4" t="s">
        <v>1</v>
      </c>
      <c r="C5734" s="4" t="s">
        <v>35</v>
      </c>
      <c r="D5734" s="4">
        <v>2013</v>
      </c>
      <c r="E5734" s="4">
        <v>0</v>
      </c>
      <c r="F5734" s="4" t="s">
        <v>29</v>
      </c>
    </row>
    <row r="5735" spans="1:6" x14ac:dyDescent="0.25">
      <c r="A5735" s="4" t="s">
        <v>79</v>
      </c>
      <c r="B5735" s="4" t="s">
        <v>1</v>
      </c>
      <c r="C5735" s="4" t="s">
        <v>35</v>
      </c>
      <c r="D5735" s="4">
        <v>2014</v>
      </c>
      <c r="E5735" s="4">
        <v>0</v>
      </c>
      <c r="F5735" s="4" t="s">
        <v>29</v>
      </c>
    </row>
    <row r="5736" spans="1:6" x14ac:dyDescent="0.25">
      <c r="A5736" s="4" t="s">
        <v>79</v>
      </c>
      <c r="B5736" s="4" t="s">
        <v>1</v>
      </c>
      <c r="C5736" s="4" t="s">
        <v>35</v>
      </c>
      <c r="D5736" s="4">
        <v>2015</v>
      </c>
      <c r="E5736" s="4">
        <v>0</v>
      </c>
      <c r="F5736" s="4" t="s">
        <v>29</v>
      </c>
    </row>
    <row r="5737" spans="1:6" x14ac:dyDescent="0.25">
      <c r="A5737" s="4" t="s">
        <v>79</v>
      </c>
      <c r="B5737" s="4" t="s">
        <v>1</v>
      </c>
      <c r="C5737" s="4" t="s">
        <v>35</v>
      </c>
      <c r="D5737" s="4">
        <v>2016</v>
      </c>
      <c r="E5737" s="4">
        <v>0</v>
      </c>
      <c r="F5737" s="4" t="s">
        <v>29</v>
      </c>
    </row>
    <row r="5738" spans="1:6" x14ac:dyDescent="0.25">
      <c r="A5738" s="4" t="s">
        <v>79</v>
      </c>
      <c r="B5738" s="4" t="s">
        <v>1</v>
      </c>
      <c r="C5738" s="4" t="s">
        <v>35</v>
      </c>
      <c r="D5738" s="4">
        <v>2017</v>
      </c>
      <c r="E5738" s="4">
        <v>0</v>
      </c>
      <c r="F5738" s="4" t="s">
        <v>29</v>
      </c>
    </row>
    <row r="5739" spans="1:6" x14ac:dyDescent="0.25">
      <c r="A5739" s="4" t="s">
        <v>79</v>
      </c>
      <c r="B5739" s="4" t="s">
        <v>1</v>
      </c>
      <c r="C5739" s="4" t="s">
        <v>35</v>
      </c>
      <c r="D5739" s="4">
        <v>2018</v>
      </c>
      <c r="E5739" s="4">
        <v>0</v>
      </c>
      <c r="F5739" s="4" t="s">
        <v>29</v>
      </c>
    </row>
    <row r="5740" spans="1:6" x14ac:dyDescent="0.25">
      <c r="A5740" s="4" t="s">
        <v>79</v>
      </c>
      <c r="B5740" s="4" t="s">
        <v>1</v>
      </c>
      <c r="C5740" s="4" t="s">
        <v>35</v>
      </c>
      <c r="D5740" s="4">
        <v>2019</v>
      </c>
      <c r="E5740" s="4">
        <v>0</v>
      </c>
      <c r="F5740" s="4" t="s">
        <v>29</v>
      </c>
    </row>
    <row r="5741" spans="1:6" x14ac:dyDescent="0.25">
      <c r="A5741" s="4" t="s">
        <v>79</v>
      </c>
      <c r="B5741" s="4" t="s">
        <v>1</v>
      </c>
      <c r="C5741" s="4" t="s">
        <v>35</v>
      </c>
      <c r="D5741" s="4">
        <v>2020</v>
      </c>
      <c r="E5741" s="4">
        <v>0</v>
      </c>
      <c r="F5741" s="4" t="s">
        <v>29</v>
      </c>
    </row>
    <row r="5742" spans="1:6" x14ac:dyDescent="0.25">
      <c r="A5742" s="4" t="s">
        <v>79</v>
      </c>
      <c r="B5742" s="4" t="s">
        <v>1</v>
      </c>
      <c r="C5742" s="4" t="s">
        <v>35</v>
      </c>
      <c r="D5742" s="4">
        <v>2021</v>
      </c>
      <c r="E5742" s="4">
        <v>0</v>
      </c>
      <c r="F5742" s="4" t="s">
        <v>29</v>
      </c>
    </row>
    <row r="5743" spans="1:6" x14ac:dyDescent="0.25">
      <c r="A5743" s="4" t="s">
        <v>79</v>
      </c>
      <c r="B5743" s="4" t="s">
        <v>1</v>
      </c>
      <c r="C5743" s="4" t="s">
        <v>35</v>
      </c>
      <c r="D5743" s="4">
        <v>2022</v>
      </c>
      <c r="E5743" s="4">
        <v>0</v>
      </c>
      <c r="F5743" s="4" t="s">
        <v>29</v>
      </c>
    </row>
    <row r="5744" spans="1:6" x14ac:dyDescent="0.25">
      <c r="A5744" s="4" t="s">
        <v>79</v>
      </c>
      <c r="B5744" s="4" t="s">
        <v>1</v>
      </c>
      <c r="C5744" s="4" t="s">
        <v>35</v>
      </c>
      <c r="D5744" s="4">
        <v>2023</v>
      </c>
      <c r="E5744" s="4">
        <v>0</v>
      </c>
      <c r="F5744" s="4" t="s">
        <v>29</v>
      </c>
    </row>
    <row r="5745" spans="1:6" x14ac:dyDescent="0.25">
      <c r="A5745" s="4" t="s">
        <v>79</v>
      </c>
      <c r="B5745" s="4" t="s">
        <v>1</v>
      </c>
      <c r="C5745" s="4" t="s">
        <v>35</v>
      </c>
      <c r="D5745" s="4">
        <v>2024</v>
      </c>
      <c r="E5745" s="4">
        <v>0</v>
      </c>
      <c r="F5745" s="4" t="s">
        <v>29</v>
      </c>
    </row>
    <row r="5746" spans="1:6" x14ac:dyDescent="0.25">
      <c r="A5746" s="4" t="s">
        <v>79</v>
      </c>
      <c r="B5746" s="4" t="s">
        <v>1</v>
      </c>
      <c r="C5746" s="4" t="s">
        <v>35</v>
      </c>
      <c r="D5746" s="4">
        <v>2025</v>
      </c>
      <c r="E5746" s="4">
        <v>0</v>
      </c>
      <c r="F5746" s="4" t="s">
        <v>29</v>
      </c>
    </row>
    <row r="5747" spans="1:6" x14ac:dyDescent="0.25">
      <c r="A5747" s="4" t="s">
        <v>79</v>
      </c>
      <c r="B5747" s="4" t="s">
        <v>1</v>
      </c>
      <c r="C5747" s="4" t="s">
        <v>35</v>
      </c>
      <c r="D5747" s="4">
        <v>2026</v>
      </c>
      <c r="E5747" s="4">
        <v>0</v>
      </c>
      <c r="F5747" s="4" t="s">
        <v>29</v>
      </c>
    </row>
    <row r="5748" spans="1:6" x14ac:dyDescent="0.25">
      <c r="A5748" s="4" t="s">
        <v>79</v>
      </c>
      <c r="B5748" s="4" t="s">
        <v>1</v>
      </c>
      <c r="C5748" s="4" t="s">
        <v>35</v>
      </c>
      <c r="D5748" s="4">
        <v>2027</v>
      </c>
      <c r="E5748" s="4">
        <v>0</v>
      </c>
      <c r="F5748" s="4" t="s">
        <v>29</v>
      </c>
    </row>
    <row r="5749" spans="1:6" x14ac:dyDescent="0.25">
      <c r="A5749" s="4" t="s">
        <v>79</v>
      </c>
      <c r="B5749" s="4" t="s">
        <v>1</v>
      </c>
      <c r="C5749" s="4" t="s">
        <v>35</v>
      </c>
      <c r="D5749" s="4">
        <v>2028</v>
      </c>
      <c r="E5749" s="4">
        <v>0</v>
      </c>
      <c r="F5749" s="4" t="s">
        <v>29</v>
      </c>
    </row>
    <row r="5750" spans="1:6" x14ac:dyDescent="0.25">
      <c r="A5750" s="4" t="s">
        <v>79</v>
      </c>
      <c r="B5750" s="4" t="s">
        <v>1</v>
      </c>
      <c r="C5750" s="4" t="s">
        <v>35</v>
      </c>
      <c r="D5750" s="4">
        <v>2029</v>
      </c>
      <c r="E5750" s="4">
        <v>0</v>
      </c>
      <c r="F5750" s="4" t="s">
        <v>29</v>
      </c>
    </row>
    <row r="5751" spans="1:6" x14ac:dyDescent="0.25">
      <c r="A5751" s="4" t="s">
        <v>79</v>
      </c>
      <c r="B5751" s="4" t="s">
        <v>1</v>
      </c>
      <c r="C5751" s="4" t="s">
        <v>35</v>
      </c>
      <c r="D5751" s="4">
        <v>2030</v>
      </c>
      <c r="E5751" s="4">
        <v>0</v>
      </c>
      <c r="F5751" s="4" t="s">
        <v>29</v>
      </c>
    </row>
    <row r="5752" spans="1:6" x14ac:dyDescent="0.25">
      <c r="A5752" s="4" t="s">
        <v>79</v>
      </c>
      <c r="B5752" s="4" t="s">
        <v>1</v>
      </c>
      <c r="C5752" s="4" t="s">
        <v>35</v>
      </c>
      <c r="D5752" s="4">
        <v>2031</v>
      </c>
      <c r="E5752" s="4">
        <v>0</v>
      </c>
      <c r="F5752" s="4" t="s">
        <v>29</v>
      </c>
    </row>
    <row r="5753" spans="1:6" x14ac:dyDescent="0.25">
      <c r="A5753" s="4" t="s">
        <v>79</v>
      </c>
      <c r="B5753" s="4" t="s">
        <v>1</v>
      </c>
      <c r="C5753" s="4" t="s">
        <v>35</v>
      </c>
      <c r="D5753" s="4">
        <v>2032</v>
      </c>
      <c r="E5753" s="4">
        <v>0</v>
      </c>
      <c r="F5753" s="4" t="s">
        <v>29</v>
      </c>
    </row>
    <row r="5754" spans="1:6" x14ac:dyDescent="0.25">
      <c r="A5754" s="4" t="s">
        <v>79</v>
      </c>
      <c r="B5754" s="4" t="s">
        <v>1</v>
      </c>
      <c r="C5754" s="4" t="s">
        <v>35</v>
      </c>
      <c r="D5754" s="4">
        <v>2033</v>
      </c>
      <c r="E5754" s="4">
        <v>0</v>
      </c>
      <c r="F5754" s="4" t="s">
        <v>29</v>
      </c>
    </row>
    <row r="5755" spans="1:6" x14ac:dyDescent="0.25">
      <c r="A5755" s="4" t="s">
        <v>79</v>
      </c>
      <c r="B5755" s="4" t="s">
        <v>1</v>
      </c>
      <c r="C5755" s="4" t="s">
        <v>35</v>
      </c>
      <c r="D5755" s="4">
        <v>2034</v>
      </c>
      <c r="E5755" s="4">
        <v>0</v>
      </c>
      <c r="F5755" s="4" t="s">
        <v>29</v>
      </c>
    </row>
    <row r="5756" spans="1:6" x14ac:dyDescent="0.25">
      <c r="A5756" s="4" t="s">
        <v>79</v>
      </c>
      <c r="B5756" s="4" t="s">
        <v>1</v>
      </c>
      <c r="C5756" s="4" t="s">
        <v>35</v>
      </c>
      <c r="D5756" s="4">
        <v>2035</v>
      </c>
      <c r="E5756" s="4">
        <v>0</v>
      </c>
      <c r="F5756" s="4" t="s">
        <v>29</v>
      </c>
    </row>
    <row r="5757" spans="1:6" x14ac:dyDescent="0.25">
      <c r="A5757" s="4" t="s">
        <v>79</v>
      </c>
      <c r="B5757" s="4" t="s">
        <v>1</v>
      </c>
      <c r="C5757" s="4" t="s">
        <v>35</v>
      </c>
      <c r="D5757" s="4">
        <v>2036</v>
      </c>
      <c r="E5757" s="4">
        <v>0</v>
      </c>
      <c r="F5757" s="4" t="s">
        <v>29</v>
      </c>
    </row>
    <row r="5758" spans="1:6" x14ac:dyDescent="0.25">
      <c r="A5758" s="4" t="s">
        <v>79</v>
      </c>
      <c r="B5758" s="4" t="s">
        <v>1</v>
      </c>
      <c r="C5758" s="4" t="s">
        <v>35</v>
      </c>
      <c r="D5758" s="4">
        <v>2037</v>
      </c>
      <c r="E5758" s="4">
        <v>0</v>
      </c>
      <c r="F5758" s="4" t="s">
        <v>29</v>
      </c>
    </row>
    <row r="5759" spans="1:6" x14ac:dyDescent="0.25">
      <c r="A5759" s="4" t="s">
        <v>79</v>
      </c>
      <c r="B5759" s="4" t="s">
        <v>1</v>
      </c>
      <c r="C5759" s="4" t="s">
        <v>35</v>
      </c>
      <c r="D5759" s="4">
        <v>2038</v>
      </c>
      <c r="E5759" s="4">
        <v>0</v>
      </c>
      <c r="F5759" s="4" t="s">
        <v>29</v>
      </c>
    </row>
    <row r="5760" spans="1:6" x14ac:dyDescent="0.25">
      <c r="A5760" s="4" t="s">
        <v>79</v>
      </c>
      <c r="B5760" s="4" t="s">
        <v>1</v>
      </c>
      <c r="C5760" s="4" t="s">
        <v>35</v>
      </c>
      <c r="D5760" s="4">
        <v>2039</v>
      </c>
      <c r="E5760" s="4">
        <v>0</v>
      </c>
      <c r="F5760" s="4" t="s">
        <v>29</v>
      </c>
    </row>
    <row r="5761" spans="1:6" x14ac:dyDescent="0.25">
      <c r="A5761" s="4" t="s">
        <v>79</v>
      </c>
      <c r="B5761" s="4" t="s">
        <v>1</v>
      </c>
      <c r="C5761" s="4" t="s">
        <v>35</v>
      </c>
      <c r="D5761" s="4">
        <v>2040</v>
      </c>
      <c r="E5761" s="4">
        <v>0</v>
      </c>
      <c r="F5761" s="4" t="s">
        <v>29</v>
      </c>
    </row>
    <row r="5762" spans="1:6" x14ac:dyDescent="0.25">
      <c r="A5762" s="4" t="s">
        <v>79</v>
      </c>
      <c r="B5762" s="4" t="s">
        <v>3</v>
      </c>
      <c r="C5762" s="4" t="s">
        <v>35</v>
      </c>
      <c r="D5762" s="4">
        <v>2005</v>
      </c>
      <c r="E5762" s="4">
        <v>2050</v>
      </c>
      <c r="F5762" s="4" t="s">
        <v>29</v>
      </c>
    </row>
    <row r="5763" spans="1:6" x14ac:dyDescent="0.25">
      <c r="A5763" s="4" t="s">
        <v>79</v>
      </c>
      <c r="B5763" s="4" t="s">
        <v>3</v>
      </c>
      <c r="C5763" s="4" t="s">
        <v>35</v>
      </c>
      <c r="D5763" s="4">
        <v>2006</v>
      </c>
      <c r="E5763" s="4">
        <v>1910</v>
      </c>
      <c r="F5763" s="4" t="s">
        <v>29</v>
      </c>
    </row>
    <row r="5764" spans="1:6" x14ac:dyDescent="0.25">
      <c r="A5764" s="4" t="s">
        <v>79</v>
      </c>
      <c r="B5764" s="4" t="s">
        <v>3</v>
      </c>
      <c r="C5764" s="4" t="s">
        <v>35</v>
      </c>
      <c r="D5764" s="4">
        <v>2007</v>
      </c>
      <c r="E5764" s="4">
        <v>1890</v>
      </c>
      <c r="F5764" s="4" t="s">
        <v>29</v>
      </c>
    </row>
    <row r="5765" spans="1:6" x14ac:dyDescent="0.25">
      <c r="A5765" s="4" t="s">
        <v>79</v>
      </c>
      <c r="B5765" s="4" t="s">
        <v>3</v>
      </c>
      <c r="C5765" s="4" t="s">
        <v>35</v>
      </c>
      <c r="D5765" s="4">
        <v>2008</v>
      </c>
      <c r="E5765" s="4">
        <v>1750</v>
      </c>
      <c r="F5765" s="4" t="s">
        <v>29</v>
      </c>
    </row>
    <row r="5766" spans="1:6" x14ac:dyDescent="0.25">
      <c r="A5766" s="4" t="s">
        <v>79</v>
      </c>
      <c r="B5766" s="4" t="s">
        <v>3</v>
      </c>
      <c r="C5766" s="4" t="s">
        <v>35</v>
      </c>
      <c r="D5766" s="4">
        <v>2009</v>
      </c>
      <c r="E5766" s="4">
        <v>1130</v>
      </c>
      <c r="F5766" s="4" t="s">
        <v>29</v>
      </c>
    </row>
    <row r="5767" spans="1:6" x14ac:dyDescent="0.25">
      <c r="A5767" s="4" t="s">
        <v>79</v>
      </c>
      <c r="B5767" s="4" t="s">
        <v>3</v>
      </c>
      <c r="C5767" s="4" t="s">
        <v>35</v>
      </c>
      <c r="D5767" s="4">
        <v>2010</v>
      </c>
      <c r="E5767" s="4">
        <v>1070</v>
      </c>
      <c r="F5767" s="4" t="s">
        <v>29</v>
      </c>
    </row>
    <row r="5768" spans="1:6" x14ac:dyDescent="0.25">
      <c r="A5768" s="4" t="s">
        <v>79</v>
      </c>
      <c r="B5768" s="4" t="s">
        <v>3</v>
      </c>
      <c r="C5768" s="4" t="s">
        <v>35</v>
      </c>
      <c r="D5768" s="4">
        <v>2011</v>
      </c>
      <c r="E5768" s="4">
        <v>860</v>
      </c>
      <c r="F5768" s="4" t="s">
        <v>29</v>
      </c>
    </row>
    <row r="5769" spans="1:6" x14ac:dyDescent="0.25">
      <c r="A5769" s="4" t="s">
        <v>79</v>
      </c>
      <c r="B5769" s="4" t="s">
        <v>3</v>
      </c>
      <c r="C5769" s="4" t="s">
        <v>35</v>
      </c>
      <c r="D5769" s="4">
        <v>2012</v>
      </c>
      <c r="E5769" s="4">
        <v>580</v>
      </c>
      <c r="F5769" s="4" t="s">
        <v>29</v>
      </c>
    </row>
    <row r="5770" spans="1:6" x14ac:dyDescent="0.25">
      <c r="A5770" s="4" t="s">
        <v>79</v>
      </c>
      <c r="B5770" s="4" t="s">
        <v>3</v>
      </c>
      <c r="C5770" s="4" t="s">
        <v>35</v>
      </c>
      <c r="D5770" s="4">
        <v>2013</v>
      </c>
      <c r="E5770" s="4">
        <v>330</v>
      </c>
      <c r="F5770" s="4" t="s">
        <v>29</v>
      </c>
    </row>
    <row r="5771" spans="1:6" x14ac:dyDescent="0.25">
      <c r="A5771" s="4" t="s">
        <v>79</v>
      </c>
      <c r="B5771" s="4" t="s">
        <v>3</v>
      </c>
      <c r="C5771" s="4" t="s">
        <v>35</v>
      </c>
      <c r="D5771" s="4">
        <v>2014</v>
      </c>
      <c r="E5771" s="4">
        <v>460</v>
      </c>
      <c r="F5771" s="4" t="s">
        <v>29</v>
      </c>
    </row>
    <row r="5772" spans="1:6" x14ac:dyDescent="0.25">
      <c r="A5772" s="4" t="s">
        <v>79</v>
      </c>
      <c r="B5772" s="4" t="s">
        <v>3</v>
      </c>
      <c r="C5772" s="4" t="s">
        <v>35</v>
      </c>
      <c r="D5772" s="4">
        <v>2015</v>
      </c>
      <c r="E5772" s="4">
        <v>439.2230136986301</v>
      </c>
      <c r="F5772" s="4" t="s">
        <v>29</v>
      </c>
    </row>
    <row r="5773" spans="1:6" x14ac:dyDescent="0.25">
      <c r="A5773" s="4" t="s">
        <v>79</v>
      </c>
      <c r="B5773" s="4" t="s">
        <v>3</v>
      </c>
      <c r="C5773" s="4" t="s">
        <v>35</v>
      </c>
      <c r="D5773" s="4">
        <v>2016</v>
      </c>
      <c r="E5773" s="4">
        <v>416.31040165903886</v>
      </c>
      <c r="F5773" s="4" t="s">
        <v>29</v>
      </c>
    </row>
    <row r="5774" spans="1:6" x14ac:dyDescent="0.25">
      <c r="A5774" s="4" t="s">
        <v>79</v>
      </c>
      <c r="B5774" s="4" t="s">
        <v>3</v>
      </c>
      <c r="C5774" s="4" t="s">
        <v>35</v>
      </c>
      <c r="D5774" s="4">
        <v>2017</v>
      </c>
      <c r="E5774" s="4">
        <v>312</v>
      </c>
      <c r="F5774" s="4" t="s">
        <v>29</v>
      </c>
    </row>
    <row r="5775" spans="1:6" x14ac:dyDescent="0.25">
      <c r="A5775" s="4" t="s">
        <v>79</v>
      </c>
      <c r="B5775" s="4" t="s">
        <v>3</v>
      </c>
      <c r="C5775" s="4" t="s">
        <v>35</v>
      </c>
      <c r="D5775" s="4">
        <v>2018</v>
      </c>
      <c r="E5775" s="4">
        <v>275</v>
      </c>
      <c r="F5775" s="4" t="s">
        <v>29</v>
      </c>
    </row>
    <row r="5776" spans="1:6" x14ac:dyDescent="0.25">
      <c r="A5776" s="4" t="s">
        <v>79</v>
      </c>
      <c r="B5776" s="4" t="s">
        <v>3</v>
      </c>
      <c r="C5776" s="4" t="s">
        <v>35</v>
      </c>
      <c r="D5776" s="4">
        <v>2019</v>
      </c>
      <c r="E5776" s="4">
        <v>211</v>
      </c>
      <c r="F5776" s="4" t="s">
        <v>29</v>
      </c>
    </row>
    <row r="5777" spans="1:6" x14ac:dyDescent="0.25">
      <c r="A5777" s="4" t="s">
        <v>79</v>
      </c>
      <c r="B5777" s="4" t="s">
        <v>3</v>
      </c>
      <c r="C5777" s="4" t="s">
        <v>35</v>
      </c>
      <c r="D5777" s="4">
        <v>2020</v>
      </c>
      <c r="E5777" s="4">
        <v>195</v>
      </c>
      <c r="F5777" s="4" t="s">
        <v>29</v>
      </c>
    </row>
    <row r="5778" spans="1:6" x14ac:dyDescent="0.25">
      <c r="A5778" s="4" t="s">
        <v>79</v>
      </c>
      <c r="B5778" s="4" t="s">
        <v>3</v>
      </c>
      <c r="C5778" s="4" t="s">
        <v>35</v>
      </c>
      <c r="D5778" s="4">
        <v>2021</v>
      </c>
      <c r="E5778" s="4">
        <v>170</v>
      </c>
      <c r="F5778" s="4" t="s">
        <v>29</v>
      </c>
    </row>
    <row r="5779" spans="1:6" x14ac:dyDescent="0.25">
      <c r="A5779" s="4" t="s">
        <v>79</v>
      </c>
      <c r="B5779" s="4" t="s">
        <v>3</v>
      </c>
      <c r="C5779" s="4" t="s">
        <v>35</v>
      </c>
      <c r="D5779" s="4">
        <v>2022</v>
      </c>
      <c r="E5779" s="4">
        <v>0</v>
      </c>
      <c r="F5779" s="4" t="s">
        <v>29</v>
      </c>
    </row>
    <row r="5780" spans="1:6" x14ac:dyDescent="0.25">
      <c r="A5780" s="4" t="s">
        <v>79</v>
      </c>
      <c r="B5780" s="4" t="s">
        <v>3</v>
      </c>
      <c r="C5780" s="4" t="s">
        <v>35</v>
      </c>
      <c r="D5780" s="4">
        <v>2023</v>
      </c>
      <c r="E5780" s="4">
        <v>0</v>
      </c>
      <c r="F5780" s="4" t="s">
        <v>29</v>
      </c>
    </row>
    <row r="5781" spans="1:6" x14ac:dyDescent="0.25">
      <c r="A5781" s="4" t="s">
        <v>79</v>
      </c>
      <c r="B5781" s="4" t="s">
        <v>3</v>
      </c>
      <c r="C5781" s="4" t="s">
        <v>35</v>
      </c>
      <c r="D5781" s="4">
        <v>2024</v>
      </c>
      <c r="E5781" s="4">
        <v>0</v>
      </c>
      <c r="F5781" s="4" t="s">
        <v>29</v>
      </c>
    </row>
    <row r="5782" spans="1:6" x14ac:dyDescent="0.25">
      <c r="A5782" s="4" t="s">
        <v>79</v>
      </c>
      <c r="B5782" s="4" t="s">
        <v>3</v>
      </c>
      <c r="C5782" s="4" t="s">
        <v>35</v>
      </c>
      <c r="D5782" s="4">
        <v>2025</v>
      </c>
      <c r="E5782" s="4">
        <v>0</v>
      </c>
      <c r="F5782" s="4" t="s">
        <v>29</v>
      </c>
    </row>
    <row r="5783" spans="1:6" x14ac:dyDescent="0.25">
      <c r="A5783" s="4" t="s">
        <v>79</v>
      </c>
      <c r="B5783" s="4" t="s">
        <v>3</v>
      </c>
      <c r="C5783" s="4" t="s">
        <v>35</v>
      </c>
      <c r="D5783" s="4">
        <v>2026</v>
      </c>
      <c r="E5783" s="4">
        <v>0</v>
      </c>
      <c r="F5783" s="4" t="s">
        <v>29</v>
      </c>
    </row>
    <row r="5784" spans="1:6" x14ac:dyDescent="0.25">
      <c r="A5784" s="4" t="s">
        <v>79</v>
      </c>
      <c r="B5784" s="4" t="s">
        <v>3</v>
      </c>
      <c r="C5784" s="4" t="s">
        <v>35</v>
      </c>
      <c r="D5784" s="4">
        <v>2027</v>
      </c>
      <c r="E5784" s="4">
        <v>0</v>
      </c>
      <c r="F5784" s="4" t="s">
        <v>29</v>
      </c>
    </row>
    <row r="5785" spans="1:6" x14ac:dyDescent="0.25">
      <c r="A5785" s="4" t="s">
        <v>79</v>
      </c>
      <c r="B5785" s="4" t="s">
        <v>3</v>
      </c>
      <c r="C5785" s="4" t="s">
        <v>35</v>
      </c>
      <c r="D5785" s="4">
        <v>2028</v>
      </c>
      <c r="E5785" s="4">
        <v>0</v>
      </c>
      <c r="F5785" s="4" t="s">
        <v>29</v>
      </c>
    </row>
    <row r="5786" spans="1:6" x14ac:dyDescent="0.25">
      <c r="A5786" s="4" t="s">
        <v>79</v>
      </c>
      <c r="B5786" s="4" t="s">
        <v>3</v>
      </c>
      <c r="C5786" s="4" t="s">
        <v>35</v>
      </c>
      <c r="D5786" s="4">
        <v>2029</v>
      </c>
      <c r="E5786" s="4">
        <v>0</v>
      </c>
      <c r="F5786" s="4" t="s">
        <v>29</v>
      </c>
    </row>
    <row r="5787" spans="1:6" x14ac:dyDescent="0.25">
      <c r="A5787" s="4" t="s">
        <v>79</v>
      </c>
      <c r="B5787" s="4" t="s">
        <v>3</v>
      </c>
      <c r="C5787" s="4" t="s">
        <v>35</v>
      </c>
      <c r="D5787" s="4">
        <v>2030</v>
      </c>
      <c r="E5787" s="4">
        <v>0</v>
      </c>
      <c r="F5787" s="4" t="s">
        <v>29</v>
      </c>
    </row>
    <row r="5788" spans="1:6" x14ac:dyDescent="0.25">
      <c r="A5788" s="4" t="s">
        <v>79</v>
      </c>
      <c r="B5788" s="4" t="s">
        <v>3</v>
      </c>
      <c r="C5788" s="4" t="s">
        <v>35</v>
      </c>
      <c r="D5788" s="4">
        <v>2031</v>
      </c>
      <c r="E5788" s="4">
        <v>0</v>
      </c>
      <c r="F5788" s="4" t="s">
        <v>29</v>
      </c>
    </row>
    <row r="5789" spans="1:6" x14ac:dyDescent="0.25">
      <c r="A5789" s="4" t="s">
        <v>79</v>
      </c>
      <c r="B5789" s="4" t="s">
        <v>3</v>
      </c>
      <c r="C5789" s="4" t="s">
        <v>35</v>
      </c>
      <c r="D5789" s="4">
        <v>2032</v>
      </c>
      <c r="E5789" s="4">
        <v>0</v>
      </c>
      <c r="F5789" s="4" t="s">
        <v>29</v>
      </c>
    </row>
    <row r="5790" spans="1:6" x14ac:dyDescent="0.25">
      <c r="A5790" s="4" t="s">
        <v>79</v>
      </c>
      <c r="B5790" s="4" t="s">
        <v>3</v>
      </c>
      <c r="C5790" s="4" t="s">
        <v>35</v>
      </c>
      <c r="D5790" s="4">
        <v>2033</v>
      </c>
      <c r="E5790" s="4">
        <v>0</v>
      </c>
      <c r="F5790" s="4" t="s">
        <v>29</v>
      </c>
    </row>
    <row r="5791" spans="1:6" x14ac:dyDescent="0.25">
      <c r="A5791" s="4" t="s">
        <v>79</v>
      </c>
      <c r="B5791" s="4" t="s">
        <v>3</v>
      </c>
      <c r="C5791" s="4" t="s">
        <v>35</v>
      </c>
      <c r="D5791" s="4">
        <v>2034</v>
      </c>
      <c r="E5791" s="4">
        <v>0</v>
      </c>
      <c r="F5791" s="4" t="s">
        <v>29</v>
      </c>
    </row>
    <row r="5792" spans="1:6" x14ac:dyDescent="0.25">
      <c r="A5792" s="4" t="s">
        <v>79</v>
      </c>
      <c r="B5792" s="4" t="s">
        <v>3</v>
      </c>
      <c r="C5792" s="4" t="s">
        <v>35</v>
      </c>
      <c r="D5792" s="4">
        <v>2035</v>
      </c>
      <c r="E5792" s="4">
        <v>0</v>
      </c>
      <c r="F5792" s="4" t="s">
        <v>29</v>
      </c>
    </row>
    <row r="5793" spans="1:6" x14ac:dyDescent="0.25">
      <c r="A5793" s="4" t="s">
        <v>79</v>
      </c>
      <c r="B5793" s="4" t="s">
        <v>3</v>
      </c>
      <c r="C5793" s="4" t="s">
        <v>35</v>
      </c>
      <c r="D5793" s="4">
        <v>2036</v>
      </c>
      <c r="E5793" s="4">
        <v>0</v>
      </c>
      <c r="F5793" s="4" t="s">
        <v>29</v>
      </c>
    </row>
    <row r="5794" spans="1:6" x14ac:dyDescent="0.25">
      <c r="A5794" s="4" t="s">
        <v>79</v>
      </c>
      <c r="B5794" s="4" t="s">
        <v>3</v>
      </c>
      <c r="C5794" s="4" t="s">
        <v>35</v>
      </c>
      <c r="D5794" s="4">
        <v>2037</v>
      </c>
      <c r="E5794" s="4">
        <v>0</v>
      </c>
      <c r="F5794" s="4" t="s">
        <v>29</v>
      </c>
    </row>
    <row r="5795" spans="1:6" x14ac:dyDescent="0.25">
      <c r="A5795" s="4" t="s">
        <v>79</v>
      </c>
      <c r="B5795" s="4" t="s">
        <v>3</v>
      </c>
      <c r="C5795" s="4" t="s">
        <v>35</v>
      </c>
      <c r="D5795" s="4">
        <v>2038</v>
      </c>
      <c r="E5795" s="4">
        <v>0</v>
      </c>
      <c r="F5795" s="4" t="s">
        <v>29</v>
      </c>
    </row>
    <row r="5796" spans="1:6" x14ac:dyDescent="0.25">
      <c r="A5796" s="4" t="s">
        <v>79</v>
      </c>
      <c r="B5796" s="4" t="s">
        <v>3</v>
      </c>
      <c r="C5796" s="4" t="s">
        <v>35</v>
      </c>
      <c r="D5796" s="4">
        <v>2039</v>
      </c>
      <c r="E5796" s="4">
        <v>0</v>
      </c>
      <c r="F5796" s="4" t="s">
        <v>29</v>
      </c>
    </row>
    <row r="5797" spans="1:6" x14ac:dyDescent="0.25">
      <c r="A5797" s="4" t="s">
        <v>79</v>
      </c>
      <c r="B5797" s="4" t="s">
        <v>3</v>
      </c>
      <c r="C5797" s="4" t="s">
        <v>35</v>
      </c>
      <c r="D5797" s="4">
        <v>2040</v>
      </c>
      <c r="E5797" s="4">
        <v>0</v>
      </c>
      <c r="F5797" s="4" t="s">
        <v>29</v>
      </c>
    </row>
    <row r="5798" spans="1:6" x14ac:dyDescent="0.25">
      <c r="A5798" s="4" t="s">
        <v>79</v>
      </c>
      <c r="B5798" s="4" t="s">
        <v>23</v>
      </c>
      <c r="C5798" s="4" t="s">
        <v>35</v>
      </c>
      <c r="D5798" s="4">
        <v>2005</v>
      </c>
      <c r="E5798" s="4">
        <v>2050</v>
      </c>
      <c r="F5798" s="4" t="s">
        <v>29</v>
      </c>
    </row>
    <row r="5799" spans="1:6" x14ac:dyDescent="0.25">
      <c r="A5799" s="4" t="s">
        <v>79</v>
      </c>
      <c r="B5799" s="4" t="s">
        <v>23</v>
      </c>
      <c r="C5799" s="4" t="s">
        <v>35</v>
      </c>
      <c r="D5799" s="4">
        <v>2006</v>
      </c>
      <c r="E5799" s="4">
        <v>1910</v>
      </c>
      <c r="F5799" s="4" t="s">
        <v>29</v>
      </c>
    </row>
    <row r="5800" spans="1:6" x14ac:dyDescent="0.25">
      <c r="A5800" s="4" t="s">
        <v>79</v>
      </c>
      <c r="B5800" s="4" t="s">
        <v>23</v>
      </c>
      <c r="C5800" s="4" t="s">
        <v>35</v>
      </c>
      <c r="D5800" s="4">
        <v>2007</v>
      </c>
      <c r="E5800" s="4">
        <v>1890</v>
      </c>
      <c r="F5800" s="4" t="s">
        <v>29</v>
      </c>
    </row>
    <row r="5801" spans="1:6" x14ac:dyDescent="0.25">
      <c r="A5801" s="4" t="s">
        <v>79</v>
      </c>
      <c r="B5801" s="4" t="s">
        <v>23</v>
      </c>
      <c r="C5801" s="4" t="s">
        <v>35</v>
      </c>
      <c r="D5801" s="4">
        <v>2008</v>
      </c>
      <c r="E5801" s="4">
        <v>1750</v>
      </c>
      <c r="F5801" s="4" t="s">
        <v>29</v>
      </c>
    </row>
    <row r="5802" spans="1:6" x14ac:dyDescent="0.25">
      <c r="A5802" s="4" t="s">
        <v>79</v>
      </c>
      <c r="B5802" s="4" t="s">
        <v>23</v>
      </c>
      <c r="C5802" s="4" t="s">
        <v>35</v>
      </c>
      <c r="D5802" s="4">
        <v>2009</v>
      </c>
      <c r="E5802" s="4">
        <v>1130</v>
      </c>
      <c r="F5802" s="4" t="s">
        <v>29</v>
      </c>
    </row>
    <row r="5803" spans="1:6" x14ac:dyDescent="0.25">
      <c r="A5803" s="4" t="s">
        <v>79</v>
      </c>
      <c r="B5803" s="4" t="s">
        <v>23</v>
      </c>
      <c r="C5803" s="4" t="s">
        <v>35</v>
      </c>
      <c r="D5803" s="4">
        <v>2010</v>
      </c>
      <c r="E5803" s="4">
        <v>1070</v>
      </c>
      <c r="F5803" s="4" t="s">
        <v>29</v>
      </c>
    </row>
    <row r="5804" spans="1:6" x14ac:dyDescent="0.25">
      <c r="A5804" s="4" t="s">
        <v>79</v>
      </c>
      <c r="B5804" s="4" t="s">
        <v>23</v>
      </c>
      <c r="C5804" s="4" t="s">
        <v>35</v>
      </c>
      <c r="D5804" s="4">
        <v>2011</v>
      </c>
      <c r="E5804" s="4">
        <v>860</v>
      </c>
      <c r="F5804" s="4" t="s">
        <v>29</v>
      </c>
    </row>
    <row r="5805" spans="1:6" x14ac:dyDescent="0.25">
      <c r="A5805" s="4" t="s">
        <v>79</v>
      </c>
      <c r="B5805" s="4" t="s">
        <v>23</v>
      </c>
      <c r="C5805" s="4" t="s">
        <v>35</v>
      </c>
      <c r="D5805" s="4">
        <v>2012</v>
      </c>
      <c r="E5805" s="4">
        <v>580</v>
      </c>
      <c r="F5805" s="4" t="s">
        <v>29</v>
      </c>
    </row>
    <row r="5806" spans="1:6" x14ac:dyDescent="0.25">
      <c r="A5806" s="4" t="s">
        <v>79</v>
      </c>
      <c r="B5806" s="4" t="s">
        <v>23</v>
      </c>
      <c r="C5806" s="4" t="s">
        <v>35</v>
      </c>
      <c r="D5806" s="4">
        <v>2013</v>
      </c>
      <c r="E5806" s="4">
        <v>330</v>
      </c>
      <c r="F5806" s="4" t="s">
        <v>29</v>
      </c>
    </row>
    <row r="5807" spans="1:6" x14ac:dyDescent="0.25">
      <c r="A5807" s="4" t="s">
        <v>79</v>
      </c>
      <c r="B5807" s="4" t="s">
        <v>23</v>
      </c>
      <c r="C5807" s="4" t="s">
        <v>35</v>
      </c>
      <c r="D5807" s="4">
        <v>2014</v>
      </c>
      <c r="E5807" s="4">
        <v>460</v>
      </c>
      <c r="F5807" s="4" t="s">
        <v>29</v>
      </c>
    </row>
    <row r="5808" spans="1:6" x14ac:dyDescent="0.25">
      <c r="A5808" s="4" t="s">
        <v>79</v>
      </c>
      <c r="B5808" s="4" t="s">
        <v>23</v>
      </c>
      <c r="C5808" s="4" t="s">
        <v>35</v>
      </c>
      <c r="D5808" s="4">
        <v>2015</v>
      </c>
      <c r="E5808" s="4">
        <v>439.2230136986301</v>
      </c>
      <c r="F5808" s="4" t="s">
        <v>29</v>
      </c>
    </row>
    <row r="5809" spans="1:6" x14ac:dyDescent="0.25">
      <c r="A5809" s="4" t="s">
        <v>79</v>
      </c>
      <c r="B5809" s="4" t="s">
        <v>23</v>
      </c>
      <c r="C5809" s="4" t="s">
        <v>35</v>
      </c>
      <c r="D5809" s="4">
        <v>2016</v>
      </c>
      <c r="E5809" s="4">
        <v>416.31040165903886</v>
      </c>
      <c r="F5809" s="4" t="s">
        <v>29</v>
      </c>
    </row>
    <row r="5810" spans="1:6" x14ac:dyDescent="0.25">
      <c r="A5810" s="4" t="s">
        <v>79</v>
      </c>
      <c r="B5810" s="4" t="s">
        <v>23</v>
      </c>
      <c r="C5810" s="4" t="s">
        <v>35</v>
      </c>
      <c r="D5810" s="4">
        <v>2017</v>
      </c>
      <c r="E5810" s="4">
        <v>312</v>
      </c>
      <c r="F5810" s="4" t="s">
        <v>29</v>
      </c>
    </row>
    <row r="5811" spans="1:6" x14ac:dyDescent="0.25">
      <c r="A5811" s="4" t="s">
        <v>79</v>
      </c>
      <c r="B5811" s="4" t="s">
        <v>23</v>
      </c>
      <c r="C5811" s="4" t="s">
        <v>35</v>
      </c>
      <c r="D5811" s="4">
        <v>2018</v>
      </c>
      <c r="E5811" s="4">
        <v>275</v>
      </c>
      <c r="F5811" s="4" t="s">
        <v>29</v>
      </c>
    </row>
    <row r="5812" spans="1:6" x14ac:dyDescent="0.25">
      <c r="A5812" s="4" t="s">
        <v>79</v>
      </c>
      <c r="B5812" s="4" t="s">
        <v>23</v>
      </c>
      <c r="C5812" s="4" t="s">
        <v>35</v>
      </c>
      <c r="D5812" s="4">
        <v>2019</v>
      </c>
      <c r="E5812" s="4">
        <v>211</v>
      </c>
      <c r="F5812" s="4" t="s">
        <v>29</v>
      </c>
    </row>
    <row r="5813" spans="1:6" x14ac:dyDescent="0.25">
      <c r="A5813" s="4" t="s">
        <v>79</v>
      </c>
      <c r="B5813" s="4" t="s">
        <v>23</v>
      </c>
      <c r="C5813" s="4" t="s">
        <v>35</v>
      </c>
      <c r="D5813" s="4">
        <v>2020</v>
      </c>
      <c r="E5813" s="4">
        <v>195</v>
      </c>
      <c r="F5813" s="4" t="s">
        <v>29</v>
      </c>
    </row>
    <row r="5814" spans="1:6" x14ac:dyDescent="0.25">
      <c r="A5814" s="4" t="s">
        <v>79</v>
      </c>
      <c r="B5814" s="4" t="s">
        <v>23</v>
      </c>
      <c r="C5814" s="4" t="s">
        <v>35</v>
      </c>
      <c r="D5814" s="4">
        <v>2021</v>
      </c>
      <c r="E5814" s="4">
        <v>170</v>
      </c>
      <c r="F5814" s="4" t="s">
        <v>29</v>
      </c>
    </row>
    <row r="5815" spans="1:6" x14ac:dyDescent="0.25">
      <c r="A5815" s="4" t="s">
        <v>79</v>
      </c>
      <c r="B5815" s="4" t="s">
        <v>23</v>
      </c>
      <c r="C5815" s="4" t="s">
        <v>35</v>
      </c>
      <c r="D5815" s="4">
        <v>2022</v>
      </c>
      <c r="E5815" s="4">
        <v>0</v>
      </c>
      <c r="F5815" s="4" t="s">
        <v>29</v>
      </c>
    </row>
    <row r="5816" spans="1:6" x14ac:dyDescent="0.25">
      <c r="A5816" s="4" t="s">
        <v>79</v>
      </c>
      <c r="B5816" s="4" t="s">
        <v>23</v>
      </c>
      <c r="C5816" s="4" t="s">
        <v>35</v>
      </c>
      <c r="D5816" s="4">
        <v>2023</v>
      </c>
      <c r="E5816" s="4">
        <v>0</v>
      </c>
      <c r="F5816" s="4" t="s">
        <v>29</v>
      </c>
    </row>
    <row r="5817" spans="1:6" x14ac:dyDescent="0.25">
      <c r="A5817" s="4" t="s">
        <v>79</v>
      </c>
      <c r="B5817" s="4" t="s">
        <v>23</v>
      </c>
      <c r="C5817" s="4" t="s">
        <v>35</v>
      </c>
      <c r="D5817" s="4">
        <v>2024</v>
      </c>
      <c r="E5817" s="4">
        <v>0</v>
      </c>
      <c r="F5817" s="4" t="s">
        <v>29</v>
      </c>
    </row>
    <row r="5818" spans="1:6" x14ac:dyDescent="0.25">
      <c r="A5818" s="4" t="s">
        <v>79</v>
      </c>
      <c r="B5818" s="4" t="s">
        <v>23</v>
      </c>
      <c r="C5818" s="4" t="s">
        <v>35</v>
      </c>
      <c r="D5818" s="4">
        <v>2025</v>
      </c>
      <c r="E5818" s="4">
        <v>0</v>
      </c>
      <c r="F5818" s="4" t="s">
        <v>29</v>
      </c>
    </row>
    <row r="5819" spans="1:6" x14ac:dyDescent="0.25">
      <c r="A5819" s="4" t="s">
        <v>79</v>
      </c>
      <c r="B5819" s="4" t="s">
        <v>23</v>
      </c>
      <c r="C5819" s="4" t="s">
        <v>35</v>
      </c>
      <c r="D5819" s="4">
        <v>2026</v>
      </c>
      <c r="E5819" s="4">
        <v>0</v>
      </c>
      <c r="F5819" s="4" t="s">
        <v>29</v>
      </c>
    </row>
    <row r="5820" spans="1:6" x14ac:dyDescent="0.25">
      <c r="A5820" s="4" t="s">
        <v>79</v>
      </c>
      <c r="B5820" s="4" t="s">
        <v>23</v>
      </c>
      <c r="C5820" s="4" t="s">
        <v>35</v>
      </c>
      <c r="D5820" s="4">
        <v>2027</v>
      </c>
      <c r="E5820" s="4">
        <v>0</v>
      </c>
      <c r="F5820" s="4" t="s">
        <v>29</v>
      </c>
    </row>
    <row r="5821" spans="1:6" x14ac:dyDescent="0.25">
      <c r="A5821" s="4" t="s">
        <v>79</v>
      </c>
      <c r="B5821" s="4" t="s">
        <v>23</v>
      </c>
      <c r="C5821" s="4" t="s">
        <v>35</v>
      </c>
      <c r="D5821" s="4">
        <v>2028</v>
      </c>
      <c r="E5821" s="4">
        <v>0</v>
      </c>
      <c r="F5821" s="4" t="s">
        <v>29</v>
      </c>
    </row>
    <row r="5822" spans="1:6" x14ac:dyDescent="0.25">
      <c r="A5822" s="4" t="s">
        <v>79</v>
      </c>
      <c r="B5822" s="4" t="s">
        <v>23</v>
      </c>
      <c r="C5822" s="4" t="s">
        <v>35</v>
      </c>
      <c r="D5822" s="4">
        <v>2029</v>
      </c>
      <c r="E5822" s="4">
        <v>0</v>
      </c>
      <c r="F5822" s="4" t="s">
        <v>29</v>
      </c>
    </row>
    <row r="5823" spans="1:6" x14ac:dyDescent="0.25">
      <c r="A5823" s="4" t="s">
        <v>79</v>
      </c>
      <c r="B5823" s="4" t="s">
        <v>23</v>
      </c>
      <c r="C5823" s="4" t="s">
        <v>35</v>
      </c>
      <c r="D5823" s="4">
        <v>2030</v>
      </c>
      <c r="E5823" s="4">
        <v>0</v>
      </c>
      <c r="F5823" s="4" t="s">
        <v>29</v>
      </c>
    </row>
    <row r="5824" spans="1:6" x14ac:dyDescent="0.25">
      <c r="A5824" s="4" t="s">
        <v>79</v>
      </c>
      <c r="B5824" s="4" t="s">
        <v>23</v>
      </c>
      <c r="C5824" s="4" t="s">
        <v>35</v>
      </c>
      <c r="D5824" s="4">
        <v>2031</v>
      </c>
      <c r="E5824" s="4">
        <v>0</v>
      </c>
      <c r="F5824" s="4" t="s">
        <v>29</v>
      </c>
    </row>
    <row r="5825" spans="1:6" x14ac:dyDescent="0.25">
      <c r="A5825" s="4" t="s">
        <v>79</v>
      </c>
      <c r="B5825" s="4" t="s">
        <v>23</v>
      </c>
      <c r="C5825" s="4" t="s">
        <v>35</v>
      </c>
      <c r="D5825" s="4">
        <v>2032</v>
      </c>
      <c r="E5825" s="4">
        <v>0</v>
      </c>
      <c r="F5825" s="4" t="s">
        <v>29</v>
      </c>
    </row>
    <row r="5826" spans="1:6" x14ac:dyDescent="0.25">
      <c r="A5826" s="4" t="s">
        <v>79</v>
      </c>
      <c r="B5826" s="4" t="s">
        <v>23</v>
      </c>
      <c r="C5826" s="4" t="s">
        <v>35</v>
      </c>
      <c r="D5826" s="4">
        <v>2033</v>
      </c>
      <c r="E5826" s="4">
        <v>0</v>
      </c>
      <c r="F5826" s="4" t="s">
        <v>29</v>
      </c>
    </row>
    <row r="5827" spans="1:6" x14ac:dyDescent="0.25">
      <c r="A5827" s="4" t="s">
        <v>79</v>
      </c>
      <c r="B5827" s="4" t="s">
        <v>23</v>
      </c>
      <c r="C5827" s="4" t="s">
        <v>35</v>
      </c>
      <c r="D5827" s="4">
        <v>2034</v>
      </c>
      <c r="E5827" s="4">
        <v>0</v>
      </c>
      <c r="F5827" s="4" t="s">
        <v>29</v>
      </c>
    </row>
    <row r="5828" spans="1:6" x14ac:dyDescent="0.25">
      <c r="A5828" s="4" t="s">
        <v>79</v>
      </c>
      <c r="B5828" s="4" t="s">
        <v>23</v>
      </c>
      <c r="C5828" s="4" t="s">
        <v>35</v>
      </c>
      <c r="D5828" s="4">
        <v>2035</v>
      </c>
      <c r="E5828" s="4">
        <v>0</v>
      </c>
      <c r="F5828" s="4" t="s">
        <v>29</v>
      </c>
    </row>
    <row r="5829" spans="1:6" x14ac:dyDescent="0.25">
      <c r="A5829" s="4" t="s">
        <v>79</v>
      </c>
      <c r="B5829" s="4" t="s">
        <v>23</v>
      </c>
      <c r="C5829" s="4" t="s">
        <v>35</v>
      </c>
      <c r="D5829" s="4">
        <v>2036</v>
      </c>
      <c r="E5829" s="4">
        <v>0</v>
      </c>
      <c r="F5829" s="4" t="s">
        <v>29</v>
      </c>
    </row>
    <row r="5830" spans="1:6" x14ac:dyDescent="0.25">
      <c r="A5830" s="4" t="s">
        <v>79</v>
      </c>
      <c r="B5830" s="4" t="s">
        <v>23</v>
      </c>
      <c r="C5830" s="4" t="s">
        <v>35</v>
      </c>
      <c r="D5830" s="4">
        <v>2037</v>
      </c>
      <c r="E5830" s="4">
        <v>0</v>
      </c>
      <c r="F5830" s="4" t="s">
        <v>29</v>
      </c>
    </row>
    <row r="5831" spans="1:6" x14ac:dyDescent="0.25">
      <c r="A5831" s="4" t="s">
        <v>79</v>
      </c>
      <c r="B5831" s="4" t="s">
        <v>23</v>
      </c>
      <c r="C5831" s="4" t="s">
        <v>35</v>
      </c>
      <c r="D5831" s="4">
        <v>2038</v>
      </c>
      <c r="E5831" s="4">
        <v>0</v>
      </c>
      <c r="F5831" s="4" t="s">
        <v>29</v>
      </c>
    </row>
    <row r="5832" spans="1:6" x14ac:dyDescent="0.25">
      <c r="A5832" s="4" t="s">
        <v>79</v>
      </c>
      <c r="B5832" s="4" t="s">
        <v>23</v>
      </c>
      <c r="C5832" s="4" t="s">
        <v>35</v>
      </c>
      <c r="D5832" s="4">
        <v>2039</v>
      </c>
      <c r="E5832" s="4">
        <v>0</v>
      </c>
      <c r="F5832" s="4" t="s">
        <v>29</v>
      </c>
    </row>
    <row r="5833" spans="1:6" x14ac:dyDescent="0.25">
      <c r="A5833" s="4" t="s">
        <v>79</v>
      </c>
      <c r="B5833" s="4" t="s">
        <v>23</v>
      </c>
      <c r="C5833" s="4" t="s">
        <v>35</v>
      </c>
      <c r="D5833" s="4">
        <v>2040</v>
      </c>
      <c r="E5833" s="4">
        <v>0</v>
      </c>
      <c r="F5833" s="4" t="s">
        <v>29</v>
      </c>
    </row>
    <row r="5834" spans="1:6" x14ac:dyDescent="0.25">
      <c r="A5834" s="4" t="s">
        <v>80</v>
      </c>
      <c r="B5834" s="4" t="s">
        <v>1</v>
      </c>
      <c r="C5834" s="4" t="s">
        <v>35</v>
      </c>
      <c r="D5834" s="4">
        <v>2005</v>
      </c>
      <c r="E5834" s="4">
        <v>48470</v>
      </c>
      <c r="F5834" s="4" t="s">
        <v>29</v>
      </c>
    </row>
    <row r="5835" spans="1:6" x14ac:dyDescent="0.25">
      <c r="A5835" s="4" t="s">
        <v>80</v>
      </c>
      <c r="B5835" s="4" t="s">
        <v>1</v>
      </c>
      <c r="C5835" s="4" t="s">
        <v>35</v>
      </c>
      <c r="D5835" s="4">
        <v>2006</v>
      </c>
      <c r="E5835" s="4">
        <v>48280</v>
      </c>
      <c r="F5835" s="4" t="s">
        <v>29</v>
      </c>
    </row>
    <row r="5836" spans="1:6" x14ac:dyDescent="0.25">
      <c r="A5836" s="4" t="s">
        <v>80</v>
      </c>
      <c r="B5836" s="4" t="s">
        <v>1</v>
      </c>
      <c r="C5836" s="4" t="s">
        <v>35</v>
      </c>
      <c r="D5836" s="4">
        <v>2007</v>
      </c>
      <c r="E5836" s="4">
        <v>58580</v>
      </c>
      <c r="F5836" s="4" t="s">
        <v>29</v>
      </c>
    </row>
    <row r="5837" spans="1:6" x14ac:dyDescent="0.25">
      <c r="A5837" s="4" t="s">
        <v>80</v>
      </c>
      <c r="B5837" s="4" t="s">
        <v>1</v>
      </c>
      <c r="C5837" s="4" t="s">
        <v>35</v>
      </c>
      <c r="D5837" s="4">
        <v>2008</v>
      </c>
      <c r="E5837" s="4">
        <v>54550</v>
      </c>
      <c r="F5837" s="4" t="s">
        <v>29</v>
      </c>
    </row>
    <row r="5838" spans="1:6" x14ac:dyDescent="0.25">
      <c r="A5838" s="4" t="s">
        <v>80</v>
      </c>
      <c r="B5838" s="4" t="s">
        <v>1</v>
      </c>
      <c r="C5838" s="4" t="s">
        <v>35</v>
      </c>
      <c r="D5838" s="4">
        <v>2009</v>
      </c>
      <c r="E5838" s="4">
        <v>42550</v>
      </c>
      <c r="F5838" s="4" t="s">
        <v>29</v>
      </c>
    </row>
    <row r="5839" spans="1:6" x14ac:dyDescent="0.25">
      <c r="A5839" s="4" t="s">
        <v>80</v>
      </c>
      <c r="B5839" s="4" t="s">
        <v>1</v>
      </c>
      <c r="C5839" s="4" t="s">
        <v>35</v>
      </c>
      <c r="D5839" s="4">
        <v>2010</v>
      </c>
      <c r="E5839" s="4">
        <v>43850</v>
      </c>
      <c r="F5839" s="4" t="s">
        <v>29</v>
      </c>
    </row>
    <row r="5840" spans="1:6" x14ac:dyDescent="0.25">
      <c r="A5840" s="4" t="s">
        <v>80</v>
      </c>
      <c r="B5840" s="4" t="s">
        <v>1</v>
      </c>
      <c r="C5840" s="4" t="s">
        <v>35</v>
      </c>
      <c r="D5840" s="4">
        <v>2011</v>
      </c>
      <c r="E5840" s="4">
        <v>42140</v>
      </c>
      <c r="F5840" s="4" t="s">
        <v>29</v>
      </c>
    </row>
    <row r="5841" spans="1:6" x14ac:dyDescent="0.25">
      <c r="A5841" s="4" t="s">
        <v>80</v>
      </c>
      <c r="B5841" s="4" t="s">
        <v>1</v>
      </c>
      <c r="C5841" s="4" t="s">
        <v>35</v>
      </c>
      <c r="D5841" s="4">
        <v>2012</v>
      </c>
      <c r="E5841" s="4">
        <v>31430</v>
      </c>
      <c r="F5841" s="4" t="s">
        <v>29</v>
      </c>
    </row>
    <row r="5842" spans="1:6" x14ac:dyDescent="0.25">
      <c r="A5842" s="4" t="s">
        <v>80</v>
      </c>
      <c r="B5842" s="4" t="s">
        <v>1</v>
      </c>
      <c r="C5842" s="4" t="s">
        <v>35</v>
      </c>
      <c r="D5842" s="4">
        <v>2013</v>
      </c>
      <c r="E5842" s="4">
        <v>36870</v>
      </c>
      <c r="F5842" s="4" t="s">
        <v>29</v>
      </c>
    </row>
    <row r="5843" spans="1:6" x14ac:dyDescent="0.25">
      <c r="A5843" s="4" t="s">
        <v>80</v>
      </c>
      <c r="B5843" s="4" t="s">
        <v>1</v>
      </c>
      <c r="C5843" s="4" t="s">
        <v>35</v>
      </c>
      <c r="D5843" s="4">
        <v>2014</v>
      </c>
      <c r="E5843" s="4">
        <v>34340</v>
      </c>
      <c r="F5843" s="4" t="s">
        <v>29</v>
      </c>
    </row>
    <row r="5844" spans="1:6" x14ac:dyDescent="0.25">
      <c r="A5844" s="4" t="s">
        <v>80</v>
      </c>
      <c r="B5844" s="4" t="s">
        <v>1</v>
      </c>
      <c r="C5844" s="4" t="s">
        <v>35</v>
      </c>
      <c r="D5844" s="4">
        <v>2015</v>
      </c>
      <c r="E5844" s="4">
        <v>27348</v>
      </c>
      <c r="F5844" s="4" t="s">
        <v>29</v>
      </c>
    </row>
    <row r="5845" spans="1:6" x14ac:dyDescent="0.25">
      <c r="A5845" s="4" t="s">
        <v>80</v>
      </c>
      <c r="B5845" s="4" t="s">
        <v>1</v>
      </c>
      <c r="C5845" s="4" t="s">
        <v>35</v>
      </c>
      <c r="D5845" s="4">
        <v>2016</v>
      </c>
      <c r="E5845" s="4">
        <v>33334</v>
      </c>
      <c r="F5845" s="4" t="s">
        <v>29</v>
      </c>
    </row>
    <row r="5846" spans="1:6" x14ac:dyDescent="0.25">
      <c r="A5846" s="4" t="s">
        <v>80</v>
      </c>
      <c r="B5846" s="4" t="s">
        <v>1</v>
      </c>
      <c r="C5846" s="4" t="s">
        <v>35</v>
      </c>
      <c r="D5846" s="4">
        <v>2017</v>
      </c>
      <c r="E5846" s="4">
        <v>34760</v>
      </c>
      <c r="F5846" s="4" t="s">
        <v>29</v>
      </c>
    </row>
    <row r="5847" spans="1:6" x14ac:dyDescent="0.25">
      <c r="A5847" s="4" t="s">
        <v>80</v>
      </c>
      <c r="B5847" s="4" t="s">
        <v>1</v>
      </c>
      <c r="C5847" s="4" t="s">
        <v>35</v>
      </c>
      <c r="D5847" s="4">
        <v>2018</v>
      </c>
      <c r="E5847" s="4">
        <v>29350.14201727782</v>
      </c>
      <c r="F5847" s="4" t="s">
        <v>29</v>
      </c>
    </row>
    <row r="5848" spans="1:6" x14ac:dyDescent="0.25">
      <c r="A5848" s="4" t="s">
        <v>80</v>
      </c>
      <c r="B5848" s="4" t="s">
        <v>1</v>
      </c>
      <c r="C5848" s="4" t="s">
        <v>35</v>
      </c>
      <c r="D5848" s="4">
        <v>2019</v>
      </c>
      <c r="E5848" s="4">
        <v>28793.216100853464</v>
      </c>
      <c r="F5848" s="4" t="s">
        <v>29</v>
      </c>
    </row>
    <row r="5849" spans="1:6" x14ac:dyDescent="0.25">
      <c r="A5849" s="4" t="s">
        <v>80</v>
      </c>
      <c r="B5849" s="4" t="s">
        <v>1</v>
      </c>
      <c r="C5849" s="4" t="s">
        <v>35</v>
      </c>
      <c r="D5849" s="4">
        <v>2020</v>
      </c>
      <c r="E5849" s="4">
        <v>22228.014280815787</v>
      </c>
      <c r="F5849" s="4" t="s">
        <v>29</v>
      </c>
    </row>
    <row r="5850" spans="1:6" x14ac:dyDescent="0.25">
      <c r="A5850" s="4" t="s">
        <v>80</v>
      </c>
      <c r="B5850" s="4" t="s">
        <v>1</v>
      </c>
      <c r="C5850" s="4" t="s">
        <v>35</v>
      </c>
      <c r="D5850" s="4">
        <v>2021</v>
      </c>
      <c r="E5850" s="4">
        <v>23097.224299043348</v>
      </c>
      <c r="F5850" s="4" t="s">
        <v>29</v>
      </c>
    </row>
    <row r="5851" spans="1:6" x14ac:dyDescent="0.25">
      <c r="A5851" s="4" t="s">
        <v>80</v>
      </c>
      <c r="B5851" s="4" t="s">
        <v>1</v>
      </c>
      <c r="C5851" s="4" t="s">
        <v>35</v>
      </c>
      <c r="D5851" s="4">
        <v>2022</v>
      </c>
      <c r="E5851" s="4">
        <v>21295.703887398471</v>
      </c>
      <c r="F5851" s="4" t="s">
        <v>29</v>
      </c>
    </row>
    <row r="5852" spans="1:6" x14ac:dyDescent="0.25">
      <c r="A5852" s="4" t="s">
        <v>80</v>
      </c>
      <c r="B5852" s="4" t="s">
        <v>1</v>
      </c>
      <c r="C5852" s="4" t="s">
        <v>35</v>
      </c>
      <c r="D5852" s="4">
        <v>2023</v>
      </c>
      <c r="E5852" s="4">
        <v>26119.043912789803</v>
      </c>
      <c r="F5852" s="4" t="s">
        <v>29</v>
      </c>
    </row>
    <row r="5853" spans="1:6" x14ac:dyDescent="0.25">
      <c r="A5853" s="4" t="s">
        <v>80</v>
      </c>
      <c r="B5853" s="4" t="s">
        <v>1</v>
      </c>
      <c r="C5853" s="4" t="s">
        <v>35</v>
      </c>
      <c r="D5853" s="4">
        <v>2024</v>
      </c>
      <c r="E5853" s="4">
        <v>25714.592499458166</v>
      </c>
      <c r="F5853" s="4" t="s">
        <v>29</v>
      </c>
    </row>
    <row r="5854" spans="1:6" x14ac:dyDescent="0.25">
      <c r="A5854" s="4" t="s">
        <v>80</v>
      </c>
      <c r="B5854" s="4" t="s">
        <v>1</v>
      </c>
      <c r="C5854" s="4" t="s">
        <v>35</v>
      </c>
      <c r="D5854" s="4">
        <v>2025</v>
      </c>
      <c r="E5854" s="4">
        <v>24456.583781883681</v>
      </c>
      <c r="F5854" s="4" t="s">
        <v>29</v>
      </c>
    </row>
    <row r="5855" spans="1:6" x14ac:dyDescent="0.25">
      <c r="A5855" s="4" t="s">
        <v>80</v>
      </c>
      <c r="B5855" s="4" t="s">
        <v>1</v>
      </c>
      <c r="C5855" s="4" t="s">
        <v>35</v>
      </c>
      <c r="D5855" s="4">
        <v>2026</v>
      </c>
      <c r="E5855" s="4">
        <v>18209.267438279836</v>
      </c>
      <c r="F5855" s="4" t="s">
        <v>29</v>
      </c>
    </row>
    <row r="5856" spans="1:6" x14ac:dyDescent="0.25">
      <c r="A5856" s="4" t="s">
        <v>80</v>
      </c>
      <c r="B5856" s="4" t="s">
        <v>1</v>
      </c>
      <c r="C5856" s="4" t="s">
        <v>35</v>
      </c>
      <c r="D5856" s="4">
        <v>2027</v>
      </c>
      <c r="E5856" s="4">
        <v>16639.028964921243</v>
      </c>
      <c r="F5856" s="4" t="s">
        <v>29</v>
      </c>
    </row>
    <row r="5857" spans="1:6" x14ac:dyDescent="0.25">
      <c r="A5857" s="4" t="s">
        <v>80</v>
      </c>
      <c r="B5857" s="4" t="s">
        <v>1</v>
      </c>
      <c r="C5857" s="4" t="s">
        <v>35</v>
      </c>
      <c r="D5857" s="4">
        <v>2028</v>
      </c>
      <c r="E5857" s="4">
        <v>15122.004850473104</v>
      </c>
      <c r="F5857" s="4" t="s">
        <v>29</v>
      </c>
    </row>
    <row r="5858" spans="1:6" x14ac:dyDescent="0.25">
      <c r="A5858" s="4" t="s">
        <v>80</v>
      </c>
      <c r="B5858" s="4" t="s">
        <v>1</v>
      </c>
      <c r="C5858" s="4" t="s">
        <v>35</v>
      </c>
      <c r="D5858" s="4">
        <v>2029</v>
      </c>
      <c r="E5858" s="4">
        <v>14741.316970413283</v>
      </c>
      <c r="F5858" s="4" t="s">
        <v>29</v>
      </c>
    </row>
    <row r="5859" spans="1:6" x14ac:dyDescent="0.25">
      <c r="A5859" s="4" t="s">
        <v>80</v>
      </c>
      <c r="B5859" s="4" t="s">
        <v>1</v>
      </c>
      <c r="C5859" s="4" t="s">
        <v>35</v>
      </c>
      <c r="D5859" s="4">
        <v>2030</v>
      </c>
      <c r="E5859" s="4">
        <v>12748.952068172917</v>
      </c>
      <c r="F5859" s="4" t="s">
        <v>29</v>
      </c>
    </row>
    <row r="5860" spans="1:6" x14ac:dyDescent="0.25">
      <c r="A5860" s="4" t="s">
        <v>80</v>
      </c>
      <c r="B5860" s="4" t="s">
        <v>1</v>
      </c>
      <c r="C5860" s="4" t="s">
        <v>35</v>
      </c>
      <c r="D5860" s="4">
        <v>2031</v>
      </c>
      <c r="E5860" s="4">
        <v>10744.434062737317</v>
      </c>
      <c r="F5860" s="4" t="s">
        <v>29</v>
      </c>
    </row>
    <row r="5861" spans="1:6" x14ac:dyDescent="0.25">
      <c r="A5861" s="4" t="s">
        <v>80</v>
      </c>
      <c r="B5861" s="4" t="s">
        <v>1</v>
      </c>
      <c r="C5861" s="4" t="s">
        <v>35</v>
      </c>
      <c r="D5861" s="4">
        <v>2032</v>
      </c>
      <c r="E5861" s="4">
        <v>6529.0333336441581</v>
      </c>
      <c r="F5861" s="4" t="s">
        <v>29</v>
      </c>
    </row>
    <row r="5862" spans="1:6" x14ac:dyDescent="0.25">
      <c r="A5862" s="4" t="s">
        <v>80</v>
      </c>
      <c r="B5862" s="4" t="s">
        <v>1</v>
      </c>
      <c r="C5862" s="4" t="s">
        <v>35</v>
      </c>
      <c r="D5862" s="4">
        <v>2033</v>
      </c>
      <c r="E5862" s="4">
        <v>6129.0236755909236</v>
      </c>
      <c r="F5862" s="4" t="s">
        <v>29</v>
      </c>
    </row>
    <row r="5863" spans="1:6" x14ac:dyDescent="0.25">
      <c r="A5863" s="4" t="s">
        <v>80</v>
      </c>
      <c r="B5863" s="4" t="s">
        <v>1</v>
      </c>
      <c r="C5863" s="4" t="s">
        <v>35</v>
      </c>
      <c r="D5863" s="4">
        <v>2034</v>
      </c>
      <c r="E5863" s="4">
        <v>5893.5044415248685</v>
      </c>
      <c r="F5863" s="4" t="s">
        <v>29</v>
      </c>
    </row>
    <row r="5864" spans="1:6" x14ac:dyDescent="0.25">
      <c r="A5864" s="4" t="s">
        <v>80</v>
      </c>
      <c r="B5864" s="4" t="s">
        <v>1</v>
      </c>
      <c r="C5864" s="4" t="s">
        <v>35</v>
      </c>
      <c r="D5864" s="4">
        <v>2035</v>
      </c>
      <c r="E5864" s="4">
        <v>5797.3470482628654</v>
      </c>
      <c r="F5864" s="4" t="s">
        <v>29</v>
      </c>
    </row>
    <row r="5865" spans="1:6" x14ac:dyDescent="0.25">
      <c r="A5865" s="4" t="s">
        <v>80</v>
      </c>
      <c r="B5865" s="4" t="s">
        <v>1</v>
      </c>
      <c r="C5865" s="4" t="s">
        <v>35</v>
      </c>
      <c r="D5865" s="4">
        <v>2036</v>
      </c>
      <c r="E5865" s="4">
        <v>5562.8272819885151</v>
      </c>
      <c r="F5865" s="4" t="s">
        <v>29</v>
      </c>
    </row>
    <row r="5866" spans="1:6" x14ac:dyDescent="0.25">
      <c r="A5866" s="4" t="s">
        <v>80</v>
      </c>
      <c r="B5866" s="4" t="s">
        <v>1</v>
      </c>
      <c r="C5866" s="4" t="s">
        <v>35</v>
      </c>
      <c r="D5866" s="4">
        <v>2037</v>
      </c>
      <c r="E5866" s="4">
        <v>5288.4056247623357</v>
      </c>
      <c r="F5866" s="4" t="s">
        <v>29</v>
      </c>
    </row>
    <row r="5867" spans="1:6" x14ac:dyDescent="0.25">
      <c r="A5867" s="4" t="s">
        <v>80</v>
      </c>
      <c r="B5867" s="4" t="s">
        <v>1</v>
      </c>
      <c r="C5867" s="4" t="s">
        <v>35</v>
      </c>
      <c r="D5867" s="4">
        <v>2038</v>
      </c>
      <c r="E5867" s="4">
        <v>4801.3171320269284</v>
      </c>
      <c r="F5867" s="4" t="s">
        <v>29</v>
      </c>
    </row>
    <row r="5868" spans="1:6" x14ac:dyDescent="0.25">
      <c r="A5868" s="4" t="s">
        <v>80</v>
      </c>
      <c r="B5868" s="4" t="s">
        <v>1</v>
      </c>
      <c r="C5868" s="4" t="s">
        <v>35</v>
      </c>
      <c r="D5868" s="4">
        <v>2039</v>
      </c>
      <c r="E5868" s="4">
        <v>4583.0365928398096</v>
      </c>
      <c r="F5868" s="4" t="s">
        <v>29</v>
      </c>
    </row>
    <row r="5869" spans="1:6" x14ac:dyDescent="0.25">
      <c r="A5869" s="4" t="s">
        <v>80</v>
      </c>
      <c r="B5869" s="4" t="s">
        <v>1</v>
      </c>
      <c r="C5869" s="4" t="s">
        <v>35</v>
      </c>
      <c r="D5869" s="4">
        <v>2040</v>
      </c>
      <c r="E5869" s="4">
        <v>4214.7228983301156</v>
      </c>
      <c r="F5869" s="4" t="s">
        <v>29</v>
      </c>
    </row>
    <row r="5870" spans="1:6" x14ac:dyDescent="0.25">
      <c r="A5870" s="4" t="s">
        <v>80</v>
      </c>
      <c r="B5870" s="4" t="s">
        <v>2</v>
      </c>
      <c r="C5870" s="4" t="s">
        <v>35</v>
      </c>
      <c r="D5870" s="4">
        <v>2005</v>
      </c>
      <c r="E5870" s="4">
        <v>0</v>
      </c>
      <c r="F5870" s="4" t="s">
        <v>29</v>
      </c>
    </row>
    <row r="5871" spans="1:6" x14ac:dyDescent="0.25">
      <c r="A5871" s="4" t="s">
        <v>80</v>
      </c>
      <c r="B5871" s="4" t="s">
        <v>2</v>
      </c>
      <c r="C5871" s="4" t="s">
        <v>35</v>
      </c>
      <c r="D5871" s="4">
        <v>2006</v>
      </c>
      <c r="E5871" s="4">
        <v>0</v>
      </c>
      <c r="F5871" s="4" t="s">
        <v>29</v>
      </c>
    </row>
    <row r="5872" spans="1:6" x14ac:dyDescent="0.25">
      <c r="A5872" s="4" t="s">
        <v>80</v>
      </c>
      <c r="B5872" s="4" t="s">
        <v>2</v>
      </c>
      <c r="C5872" s="4" t="s">
        <v>35</v>
      </c>
      <c r="D5872" s="4">
        <v>2007</v>
      </c>
      <c r="E5872" s="4">
        <v>0</v>
      </c>
      <c r="F5872" s="4" t="s">
        <v>29</v>
      </c>
    </row>
    <row r="5873" spans="1:6" x14ac:dyDescent="0.25">
      <c r="A5873" s="4" t="s">
        <v>80</v>
      </c>
      <c r="B5873" s="4" t="s">
        <v>2</v>
      </c>
      <c r="C5873" s="4" t="s">
        <v>35</v>
      </c>
      <c r="D5873" s="4">
        <v>2008</v>
      </c>
      <c r="E5873" s="4">
        <v>0</v>
      </c>
      <c r="F5873" s="4" t="s">
        <v>29</v>
      </c>
    </row>
    <row r="5874" spans="1:6" x14ac:dyDescent="0.25">
      <c r="A5874" s="4" t="s">
        <v>80</v>
      </c>
      <c r="B5874" s="4" t="s">
        <v>2</v>
      </c>
      <c r="C5874" s="4" t="s">
        <v>35</v>
      </c>
      <c r="D5874" s="4">
        <v>2009</v>
      </c>
      <c r="E5874" s="4">
        <v>0</v>
      </c>
      <c r="F5874" s="4" t="s">
        <v>29</v>
      </c>
    </row>
    <row r="5875" spans="1:6" x14ac:dyDescent="0.25">
      <c r="A5875" s="4" t="s">
        <v>80</v>
      </c>
      <c r="B5875" s="4" t="s">
        <v>2</v>
      </c>
      <c r="C5875" s="4" t="s">
        <v>35</v>
      </c>
      <c r="D5875" s="4">
        <v>2010</v>
      </c>
      <c r="E5875" s="4">
        <v>0</v>
      </c>
      <c r="F5875" s="4" t="s">
        <v>29</v>
      </c>
    </row>
    <row r="5876" spans="1:6" x14ac:dyDescent="0.25">
      <c r="A5876" s="4" t="s">
        <v>80</v>
      </c>
      <c r="B5876" s="4" t="s">
        <v>2</v>
      </c>
      <c r="C5876" s="4" t="s">
        <v>35</v>
      </c>
      <c r="D5876" s="4">
        <v>2011</v>
      </c>
      <c r="E5876" s="4">
        <v>0</v>
      </c>
      <c r="F5876" s="4" t="s">
        <v>29</v>
      </c>
    </row>
    <row r="5877" spans="1:6" x14ac:dyDescent="0.25">
      <c r="A5877" s="4" t="s">
        <v>80</v>
      </c>
      <c r="B5877" s="4" t="s">
        <v>2</v>
      </c>
      <c r="C5877" s="4" t="s">
        <v>35</v>
      </c>
      <c r="D5877" s="4">
        <v>2012</v>
      </c>
      <c r="E5877" s="4">
        <v>0</v>
      </c>
      <c r="F5877" s="4" t="s">
        <v>29</v>
      </c>
    </row>
    <row r="5878" spans="1:6" x14ac:dyDescent="0.25">
      <c r="A5878" s="4" t="s">
        <v>80</v>
      </c>
      <c r="B5878" s="4" t="s">
        <v>2</v>
      </c>
      <c r="C5878" s="4" t="s">
        <v>35</v>
      </c>
      <c r="D5878" s="4">
        <v>2013</v>
      </c>
      <c r="E5878" s="4">
        <v>0</v>
      </c>
      <c r="F5878" s="4" t="s">
        <v>29</v>
      </c>
    </row>
    <row r="5879" spans="1:6" x14ac:dyDescent="0.25">
      <c r="A5879" s="4" t="s">
        <v>80</v>
      </c>
      <c r="B5879" s="4" t="s">
        <v>2</v>
      </c>
      <c r="C5879" s="4" t="s">
        <v>35</v>
      </c>
      <c r="D5879" s="4">
        <v>2014</v>
      </c>
      <c r="E5879" s="4">
        <v>0</v>
      </c>
      <c r="F5879" s="4" t="s">
        <v>29</v>
      </c>
    </row>
    <row r="5880" spans="1:6" x14ac:dyDescent="0.25">
      <c r="A5880" s="4" t="s">
        <v>80</v>
      </c>
      <c r="B5880" s="4" t="s">
        <v>2</v>
      </c>
      <c r="C5880" s="4" t="s">
        <v>35</v>
      </c>
      <c r="D5880" s="4">
        <v>2015</v>
      </c>
      <c r="E5880" s="4">
        <v>0</v>
      </c>
      <c r="F5880" s="4" t="s">
        <v>29</v>
      </c>
    </row>
    <row r="5881" spans="1:6" x14ac:dyDescent="0.25">
      <c r="A5881" s="4" t="s">
        <v>80</v>
      </c>
      <c r="B5881" s="4" t="s">
        <v>2</v>
      </c>
      <c r="C5881" s="4" t="s">
        <v>35</v>
      </c>
      <c r="D5881" s="4">
        <v>2016</v>
      </c>
      <c r="E5881" s="4">
        <v>0</v>
      </c>
      <c r="F5881" s="4" t="s">
        <v>29</v>
      </c>
    </row>
    <row r="5882" spans="1:6" x14ac:dyDescent="0.25">
      <c r="A5882" s="4" t="s">
        <v>80</v>
      </c>
      <c r="B5882" s="4" t="s">
        <v>2</v>
      </c>
      <c r="C5882" s="4" t="s">
        <v>35</v>
      </c>
      <c r="D5882" s="4">
        <v>2017</v>
      </c>
      <c r="E5882" s="4">
        <v>336</v>
      </c>
      <c r="F5882" s="4" t="s">
        <v>29</v>
      </c>
    </row>
    <row r="5883" spans="1:6" x14ac:dyDescent="0.25">
      <c r="A5883" s="4" t="s">
        <v>80</v>
      </c>
      <c r="B5883" s="4" t="s">
        <v>2</v>
      </c>
      <c r="C5883" s="4" t="s">
        <v>35</v>
      </c>
      <c r="D5883" s="4">
        <v>2018</v>
      </c>
      <c r="E5883" s="4">
        <v>7619.77317483362</v>
      </c>
      <c r="F5883" s="4" t="s">
        <v>29</v>
      </c>
    </row>
    <row r="5884" spans="1:6" x14ac:dyDescent="0.25">
      <c r="A5884" s="4" t="s">
        <v>80</v>
      </c>
      <c r="B5884" s="4" t="s">
        <v>2</v>
      </c>
      <c r="C5884" s="4" t="s">
        <v>35</v>
      </c>
      <c r="D5884" s="4">
        <v>2019</v>
      </c>
      <c r="E5884" s="4">
        <v>12012.782600400646</v>
      </c>
      <c r="F5884" s="4" t="s">
        <v>29</v>
      </c>
    </row>
    <row r="5885" spans="1:6" x14ac:dyDescent="0.25">
      <c r="A5885" s="4" t="s">
        <v>80</v>
      </c>
      <c r="B5885" s="4" t="s">
        <v>2</v>
      </c>
      <c r="C5885" s="4" t="s">
        <v>35</v>
      </c>
      <c r="D5885" s="4">
        <v>2020</v>
      </c>
      <c r="E5885" s="4">
        <v>18151.451556488286</v>
      </c>
      <c r="F5885" s="4" t="s">
        <v>29</v>
      </c>
    </row>
    <row r="5886" spans="1:6" x14ac:dyDescent="0.25">
      <c r="A5886" s="4" t="s">
        <v>80</v>
      </c>
      <c r="B5886" s="4" t="s">
        <v>2</v>
      </c>
      <c r="C5886" s="4" t="s">
        <v>35</v>
      </c>
      <c r="D5886" s="4">
        <v>2021</v>
      </c>
      <c r="E5886" s="4">
        <v>21490.031479538306</v>
      </c>
      <c r="F5886" s="4" t="s">
        <v>29</v>
      </c>
    </row>
    <row r="5887" spans="1:6" x14ac:dyDescent="0.25">
      <c r="A5887" s="4" t="s">
        <v>80</v>
      </c>
      <c r="B5887" s="4" t="s">
        <v>2</v>
      </c>
      <c r="C5887" s="4" t="s">
        <v>35</v>
      </c>
      <c r="D5887" s="4">
        <v>2022</v>
      </c>
      <c r="E5887" s="4">
        <v>21538.045724824318</v>
      </c>
      <c r="F5887" s="4" t="s">
        <v>29</v>
      </c>
    </row>
    <row r="5888" spans="1:6" x14ac:dyDescent="0.25">
      <c r="A5888" s="4" t="s">
        <v>80</v>
      </c>
      <c r="B5888" s="4" t="s">
        <v>2</v>
      </c>
      <c r="C5888" s="4" t="s">
        <v>35</v>
      </c>
      <c r="D5888" s="4">
        <v>2023</v>
      </c>
      <c r="E5888" s="4">
        <v>20948.201850615285</v>
      </c>
      <c r="F5888" s="4" t="s">
        <v>29</v>
      </c>
    </row>
    <row r="5889" spans="1:6" x14ac:dyDescent="0.25">
      <c r="A5889" s="4" t="s">
        <v>80</v>
      </c>
      <c r="B5889" s="4" t="s">
        <v>2</v>
      </c>
      <c r="C5889" s="4" t="s">
        <v>35</v>
      </c>
      <c r="D5889" s="4">
        <v>2024</v>
      </c>
      <c r="E5889" s="4">
        <v>21076.981780024806</v>
      </c>
      <c r="F5889" s="4" t="s">
        <v>29</v>
      </c>
    </row>
    <row r="5890" spans="1:6" x14ac:dyDescent="0.25">
      <c r="A5890" s="4" t="s">
        <v>80</v>
      </c>
      <c r="B5890" s="4" t="s">
        <v>2</v>
      </c>
      <c r="C5890" s="4" t="s">
        <v>35</v>
      </c>
      <c r="D5890" s="4">
        <v>2025</v>
      </c>
      <c r="E5890" s="4">
        <v>20361.537727749695</v>
      </c>
      <c r="F5890" s="4" t="s">
        <v>29</v>
      </c>
    </row>
    <row r="5891" spans="1:6" x14ac:dyDescent="0.25">
      <c r="A5891" s="4" t="s">
        <v>80</v>
      </c>
      <c r="B5891" s="4" t="s">
        <v>2</v>
      </c>
      <c r="C5891" s="4" t="s">
        <v>35</v>
      </c>
      <c r="D5891" s="4">
        <v>2026</v>
      </c>
      <c r="E5891" s="4">
        <v>17986.263474196319</v>
      </c>
      <c r="F5891" s="4" t="s">
        <v>29</v>
      </c>
    </row>
    <row r="5892" spans="1:6" x14ac:dyDescent="0.25">
      <c r="A5892" s="4" t="s">
        <v>80</v>
      </c>
      <c r="B5892" s="4" t="s">
        <v>2</v>
      </c>
      <c r="C5892" s="4" t="s">
        <v>35</v>
      </c>
      <c r="D5892" s="4">
        <v>2027</v>
      </c>
      <c r="E5892" s="4">
        <v>15825.622436325479</v>
      </c>
      <c r="F5892" s="4" t="s">
        <v>29</v>
      </c>
    </row>
    <row r="5893" spans="1:6" x14ac:dyDescent="0.25">
      <c r="A5893" s="4" t="s">
        <v>80</v>
      </c>
      <c r="B5893" s="4" t="s">
        <v>2</v>
      </c>
      <c r="C5893" s="4" t="s">
        <v>35</v>
      </c>
      <c r="D5893" s="4">
        <v>2028</v>
      </c>
      <c r="E5893" s="4">
        <v>13450.34818277211</v>
      </c>
      <c r="F5893" s="4" t="s">
        <v>29</v>
      </c>
    </row>
    <row r="5894" spans="1:6" x14ac:dyDescent="0.25">
      <c r="A5894" s="4" t="s">
        <v>80</v>
      </c>
      <c r="B5894" s="4" t="s">
        <v>2</v>
      </c>
      <c r="C5894" s="4" t="s">
        <v>35</v>
      </c>
      <c r="D5894" s="4">
        <v>2029</v>
      </c>
      <c r="E5894" s="4">
        <v>11289.707144901271</v>
      </c>
      <c r="F5894" s="4" t="s">
        <v>29</v>
      </c>
    </row>
    <row r="5895" spans="1:6" x14ac:dyDescent="0.25">
      <c r="A5895" s="4" t="s">
        <v>80</v>
      </c>
      <c r="B5895" s="4" t="s">
        <v>2</v>
      </c>
      <c r="C5895" s="4" t="s">
        <v>35</v>
      </c>
      <c r="D5895" s="4">
        <v>2030</v>
      </c>
      <c r="E5895" s="4">
        <v>9601.2591815320066</v>
      </c>
      <c r="F5895" s="4" t="s">
        <v>29</v>
      </c>
    </row>
    <row r="5896" spans="1:6" x14ac:dyDescent="0.25">
      <c r="A5896" s="4" t="s">
        <v>80</v>
      </c>
      <c r="B5896" s="4" t="s">
        <v>2</v>
      </c>
      <c r="C5896" s="4" t="s">
        <v>35</v>
      </c>
      <c r="D5896" s="4">
        <v>2031</v>
      </c>
      <c r="E5896" s="4">
        <v>8399.3131737098156</v>
      </c>
      <c r="F5896" s="4" t="s">
        <v>29</v>
      </c>
    </row>
    <row r="5897" spans="1:6" x14ac:dyDescent="0.25">
      <c r="A5897" s="4" t="s">
        <v>80</v>
      </c>
      <c r="B5897" s="4" t="s">
        <v>2</v>
      </c>
      <c r="C5897" s="4" t="s">
        <v>35</v>
      </c>
      <c r="D5897" s="4">
        <v>2032</v>
      </c>
      <c r="E5897" s="4">
        <v>7148.8759579000925</v>
      </c>
      <c r="F5897" s="4" t="s">
        <v>29</v>
      </c>
    </row>
    <row r="5898" spans="1:6" x14ac:dyDescent="0.25">
      <c r="A5898" s="4" t="s">
        <v>80</v>
      </c>
      <c r="B5898" s="4" t="s">
        <v>2</v>
      </c>
      <c r="C5898" s="4" t="s">
        <v>35</v>
      </c>
      <c r="D5898" s="4">
        <v>2033</v>
      </c>
      <c r="E5898" s="4">
        <v>6094.7883875480939</v>
      </c>
      <c r="F5898" s="4" t="s">
        <v>29</v>
      </c>
    </row>
    <row r="5899" spans="1:6" x14ac:dyDescent="0.25">
      <c r="A5899" s="4" t="s">
        <v>80</v>
      </c>
      <c r="B5899" s="4" t="s">
        <v>2</v>
      </c>
      <c r="C5899" s="4" t="s">
        <v>35</v>
      </c>
      <c r="D5899" s="4">
        <v>2034</v>
      </c>
      <c r="E5899" s="4">
        <v>5202.8681357117875</v>
      </c>
      <c r="F5899" s="4" t="s">
        <v>29</v>
      </c>
    </row>
    <row r="5900" spans="1:6" x14ac:dyDescent="0.25">
      <c r="A5900" s="4" t="s">
        <v>80</v>
      </c>
      <c r="B5900" s="4" t="s">
        <v>2</v>
      </c>
      <c r="C5900" s="4" t="s">
        <v>35</v>
      </c>
      <c r="D5900" s="4">
        <v>2035</v>
      </c>
      <c r="E5900" s="4">
        <v>4689.3382937454298</v>
      </c>
      <c r="F5900" s="4" t="s">
        <v>29</v>
      </c>
    </row>
    <row r="5901" spans="1:6" x14ac:dyDescent="0.25">
      <c r="A5901" s="4" t="s">
        <v>80</v>
      </c>
      <c r="B5901" s="4" t="s">
        <v>2</v>
      </c>
      <c r="C5901" s="4" t="s">
        <v>35</v>
      </c>
      <c r="D5901" s="4">
        <v>2036</v>
      </c>
      <c r="E5901" s="4">
        <v>4057.3627142357468</v>
      </c>
      <c r="F5901" s="4" t="s">
        <v>29</v>
      </c>
    </row>
    <row r="5902" spans="1:6" x14ac:dyDescent="0.25">
      <c r="A5902" s="4" t="s">
        <v>80</v>
      </c>
      <c r="B5902" s="4" t="s">
        <v>2</v>
      </c>
      <c r="C5902" s="4" t="s">
        <v>35</v>
      </c>
      <c r="D5902" s="4">
        <v>2037</v>
      </c>
      <c r="E5902" s="4">
        <v>4062.4154697951944</v>
      </c>
      <c r="F5902" s="4" t="s">
        <v>29</v>
      </c>
    </row>
    <row r="5903" spans="1:6" x14ac:dyDescent="0.25">
      <c r="A5903" s="4" t="s">
        <v>80</v>
      </c>
      <c r="B5903" s="4" t="s">
        <v>2</v>
      </c>
      <c r="C5903" s="4" t="s">
        <v>35</v>
      </c>
      <c r="D5903" s="4">
        <v>2038</v>
      </c>
      <c r="E5903" s="4">
        <v>3795.3163569458188</v>
      </c>
      <c r="F5903" s="4" t="s">
        <v>29</v>
      </c>
    </row>
    <row r="5904" spans="1:6" x14ac:dyDescent="0.25">
      <c r="A5904" s="4" t="s">
        <v>80</v>
      </c>
      <c r="B5904" s="4" t="s">
        <v>2</v>
      </c>
      <c r="C5904" s="4" t="s">
        <v>35</v>
      </c>
      <c r="D5904" s="4">
        <v>2039</v>
      </c>
      <c r="E5904" s="4">
        <v>3426.9878999571829</v>
      </c>
      <c r="F5904" s="4" t="s">
        <v>29</v>
      </c>
    </row>
    <row r="5905" spans="1:6" x14ac:dyDescent="0.25">
      <c r="A5905" s="4" t="s">
        <v>80</v>
      </c>
      <c r="B5905" s="4" t="s">
        <v>2</v>
      </c>
      <c r="C5905" s="4" t="s">
        <v>35</v>
      </c>
      <c r="D5905" s="4">
        <v>2040</v>
      </c>
      <c r="E5905" s="4">
        <v>3102.5337753013951</v>
      </c>
      <c r="F5905" s="4" t="s">
        <v>29</v>
      </c>
    </row>
    <row r="5906" spans="1:6" x14ac:dyDescent="0.25">
      <c r="A5906" s="4" t="s">
        <v>80</v>
      </c>
      <c r="B5906" s="4" t="s">
        <v>23</v>
      </c>
      <c r="C5906" s="4" t="s">
        <v>35</v>
      </c>
      <c r="D5906" s="4">
        <v>2005</v>
      </c>
      <c r="E5906" s="4">
        <v>48470</v>
      </c>
      <c r="F5906" s="4" t="s">
        <v>29</v>
      </c>
    </row>
    <row r="5907" spans="1:6" x14ac:dyDescent="0.25">
      <c r="A5907" s="4" t="s">
        <v>80</v>
      </c>
      <c r="B5907" s="4" t="s">
        <v>23</v>
      </c>
      <c r="C5907" s="4" t="s">
        <v>35</v>
      </c>
      <c r="D5907" s="4">
        <v>2006</v>
      </c>
      <c r="E5907" s="4">
        <v>48280</v>
      </c>
      <c r="F5907" s="4" t="s">
        <v>29</v>
      </c>
    </row>
    <row r="5908" spans="1:6" x14ac:dyDescent="0.25">
      <c r="A5908" s="4" t="s">
        <v>80</v>
      </c>
      <c r="B5908" s="4" t="s">
        <v>23</v>
      </c>
      <c r="C5908" s="4" t="s">
        <v>35</v>
      </c>
      <c r="D5908" s="4">
        <v>2007</v>
      </c>
      <c r="E5908" s="4">
        <v>58580</v>
      </c>
      <c r="F5908" s="4" t="s">
        <v>29</v>
      </c>
    </row>
    <row r="5909" spans="1:6" x14ac:dyDescent="0.25">
      <c r="A5909" s="4" t="s">
        <v>80</v>
      </c>
      <c r="B5909" s="4" t="s">
        <v>23</v>
      </c>
      <c r="C5909" s="4" t="s">
        <v>35</v>
      </c>
      <c r="D5909" s="4">
        <v>2008</v>
      </c>
      <c r="E5909" s="4">
        <v>54550</v>
      </c>
      <c r="F5909" s="4" t="s">
        <v>29</v>
      </c>
    </row>
    <row r="5910" spans="1:6" x14ac:dyDescent="0.25">
      <c r="A5910" s="4" t="s">
        <v>80</v>
      </c>
      <c r="B5910" s="4" t="s">
        <v>23</v>
      </c>
      <c r="C5910" s="4" t="s">
        <v>35</v>
      </c>
      <c r="D5910" s="4">
        <v>2009</v>
      </c>
      <c r="E5910" s="4">
        <v>42550</v>
      </c>
      <c r="F5910" s="4" t="s">
        <v>29</v>
      </c>
    </row>
    <row r="5911" spans="1:6" x14ac:dyDescent="0.25">
      <c r="A5911" s="4" t="s">
        <v>80</v>
      </c>
      <c r="B5911" s="4" t="s">
        <v>23</v>
      </c>
      <c r="C5911" s="4" t="s">
        <v>35</v>
      </c>
      <c r="D5911" s="4">
        <v>2010</v>
      </c>
      <c r="E5911" s="4">
        <v>43850</v>
      </c>
      <c r="F5911" s="4" t="s">
        <v>29</v>
      </c>
    </row>
    <row r="5912" spans="1:6" x14ac:dyDescent="0.25">
      <c r="A5912" s="4" t="s">
        <v>80</v>
      </c>
      <c r="B5912" s="4" t="s">
        <v>23</v>
      </c>
      <c r="C5912" s="4" t="s">
        <v>35</v>
      </c>
      <c r="D5912" s="4">
        <v>2011</v>
      </c>
      <c r="E5912" s="4">
        <v>42140</v>
      </c>
      <c r="F5912" s="4" t="s">
        <v>29</v>
      </c>
    </row>
    <row r="5913" spans="1:6" x14ac:dyDescent="0.25">
      <c r="A5913" s="4" t="s">
        <v>80</v>
      </c>
      <c r="B5913" s="4" t="s">
        <v>23</v>
      </c>
      <c r="C5913" s="4" t="s">
        <v>35</v>
      </c>
      <c r="D5913" s="4">
        <v>2012</v>
      </c>
      <c r="E5913" s="4">
        <v>31430</v>
      </c>
      <c r="F5913" s="4" t="s">
        <v>29</v>
      </c>
    </row>
    <row r="5914" spans="1:6" x14ac:dyDescent="0.25">
      <c r="A5914" s="4" t="s">
        <v>80</v>
      </c>
      <c r="B5914" s="4" t="s">
        <v>23</v>
      </c>
      <c r="C5914" s="4" t="s">
        <v>35</v>
      </c>
      <c r="D5914" s="4">
        <v>2013</v>
      </c>
      <c r="E5914" s="4">
        <v>36870</v>
      </c>
      <c r="F5914" s="4" t="s">
        <v>29</v>
      </c>
    </row>
    <row r="5915" spans="1:6" x14ac:dyDescent="0.25">
      <c r="A5915" s="4" t="s">
        <v>80</v>
      </c>
      <c r="B5915" s="4" t="s">
        <v>23</v>
      </c>
      <c r="C5915" s="4" t="s">
        <v>35</v>
      </c>
      <c r="D5915" s="4">
        <v>2014</v>
      </c>
      <c r="E5915" s="4">
        <v>34340</v>
      </c>
      <c r="F5915" s="4" t="s">
        <v>29</v>
      </c>
    </row>
    <row r="5916" spans="1:6" x14ac:dyDescent="0.25">
      <c r="A5916" s="4" t="s">
        <v>80</v>
      </c>
      <c r="B5916" s="4" t="s">
        <v>23</v>
      </c>
      <c r="C5916" s="4" t="s">
        <v>35</v>
      </c>
      <c r="D5916" s="4">
        <v>2015</v>
      </c>
      <c r="E5916" s="4">
        <v>27348</v>
      </c>
      <c r="F5916" s="4" t="s">
        <v>29</v>
      </c>
    </row>
    <row r="5917" spans="1:6" x14ac:dyDescent="0.25">
      <c r="A5917" s="4" t="s">
        <v>80</v>
      </c>
      <c r="B5917" s="4" t="s">
        <v>23</v>
      </c>
      <c r="C5917" s="4" t="s">
        <v>35</v>
      </c>
      <c r="D5917" s="4">
        <v>2016</v>
      </c>
      <c r="E5917" s="4">
        <v>33334</v>
      </c>
      <c r="F5917" s="4" t="s">
        <v>29</v>
      </c>
    </row>
    <row r="5918" spans="1:6" x14ac:dyDescent="0.25">
      <c r="A5918" s="4" t="s">
        <v>80</v>
      </c>
      <c r="B5918" s="4" t="s">
        <v>23</v>
      </c>
      <c r="C5918" s="4" t="s">
        <v>35</v>
      </c>
      <c r="D5918" s="4">
        <v>2017</v>
      </c>
      <c r="E5918" s="4">
        <v>35096</v>
      </c>
      <c r="F5918" s="4" t="s">
        <v>29</v>
      </c>
    </row>
    <row r="5919" spans="1:6" x14ac:dyDescent="0.25">
      <c r="A5919" s="4" t="s">
        <v>80</v>
      </c>
      <c r="B5919" s="4" t="s">
        <v>23</v>
      </c>
      <c r="C5919" s="4" t="s">
        <v>35</v>
      </c>
      <c r="D5919" s="4">
        <v>2018</v>
      </c>
      <c r="E5919" s="4">
        <v>36969.915192111439</v>
      </c>
      <c r="F5919" s="4" t="s">
        <v>29</v>
      </c>
    </row>
    <row r="5920" spans="1:6" x14ac:dyDescent="0.25">
      <c r="A5920" s="4" t="s">
        <v>80</v>
      </c>
      <c r="B5920" s="4" t="s">
        <v>23</v>
      </c>
      <c r="C5920" s="4" t="s">
        <v>35</v>
      </c>
      <c r="D5920" s="4">
        <v>2019</v>
      </c>
      <c r="E5920" s="4">
        <v>40805.99870125411</v>
      </c>
      <c r="F5920" s="4" t="s">
        <v>29</v>
      </c>
    </row>
    <row r="5921" spans="1:6" x14ac:dyDescent="0.25">
      <c r="A5921" s="4" t="s">
        <v>80</v>
      </c>
      <c r="B5921" s="4" t="s">
        <v>23</v>
      </c>
      <c r="C5921" s="4" t="s">
        <v>35</v>
      </c>
      <c r="D5921" s="4">
        <v>2020</v>
      </c>
      <c r="E5921" s="4">
        <v>40379.465837304073</v>
      </c>
      <c r="F5921" s="4" t="s">
        <v>29</v>
      </c>
    </row>
    <row r="5922" spans="1:6" x14ac:dyDescent="0.25">
      <c r="A5922" s="4" t="s">
        <v>80</v>
      </c>
      <c r="B5922" s="4" t="s">
        <v>23</v>
      </c>
      <c r="C5922" s="4" t="s">
        <v>35</v>
      </c>
      <c r="D5922" s="4">
        <v>2021</v>
      </c>
      <c r="E5922" s="4">
        <v>44587.255778581653</v>
      </c>
      <c r="F5922" s="4" t="s">
        <v>29</v>
      </c>
    </row>
    <row r="5923" spans="1:6" x14ac:dyDescent="0.25">
      <c r="A5923" s="4" t="s">
        <v>80</v>
      </c>
      <c r="B5923" s="4" t="s">
        <v>23</v>
      </c>
      <c r="C5923" s="4" t="s">
        <v>35</v>
      </c>
      <c r="D5923" s="4">
        <v>2022</v>
      </c>
      <c r="E5923" s="4">
        <v>42833.749612222789</v>
      </c>
      <c r="F5923" s="4" t="s">
        <v>29</v>
      </c>
    </row>
    <row r="5924" spans="1:6" x14ac:dyDescent="0.25">
      <c r="A5924" s="4" t="s">
        <v>80</v>
      </c>
      <c r="B5924" s="4" t="s">
        <v>23</v>
      </c>
      <c r="C5924" s="4" t="s">
        <v>35</v>
      </c>
      <c r="D5924" s="4">
        <v>2023</v>
      </c>
      <c r="E5924" s="4">
        <v>47067.245763405088</v>
      </c>
      <c r="F5924" s="4" t="s">
        <v>29</v>
      </c>
    </row>
    <row r="5925" spans="1:6" x14ac:dyDescent="0.25">
      <c r="A5925" s="4" t="s">
        <v>80</v>
      </c>
      <c r="B5925" s="4" t="s">
        <v>23</v>
      </c>
      <c r="C5925" s="4" t="s">
        <v>35</v>
      </c>
      <c r="D5925" s="4">
        <v>2024</v>
      </c>
      <c r="E5925" s="4">
        <v>46791.574279482971</v>
      </c>
      <c r="F5925" s="4" t="s">
        <v>29</v>
      </c>
    </row>
    <row r="5926" spans="1:6" x14ac:dyDescent="0.25">
      <c r="A5926" s="4" t="s">
        <v>80</v>
      </c>
      <c r="B5926" s="4" t="s">
        <v>23</v>
      </c>
      <c r="C5926" s="4" t="s">
        <v>35</v>
      </c>
      <c r="D5926" s="4">
        <v>2025</v>
      </c>
      <c r="E5926" s="4">
        <v>44818.121509633376</v>
      </c>
      <c r="F5926" s="4" t="s">
        <v>29</v>
      </c>
    </row>
    <row r="5927" spans="1:6" x14ac:dyDescent="0.25">
      <c r="A5927" s="4" t="s">
        <v>80</v>
      </c>
      <c r="B5927" s="4" t="s">
        <v>23</v>
      </c>
      <c r="C5927" s="4" t="s">
        <v>35</v>
      </c>
      <c r="D5927" s="4">
        <v>2026</v>
      </c>
      <c r="E5927" s="4">
        <v>36195.530912476155</v>
      </c>
      <c r="F5927" s="4" t="s">
        <v>29</v>
      </c>
    </row>
    <row r="5928" spans="1:6" x14ac:dyDescent="0.25">
      <c r="A5928" s="4" t="s">
        <v>80</v>
      </c>
      <c r="B5928" s="4" t="s">
        <v>23</v>
      </c>
      <c r="C5928" s="4" t="s">
        <v>35</v>
      </c>
      <c r="D5928" s="4">
        <v>2027</v>
      </c>
      <c r="E5928" s="4">
        <v>32464.651401246723</v>
      </c>
      <c r="F5928" s="4" t="s">
        <v>29</v>
      </c>
    </row>
    <row r="5929" spans="1:6" x14ac:dyDescent="0.25">
      <c r="A5929" s="4" t="s">
        <v>80</v>
      </c>
      <c r="B5929" s="4" t="s">
        <v>23</v>
      </c>
      <c r="C5929" s="4" t="s">
        <v>35</v>
      </c>
      <c r="D5929" s="4">
        <v>2028</v>
      </c>
      <c r="E5929" s="4">
        <v>28572.353033245214</v>
      </c>
      <c r="F5929" s="4" t="s">
        <v>29</v>
      </c>
    </row>
    <row r="5930" spans="1:6" x14ac:dyDescent="0.25">
      <c r="A5930" s="4" t="s">
        <v>80</v>
      </c>
      <c r="B5930" s="4" t="s">
        <v>23</v>
      </c>
      <c r="C5930" s="4" t="s">
        <v>35</v>
      </c>
      <c r="D5930" s="4">
        <v>2029</v>
      </c>
      <c r="E5930" s="4">
        <v>26031.024115314554</v>
      </c>
      <c r="F5930" s="4" t="s">
        <v>29</v>
      </c>
    </row>
    <row r="5931" spans="1:6" x14ac:dyDescent="0.25">
      <c r="A5931" s="4" t="s">
        <v>80</v>
      </c>
      <c r="B5931" s="4" t="s">
        <v>23</v>
      </c>
      <c r="C5931" s="4" t="s">
        <v>35</v>
      </c>
      <c r="D5931" s="4">
        <v>2030</v>
      </c>
      <c r="E5931" s="4">
        <v>22350.211249704924</v>
      </c>
      <c r="F5931" s="4" t="s">
        <v>29</v>
      </c>
    </row>
    <row r="5932" spans="1:6" x14ac:dyDescent="0.25">
      <c r="A5932" s="4" t="s">
        <v>80</v>
      </c>
      <c r="B5932" s="4" t="s">
        <v>23</v>
      </c>
      <c r="C5932" s="4" t="s">
        <v>35</v>
      </c>
      <c r="D5932" s="4">
        <v>2031</v>
      </c>
      <c r="E5932" s="4">
        <v>19143.747236447132</v>
      </c>
      <c r="F5932" s="4" t="s">
        <v>29</v>
      </c>
    </row>
    <row r="5933" spans="1:6" x14ac:dyDescent="0.25">
      <c r="A5933" s="4" t="s">
        <v>80</v>
      </c>
      <c r="B5933" s="4" t="s">
        <v>23</v>
      </c>
      <c r="C5933" s="4" t="s">
        <v>35</v>
      </c>
      <c r="D5933" s="4">
        <v>2032</v>
      </c>
      <c r="E5933" s="4">
        <v>13677.909291544251</v>
      </c>
      <c r="F5933" s="4" t="s">
        <v>29</v>
      </c>
    </row>
    <row r="5934" spans="1:6" x14ac:dyDescent="0.25">
      <c r="A5934" s="4" t="s">
        <v>80</v>
      </c>
      <c r="B5934" s="4" t="s">
        <v>23</v>
      </c>
      <c r="C5934" s="4" t="s">
        <v>35</v>
      </c>
      <c r="D5934" s="4">
        <v>2033</v>
      </c>
      <c r="E5934" s="4">
        <v>12223.812063139017</v>
      </c>
      <c r="F5934" s="4" t="s">
        <v>29</v>
      </c>
    </row>
    <row r="5935" spans="1:6" x14ac:dyDescent="0.25">
      <c r="A5935" s="4" t="s">
        <v>80</v>
      </c>
      <c r="B5935" s="4" t="s">
        <v>23</v>
      </c>
      <c r="C5935" s="4" t="s">
        <v>35</v>
      </c>
      <c r="D5935" s="4">
        <v>2034</v>
      </c>
      <c r="E5935" s="4">
        <v>11096.372577236656</v>
      </c>
      <c r="F5935" s="4" t="s">
        <v>29</v>
      </c>
    </row>
    <row r="5936" spans="1:6" x14ac:dyDescent="0.25">
      <c r="A5936" s="4" t="s">
        <v>80</v>
      </c>
      <c r="B5936" s="4" t="s">
        <v>23</v>
      </c>
      <c r="C5936" s="4" t="s">
        <v>35</v>
      </c>
      <c r="D5936" s="4">
        <v>2035</v>
      </c>
      <c r="E5936" s="4">
        <v>10486.685342008295</v>
      </c>
      <c r="F5936" s="4" t="s">
        <v>29</v>
      </c>
    </row>
    <row r="5937" spans="1:6" x14ac:dyDescent="0.25">
      <c r="A5937" s="4" t="s">
        <v>80</v>
      </c>
      <c r="B5937" s="4" t="s">
        <v>23</v>
      </c>
      <c r="C5937" s="4" t="s">
        <v>35</v>
      </c>
      <c r="D5937" s="4">
        <v>2036</v>
      </c>
      <c r="E5937" s="4">
        <v>9620.1899962242624</v>
      </c>
      <c r="F5937" s="4" t="s">
        <v>29</v>
      </c>
    </row>
    <row r="5938" spans="1:6" x14ac:dyDescent="0.25">
      <c r="A5938" s="4" t="s">
        <v>80</v>
      </c>
      <c r="B5938" s="4" t="s">
        <v>23</v>
      </c>
      <c r="C5938" s="4" t="s">
        <v>35</v>
      </c>
      <c r="D5938" s="4">
        <v>2037</v>
      </c>
      <c r="E5938" s="4">
        <v>9350.8210945575302</v>
      </c>
      <c r="F5938" s="4" t="s">
        <v>29</v>
      </c>
    </row>
    <row r="5939" spans="1:6" x14ac:dyDescent="0.25">
      <c r="A5939" s="4" t="s">
        <v>80</v>
      </c>
      <c r="B5939" s="4" t="s">
        <v>23</v>
      </c>
      <c r="C5939" s="4" t="s">
        <v>35</v>
      </c>
      <c r="D5939" s="4">
        <v>2038</v>
      </c>
      <c r="E5939" s="4">
        <v>8596.6334889727477</v>
      </c>
      <c r="F5939" s="4" t="s">
        <v>29</v>
      </c>
    </row>
    <row r="5940" spans="1:6" x14ac:dyDescent="0.25">
      <c r="A5940" s="4" t="s">
        <v>80</v>
      </c>
      <c r="B5940" s="4" t="s">
        <v>23</v>
      </c>
      <c r="C5940" s="4" t="s">
        <v>35</v>
      </c>
      <c r="D5940" s="4">
        <v>2039</v>
      </c>
      <c r="E5940" s="4">
        <v>8010.0244927969925</v>
      </c>
      <c r="F5940" s="4" t="s">
        <v>29</v>
      </c>
    </row>
    <row r="5941" spans="1:6" x14ac:dyDescent="0.25">
      <c r="A5941" s="4" t="s">
        <v>80</v>
      </c>
      <c r="B5941" s="4" t="s">
        <v>23</v>
      </c>
      <c r="C5941" s="4" t="s">
        <v>35</v>
      </c>
      <c r="D5941" s="4">
        <v>2040</v>
      </c>
      <c r="E5941" s="4">
        <v>7317.2566736315111</v>
      </c>
      <c r="F5941" s="4" t="s">
        <v>29</v>
      </c>
    </row>
    <row r="5942" spans="1:6" x14ac:dyDescent="0.25">
      <c r="A5942" s="4" t="s">
        <v>81</v>
      </c>
      <c r="B5942" s="4" t="s">
        <v>1</v>
      </c>
      <c r="C5942" s="4" t="s">
        <v>35</v>
      </c>
      <c r="D5942" s="4">
        <v>2005</v>
      </c>
      <c r="E5942" s="4">
        <v>2990</v>
      </c>
      <c r="F5942" s="4" t="s">
        <v>29</v>
      </c>
    </row>
    <row r="5943" spans="1:6" x14ac:dyDescent="0.25">
      <c r="A5943" s="4" t="s">
        <v>81</v>
      </c>
      <c r="B5943" s="4" t="s">
        <v>1</v>
      </c>
      <c r="C5943" s="4" t="s">
        <v>35</v>
      </c>
      <c r="D5943" s="4">
        <v>2006</v>
      </c>
      <c r="E5943" s="4">
        <v>2970</v>
      </c>
      <c r="F5943" s="4" t="s">
        <v>29</v>
      </c>
    </row>
    <row r="5944" spans="1:6" x14ac:dyDescent="0.25">
      <c r="A5944" s="4" t="s">
        <v>81</v>
      </c>
      <c r="B5944" s="4" t="s">
        <v>1</v>
      </c>
      <c r="C5944" s="4" t="s">
        <v>35</v>
      </c>
      <c r="D5944" s="4">
        <v>2007</v>
      </c>
      <c r="E5944" s="4">
        <v>2790</v>
      </c>
      <c r="F5944" s="4" t="s">
        <v>29</v>
      </c>
    </row>
    <row r="5945" spans="1:6" x14ac:dyDescent="0.25">
      <c r="A5945" s="4" t="s">
        <v>81</v>
      </c>
      <c r="B5945" s="4" t="s">
        <v>1</v>
      </c>
      <c r="C5945" s="4" t="s">
        <v>35</v>
      </c>
      <c r="D5945" s="4">
        <v>2008</v>
      </c>
      <c r="E5945" s="4">
        <v>2580</v>
      </c>
      <c r="F5945" s="4" t="s">
        <v>29</v>
      </c>
    </row>
    <row r="5946" spans="1:6" x14ac:dyDescent="0.25">
      <c r="A5946" s="4" t="s">
        <v>81</v>
      </c>
      <c r="B5946" s="4" t="s">
        <v>1</v>
      </c>
      <c r="C5946" s="4" t="s">
        <v>35</v>
      </c>
      <c r="D5946" s="4">
        <v>2009</v>
      </c>
      <c r="E5946" s="4">
        <v>2470</v>
      </c>
      <c r="F5946" s="4" t="s">
        <v>29</v>
      </c>
    </row>
    <row r="5947" spans="1:6" x14ac:dyDescent="0.25">
      <c r="A5947" s="4" t="s">
        <v>81</v>
      </c>
      <c r="B5947" s="4" t="s">
        <v>1</v>
      </c>
      <c r="C5947" s="4" t="s">
        <v>35</v>
      </c>
      <c r="D5947" s="4">
        <v>2010</v>
      </c>
      <c r="E5947" s="4">
        <v>2390</v>
      </c>
      <c r="F5947" s="4" t="s">
        <v>29</v>
      </c>
    </row>
    <row r="5948" spans="1:6" x14ac:dyDescent="0.25">
      <c r="A5948" s="4" t="s">
        <v>81</v>
      </c>
      <c r="B5948" s="4" t="s">
        <v>1</v>
      </c>
      <c r="C5948" s="4" t="s">
        <v>35</v>
      </c>
      <c r="D5948" s="4">
        <v>2011</v>
      </c>
      <c r="E5948" s="4">
        <v>1670</v>
      </c>
      <c r="F5948" s="4" t="s">
        <v>29</v>
      </c>
    </row>
    <row r="5949" spans="1:6" x14ac:dyDescent="0.25">
      <c r="A5949" s="4" t="s">
        <v>81</v>
      </c>
      <c r="B5949" s="4" t="s">
        <v>1</v>
      </c>
      <c r="C5949" s="4" t="s">
        <v>35</v>
      </c>
      <c r="D5949" s="4">
        <v>2012</v>
      </c>
      <c r="E5949" s="4">
        <v>2070</v>
      </c>
      <c r="F5949" s="4" t="s">
        <v>29</v>
      </c>
    </row>
    <row r="5950" spans="1:6" x14ac:dyDescent="0.25">
      <c r="A5950" s="4" t="s">
        <v>81</v>
      </c>
      <c r="B5950" s="4" t="s">
        <v>1</v>
      </c>
      <c r="C5950" s="4" t="s">
        <v>35</v>
      </c>
      <c r="D5950" s="4">
        <v>2013</v>
      </c>
      <c r="E5950" s="4">
        <v>1960</v>
      </c>
      <c r="F5950" s="4" t="s">
        <v>29</v>
      </c>
    </row>
    <row r="5951" spans="1:6" x14ac:dyDescent="0.25">
      <c r="A5951" s="4" t="s">
        <v>81</v>
      </c>
      <c r="B5951" s="4" t="s">
        <v>1</v>
      </c>
      <c r="C5951" s="4" t="s">
        <v>35</v>
      </c>
      <c r="D5951" s="4">
        <v>2014</v>
      </c>
      <c r="E5951" s="4">
        <v>1690</v>
      </c>
      <c r="F5951" s="4" t="s">
        <v>29</v>
      </c>
    </row>
    <row r="5952" spans="1:6" x14ac:dyDescent="0.25">
      <c r="A5952" s="4" t="s">
        <v>81</v>
      </c>
      <c r="B5952" s="4" t="s">
        <v>1</v>
      </c>
      <c r="C5952" s="4" t="s">
        <v>35</v>
      </c>
      <c r="D5952" s="4">
        <v>2015</v>
      </c>
      <c r="E5952" s="4">
        <v>1576</v>
      </c>
      <c r="F5952" s="4" t="s">
        <v>29</v>
      </c>
    </row>
    <row r="5953" spans="1:6" x14ac:dyDescent="0.25">
      <c r="A5953" s="4" t="s">
        <v>81</v>
      </c>
      <c r="B5953" s="4" t="s">
        <v>1</v>
      </c>
      <c r="C5953" s="4" t="s">
        <v>35</v>
      </c>
      <c r="D5953" s="4">
        <v>2016</v>
      </c>
      <c r="E5953" s="4">
        <v>1428</v>
      </c>
      <c r="F5953" s="4" t="s">
        <v>29</v>
      </c>
    </row>
    <row r="5954" spans="1:6" x14ac:dyDescent="0.25">
      <c r="A5954" s="4" t="s">
        <v>81</v>
      </c>
      <c r="B5954" s="4" t="s">
        <v>1</v>
      </c>
      <c r="C5954" s="4" t="s">
        <v>35</v>
      </c>
      <c r="D5954" s="4">
        <v>2017</v>
      </c>
      <c r="E5954" s="4">
        <v>54</v>
      </c>
      <c r="F5954" s="4" t="s">
        <v>29</v>
      </c>
    </row>
    <row r="5955" spans="1:6" x14ac:dyDescent="0.25">
      <c r="A5955" s="4" t="s">
        <v>81</v>
      </c>
      <c r="B5955" s="4" t="s">
        <v>1</v>
      </c>
      <c r="C5955" s="4" t="s">
        <v>35</v>
      </c>
      <c r="D5955" s="4">
        <v>2018</v>
      </c>
      <c r="E5955" s="4">
        <v>100</v>
      </c>
      <c r="F5955" s="4" t="s">
        <v>29</v>
      </c>
    </row>
    <row r="5956" spans="1:6" x14ac:dyDescent="0.25">
      <c r="A5956" s="4" t="s">
        <v>81</v>
      </c>
      <c r="B5956" s="4" t="s">
        <v>1</v>
      </c>
      <c r="C5956" s="4" t="s">
        <v>35</v>
      </c>
      <c r="D5956" s="4">
        <v>2019</v>
      </c>
      <c r="E5956" s="4">
        <v>1091.6307692307691</v>
      </c>
      <c r="F5956" s="4" t="s">
        <v>29</v>
      </c>
    </row>
    <row r="5957" spans="1:6" x14ac:dyDescent="0.25">
      <c r="A5957" s="4" t="s">
        <v>81</v>
      </c>
      <c r="B5957" s="4" t="s">
        <v>1</v>
      </c>
      <c r="C5957" s="4" t="s">
        <v>35</v>
      </c>
      <c r="D5957" s="4">
        <v>2020</v>
      </c>
      <c r="E5957" s="4">
        <v>1109.9644927536233</v>
      </c>
      <c r="F5957" s="4" t="s">
        <v>29</v>
      </c>
    </row>
    <row r="5958" spans="1:6" x14ac:dyDescent="0.25">
      <c r="A5958" s="4" t="s">
        <v>81</v>
      </c>
      <c r="B5958" s="4" t="s">
        <v>1</v>
      </c>
      <c r="C5958" s="4" t="s">
        <v>35</v>
      </c>
      <c r="D5958" s="4">
        <v>2021</v>
      </c>
      <c r="E5958" s="4">
        <v>1057.4353104988802</v>
      </c>
      <c r="F5958" s="4" t="s">
        <v>29</v>
      </c>
    </row>
    <row r="5959" spans="1:6" x14ac:dyDescent="0.25">
      <c r="A5959" s="4" t="s">
        <v>81</v>
      </c>
      <c r="B5959" s="4" t="s">
        <v>1</v>
      </c>
      <c r="C5959" s="4" t="s">
        <v>35</v>
      </c>
      <c r="D5959" s="4">
        <v>2022</v>
      </c>
      <c r="E5959" s="4">
        <v>961.60523548491892</v>
      </c>
      <c r="F5959" s="4" t="s">
        <v>29</v>
      </c>
    </row>
    <row r="5960" spans="1:6" x14ac:dyDescent="0.25">
      <c r="A5960" s="4" t="s">
        <v>81</v>
      </c>
      <c r="B5960" s="4" t="s">
        <v>1</v>
      </c>
      <c r="C5960" s="4" t="s">
        <v>35</v>
      </c>
      <c r="D5960" s="4">
        <v>2023</v>
      </c>
      <c r="E5960" s="4">
        <v>932.75707842037127</v>
      </c>
      <c r="F5960" s="4" t="s">
        <v>29</v>
      </c>
    </row>
    <row r="5961" spans="1:6" x14ac:dyDescent="0.25">
      <c r="A5961" s="4" t="s">
        <v>81</v>
      </c>
      <c r="B5961" s="4" t="s">
        <v>1</v>
      </c>
      <c r="C5961" s="4" t="s">
        <v>35</v>
      </c>
      <c r="D5961" s="4">
        <v>2024</v>
      </c>
      <c r="E5961" s="4">
        <v>904.77436606776018</v>
      </c>
      <c r="F5961" s="4" t="s">
        <v>29</v>
      </c>
    </row>
    <row r="5962" spans="1:6" x14ac:dyDescent="0.25">
      <c r="A5962" s="4" t="s">
        <v>81</v>
      </c>
      <c r="B5962" s="4" t="s">
        <v>1</v>
      </c>
      <c r="C5962" s="4" t="s">
        <v>35</v>
      </c>
      <c r="D5962" s="4">
        <v>2025</v>
      </c>
      <c r="E5962" s="4">
        <v>877.63113508572735</v>
      </c>
      <c r="F5962" s="4" t="s">
        <v>29</v>
      </c>
    </row>
    <row r="5963" spans="1:6" x14ac:dyDescent="0.25">
      <c r="A5963" s="4" t="s">
        <v>81</v>
      </c>
      <c r="B5963" s="4" t="s">
        <v>1</v>
      </c>
      <c r="C5963" s="4" t="s">
        <v>35</v>
      </c>
      <c r="D5963" s="4">
        <v>2026</v>
      </c>
      <c r="E5963" s="4">
        <v>842.77983940018203</v>
      </c>
      <c r="F5963" s="4" t="s">
        <v>29</v>
      </c>
    </row>
    <row r="5964" spans="1:6" x14ac:dyDescent="0.25">
      <c r="A5964" s="4" t="s">
        <v>81</v>
      </c>
      <c r="B5964" s="4" t="s">
        <v>1</v>
      </c>
      <c r="C5964" s="4" t="s">
        <v>35</v>
      </c>
      <c r="D5964" s="4">
        <v>2027</v>
      </c>
      <c r="E5964" s="4">
        <v>809.23179417711435</v>
      </c>
      <c r="F5964" s="4" t="s">
        <v>29</v>
      </c>
    </row>
    <row r="5965" spans="1:6" x14ac:dyDescent="0.25">
      <c r="A5965" s="4" t="s">
        <v>81</v>
      </c>
      <c r="B5965" s="4" t="s">
        <v>1</v>
      </c>
      <c r="C5965" s="4" t="s">
        <v>35</v>
      </c>
      <c r="D5965" s="4">
        <v>2028</v>
      </c>
      <c r="E5965" s="4">
        <v>768.9506313140123</v>
      </c>
      <c r="F5965" s="4" t="s">
        <v>29</v>
      </c>
    </row>
    <row r="5966" spans="1:6" x14ac:dyDescent="0.25">
      <c r="A5966" s="4" t="s">
        <v>81</v>
      </c>
      <c r="B5966" s="4" t="s">
        <v>1</v>
      </c>
      <c r="C5966" s="4" t="s">
        <v>35</v>
      </c>
      <c r="D5966" s="4">
        <v>2029</v>
      </c>
      <c r="E5966" s="4">
        <v>738.11250703735652</v>
      </c>
      <c r="F5966" s="4" t="s">
        <v>29</v>
      </c>
    </row>
    <row r="5967" spans="1:6" x14ac:dyDescent="0.25">
      <c r="A5967" s="4" t="s">
        <v>81</v>
      </c>
      <c r="B5967" s="4" t="s">
        <v>1</v>
      </c>
      <c r="C5967" s="4" t="s">
        <v>35</v>
      </c>
      <c r="D5967" s="4">
        <v>2030</v>
      </c>
      <c r="E5967" s="4">
        <v>708.43261464911745</v>
      </c>
      <c r="F5967" s="4" t="s">
        <v>29</v>
      </c>
    </row>
    <row r="5968" spans="1:6" x14ac:dyDescent="0.25">
      <c r="A5968" s="4" t="s">
        <v>81</v>
      </c>
      <c r="B5968" s="4" t="s">
        <v>1</v>
      </c>
      <c r="C5968" s="4" t="s">
        <v>35</v>
      </c>
      <c r="D5968" s="4">
        <v>2031</v>
      </c>
      <c r="E5968" s="4">
        <v>679.86921454783931</v>
      </c>
      <c r="F5968" s="4" t="s">
        <v>29</v>
      </c>
    </row>
    <row r="5969" spans="1:6" x14ac:dyDescent="0.25">
      <c r="A5969" s="4" t="s">
        <v>81</v>
      </c>
      <c r="B5969" s="4" t="s">
        <v>1</v>
      </c>
      <c r="C5969" s="4" t="s">
        <v>35</v>
      </c>
      <c r="D5969" s="4">
        <v>2032</v>
      </c>
      <c r="E5969" s="4">
        <v>652.38202909945358</v>
      </c>
      <c r="F5969" s="4" t="s">
        <v>29</v>
      </c>
    </row>
    <row r="5970" spans="1:6" x14ac:dyDescent="0.25">
      <c r="A5970" s="4" t="s">
        <v>81</v>
      </c>
      <c r="B5970" s="4" t="s">
        <v>1</v>
      </c>
      <c r="C5970" s="4" t="s">
        <v>35</v>
      </c>
      <c r="D5970" s="4">
        <v>2033</v>
      </c>
      <c r="E5970" s="4">
        <v>632.81056822646997</v>
      </c>
      <c r="F5970" s="4" t="s">
        <v>29</v>
      </c>
    </row>
    <row r="5971" spans="1:6" x14ac:dyDescent="0.25">
      <c r="A5971" s="4" t="s">
        <v>81</v>
      </c>
      <c r="B5971" s="4" t="s">
        <v>1</v>
      </c>
      <c r="C5971" s="4" t="s">
        <v>35</v>
      </c>
      <c r="D5971" s="4">
        <v>2034</v>
      </c>
      <c r="E5971" s="4">
        <v>607.15422671033161</v>
      </c>
      <c r="F5971" s="4" t="s">
        <v>29</v>
      </c>
    </row>
    <row r="5972" spans="1:6" x14ac:dyDescent="0.25">
      <c r="A5972" s="4" t="s">
        <v>81</v>
      </c>
      <c r="B5972" s="4" t="s">
        <v>1</v>
      </c>
      <c r="C5972" s="4" t="s">
        <v>35</v>
      </c>
      <c r="D5972" s="4">
        <v>2035</v>
      </c>
      <c r="E5972" s="4">
        <v>582.46773617375766</v>
      </c>
      <c r="F5972" s="4" t="s">
        <v>29</v>
      </c>
    </row>
    <row r="5973" spans="1:6" x14ac:dyDescent="0.25">
      <c r="A5973" s="4" t="s">
        <v>81</v>
      </c>
      <c r="B5973" s="4" t="s">
        <v>1</v>
      </c>
      <c r="C5973" s="4" t="s">
        <v>35</v>
      </c>
      <c r="D5973" s="4">
        <v>2036</v>
      </c>
      <c r="E5973" s="4">
        <v>564.99370408854486</v>
      </c>
      <c r="F5973" s="4" t="s">
        <v>29</v>
      </c>
    </row>
    <row r="5974" spans="1:6" x14ac:dyDescent="0.25">
      <c r="A5974" s="4" t="s">
        <v>81</v>
      </c>
      <c r="B5974" s="4" t="s">
        <v>1</v>
      </c>
      <c r="C5974" s="4" t="s">
        <v>35</v>
      </c>
      <c r="D5974" s="4">
        <v>2037</v>
      </c>
      <c r="E5974" s="4">
        <v>541.95451637737858</v>
      </c>
      <c r="F5974" s="4" t="s">
        <v>29</v>
      </c>
    </row>
    <row r="5975" spans="1:6" x14ac:dyDescent="0.25">
      <c r="A5975" s="4" t="s">
        <v>81</v>
      </c>
      <c r="B5975" s="4" t="s">
        <v>1</v>
      </c>
      <c r="C5975" s="4" t="s">
        <v>35</v>
      </c>
      <c r="D5975" s="4">
        <v>2038</v>
      </c>
      <c r="E5975" s="4">
        <v>519.78918559520264</v>
      </c>
      <c r="F5975" s="4" t="s">
        <v>29</v>
      </c>
    </row>
    <row r="5976" spans="1:6" x14ac:dyDescent="0.25">
      <c r="A5976" s="4" t="s">
        <v>81</v>
      </c>
      <c r="B5976" s="4" t="s">
        <v>1</v>
      </c>
      <c r="C5976" s="4" t="s">
        <v>35</v>
      </c>
      <c r="D5976" s="4">
        <v>2039</v>
      </c>
      <c r="E5976" s="4">
        <v>504.19551002734659</v>
      </c>
      <c r="F5976" s="4" t="s">
        <v>29</v>
      </c>
    </row>
    <row r="5977" spans="1:6" x14ac:dyDescent="0.25">
      <c r="A5977" s="4" t="s">
        <v>81</v>
      </c>
      <c r="B5977" s="4" t="s">
        <v>1</v>
      </c>
      <c r="C5977" s="4" t="s">
        <v>35</v>
      </c>
      <c r="D5977" s="4">
        <v>2040</v>
      </c>
      <c r="E5977" s="4">
        <v>483.42843356486094</v>
      </c>
      <c r="F5977" s="4" t="s">
        <v>29</v>
      </c>
    </row>
    <row r="5978" spans="1:6" x14ac:dyDescent="0.25">
      <c r="A5978" s="4" t="s">
        <v>81</v>
      </c>
      <c r="B5978" s="4" t="s">
        <v>23</v>
      </c>
      <c r="C5978" s="4" t="s">
        <v>35</v>
      </c>
      <c r="D5978" s="4">
        <v>2005</v>
      </c>
      <c r="E5978" s="4">
        <v>2990</v>
      </c>
      <c r="F5978" s="4" t="s">
        <v>29</v>
      </c>
    </row>
    <row r="5979" spans="1:6" x14ac:dyDescent="0.25">
      <c r="A5979" s="4" t="s">
        <v>81</v>
      </c>
      <c r="B5979" s="4" t="s">
        <v>23</v>
      </c>
      <c r="C5979" s="4" t="s">
        <v>35</v>
      </c>
      <c r="D5979" s="4">
        <v>2006</v>
      </c>
      <c r="E5979" s="4">
        <v>2970</v>
      </c>
      <c r="F5979" s="4" t="s">
        <v>29</v>
      </c>
    </row>
    <row r="5980" spans="1:6" x14ac:dyDescent="0.25">
      <c r="A5980" s="4" t="s">
        <v>81</v>
      </c>
      <c r="B5980" s="4" t="s">
        <v>23</v>
      </c>
      <c r="C5980" s="4" t="s">
        <v>35</v>
      </c>
      <c r="D5980" s="4">
        <v>2007</v>
      </c>
      <c r="E5980" s="4">
        <v>2790</v>
      </c>
      <c r="F5980" s="4" t="s">
        <v>29</v>
      </c>
    </row>
    <row r="5981" spans="1:6" x14ac:dyDescent="0.25">
      <c r="A5981" s="4" t="s">
        <v>81</v>
      </c>
      <c r="B5981" s="4" t="s">
        <v>23</v>
      </c>
      <c r="C5981" s="4" t="s">
        <v>35</v>
      </c>
      <c r="D5981" s="4">
        <v>2008</v>
      </c>
      <c r="E5981" s="4">
        <v>2580</v>
      </c>
      <c r="F5981" s="4" t="s">
        <v>29</v>
      </c>
    </row>
    <row r="5982" spans="1:6" x14ac:dyDescent="0.25">
      <c r="A5982" s="4" t="s">
        <v>81</v>
      </c>
      <c r="B5982" s="4" t="s">
        <v>23</v>
      </c>
      <c r="C5982" s="4" t="s">
        <v>35</v>
      </c>
      <c r="D5982" s="4">
        <v>2009</v>
      </c>
      <c r="E5982" s="4">
        <v>2470</v>
      </c>
      <c r="F5982" s="4" t="s">
        <v>29</v>
      </c>
    </row>
    <row r="5983" spans="1:6" x14ac:dyDescent="0.25">
      <c r="A5983" s="4" t="s">
        <v>81</v>
      </c>
      <c r="B5983" s="4" t="s">
        <v>23</v>
      </c>
      <c r="C5983" s="4" t="s">
        <v>35</v>
      </c>
      <c r="D5983" s="4">
        <v>2010</v>
      </c>
      <c r="E5983" s="4">
        <v>2390</v>
      </c>
      <c r="F5983" s="4" t="s">
        <v>29</v>
      </c>
    </row>
    <row r="5984" spans="1:6" x14ac:dyDescent="0.25">
      <c r="A5984" s="4" t="s">
        <v>81</v>
      </c>
      <c r="B5984" s="4" t="s">
        <v>23</v>
      </c>
      <c r="C5984" s="4" t="s">
        <v>35</v>
      </c>
      <c r="D5984" s="4">
        <v>2011</v>
      </c>
      <c r="E5984" s="4">
        <v>1670</v>
      </c>
      <c r="F5984" s="4" t="s">
        <v>29</v>
      </c>
    </row>
    <row r="5985" spans="1:6" x14ac:dyDescent="0.25">
      <c r="A5985" s="4" t="s">
        <v>81</v>
      </c>
      <c r="B5985" s="4" t="s">
        <v>23</v>
      </c>
      <c r="C5985" s="4" t="s">
        <v>35</v>
      </c>
      <c r="D5985" s="4">
        <v>2012</v>
      </c>
      <c r="E5985" s="4">
        <v>2070</v>
      </c>
      <c r="F5985" s="4" t="s">
        <v>29</v>
      </c>
    </row>
    <row r="5986" spans="1:6" x14ac:dyDescent="0.25">
      <c r="A5986" s="4" t="s">
        <v>81</v>
      </c>
      <c r="B5986" s="4" t="s">
        <v>23</v>
      </c>
      <c r="C5986" s="4" t="s">
        <v>35</v>
      </c>
      <c r="D5986" s="4">
        <v>2013</v>
      </c>
      <c r="E5986" s="4">
        <v>1960</v>
      </c>
      <c r="F5986" s="4" t="s">
        <v>29</v>
      </c>
    </row>
    <row r="5987" spans="1:6" x14ac:dyDescent="0.25">
      <c r="A5987" s="4" t="s">
        <v>81</v>
      </c>
      <c r="B5987" s="4" t="s">
        <v>23</v>
      </c>
      <c r="C5987" s="4" t="s">
        <v>35</v>
      </c>
      <c r="D5987" s="4">
        <v>2014</v>
      </c>
      <c r="E5987" s="4">
        <v>1690</v>
      </c>
      <c r="F5987" s="4" t="s">
        <v>29</v>
      </c>
    </row>
    <row r="5988" spans="1:6" x14ac:dyDescent="0.25">
      <c r="A5988" s="4" t="s">
        <v>81</v>
      </c>
      <c r="B5988" s="4" t="s">
        <v>23</v>
      </c>
      <c r="C5988" s="4" t="s">
        <v>35</v>
      </c>
      <c r="D5988" s="4">
        <v>2015</v>
      </c>
      <c r="E5988" s="4">
        <v>1576</v>
      </c>
      <c r="F5988" s="4" t="s">
        <v>29</v>
      </c>
    </row>
    <row r="5989" spans="1:6" x14ac:dyDescent="0.25">
      <c r="A5989" s="4" t="s">
        <v>81</v>
      </c>
      <c r="B5989" s="4" t="s">
        <v>23</v>
      </c>
      <c r="C5989" s="4" t="s">
        <v>35</v>
      </c>
      <c r="D5989" s="4">
        <v>2016</v>
      </c>
      <c r="E5989" s="4">
        <v>1428</v>
      </c>
      <c r="F5989" s="4" t="s">
        <v>29</v>
      </c>
    </row>
    <row r="5990" spans="1:6" x14ac:dyDescent="0.25">
      <c r="A5990" s="4" t="s">
        <v>81</v>
      </c>
      <c r="B5990" s="4" t="s">
        <v>23</v>
      </c>
      <c r="C5990" s="4" t="s">
        <v>35</v>
      </c>
      <c r="D5990" s="4">
        <v>2017</v>
      </c>
      <c r="E5990" s="4">
        <v>54</v>
      </c>
      <c r="F5990" s="4" t="s">
        <v>29</v>
      </c>
    </row>
    <row r="5991" spans="1:6" x14ac:dyDescent="0.25">
      <c r="A5991" s="4" t="s">
        <v>81</v>
      </c>
      <c r="B5991" s="4" t="s">
        <v>23</v>
      </c>
      <c r="C5991" s="4" t="s">
        <v>35</v>
      </c>
      <c r="D5991" s="4">
        <v>2018</v>
      </c>
      <c r="E5991" s="4">
        <v>100</v>
      </c>
      <c r="F5991" s="4" t="s">
        <v>29</v>
      </c>
    </row>
    <row r="5992" spans="1:6" x14ac:dyDescent="0.25">
      <c r="A5992" s="4" t="s">
        <v>81</v>
      </c>
      <c r="B5992" s="4" t="s">
        <v>23</v>
      </c>
      <c r="C5992" s="4" t="s">
        <v>35</v>
      </c>
      <c r="D5992" s="4">
        <v>2019</v>
      </c>
      <c r="E5992" s="4">
        <v>1091.6307692307691</v>
      </c>
      <c r="F5992" s="4" t="s">
        <v>29</v>
      </c>
    </row>
    <row r="5993" spans="1:6" x14ac:dyDescent="0.25">
      <c r="A5993" s="4" t="s">
        <v>81</v>
      </c>
      <c r="B5993" s="4" t="s">
        <v>23</v>
      </c>
      <c r="C5993" s="4" t="s">
        <v>35</v>
      </c>
      <c r="D5993" s="4">
        <v>2020</v>
      </c>
      <c r="E5993" s="4">
        <v>1109.9644927536233</v>
      </c>
      <c r="F5993" s="4" t="s">
        <v>29</v>
      </c>
    </row>
    <row r="5994" spans="1:6" x14ac:dyDescent="0.25">
      <c r="A5994" s="4" t="s">
        <v>81</v>
      </c>
      <c r="B5994" s="4" t="s">
        <v>23</v>
      </c>
      <c r="C5994" s="4" t="s">
        <v>35</v>
      </c>
      <c r="D5994" s="4">
        <v>2021</v>
      </c>
      <c r="E5994" s="4">
        <v>1057.4353104988802</v>
      </c>
      <c r="F5994" s="4" t="s">
        <v>29</v>
      </c>
    </row>
    <row r="5995" spans="1:6" x14ac:dyDescent="0.25">
      <c r="A5995" s="4" t="s">
        <v>81</v>
      </c>
      <c r="B5995" s="4" t="s">
        <v>23</v>
      </c>
      <c r="C5995" s="4" t="s">
        <v>35</v>
      </c>
      <c r="D5995" s="4">
        <v>2022</v>
      </c>
      <c r="E5995" s="4">
        <v>961.60523548491892</v>
      </c>
      <c r="F5995" s="4" t="s">
        <v>29</v>
      </c>
    </row>
    <row r="5996" spans="1:6" x14ac:dyDescent="0.25">
      <c r="A5996" s="4" t="s">
        <v>81</v>
      </c>
      <c r="B5996" s="4" t="s">
        <v>23</v>
      </c>
      <c r="C5996" s="4" t="s">
        <v>35</v>
      </c>
      <c r="D5996" s="4">
        <v>2023</v>
      </c>
      <c r="E5996" s="4">
        <v>932.75707842037127</v>
      </c>
      <c r="F5996" s="4" t="s">
        <v>29</v>
      </c>
    </row>
    <row r="5997" spans="1:6" x14ac:dyDescent="0.25">
      <c r="A5997" s="4" t="s">
        <v>81</v>
      </c>
      <c r="B5997" s="4" t="s">
        <v>23</v>
      </c>
      <c r="C5997" s="4" t="s">
        <v>35</v>
      </c>
      <c r="D5997" s="4">
        <v>2024</v>
      </c>
      <c r="E5997" s="4">
        <v>904.77436606776018</v>
      </c>
      <c r="F5997" s="4" t="s">
        <v>29</v>
      </c>
    </row>
    <row r="5998" spans="1:6" x14ac:dyDescent="0.25">
      <c r="A5998" s="4" t="s">
        <v>81</v>
      </c>
      <c r="B5998" s="4" t="s">
        <v>23</v>
      </c>
      <c r="C5998" s="4" t="s">
        <v>35</v>
      </c>
      <c r="D5998" s="4">
        <v>2025</v>
      </c>
      <c r="E5998" s="4">
        <v>877.63113508572735</v>
      </c>
      <c r="F5998" s="4" t="s">
        <v>29</v>
      </c>
    </row>
    <row r="5999" spans="1:6" x14ac:dyDescent="0.25">
      <c r="A5999" s="4" t="s">
        <v>81</v>
      </c>
      <c r="B5999" s="4" t="s">
        <v>23</v>
      </c>
      <c r="C5999" s="4" t="s">
        <v>35</v>
      </c>
      <c r="D5999" s="4">
        <v>2026</v>
      </c>
      <c r="E5999" s="4">
        <v>842.77983940018203</v>
      </c>
      <c r="F5999" s="4" t="s">
        <v>29</v>
      </c>
    </row>
    <row r="6000" spans="1:6" x14ac:dyDescent="0.25">
      <c r="A6000" s="4" t="s">
        <v>81</v>
      </c>
      <c r="B6000" s="4" t="s">
        <v>23</v>
      </c>
      <c r="C6000" s="4" t="s">
        <v>35</v>
      </c>
      <c r="D6000" s="4">
        <v>2027</v>
      </c>
      <c r="E6000" s="4">
        <v>809.23179417711435</v>
      </c>
      <c r="F6000" s="4" t="s">
        <v>29</v>
      </c>
    </row>
    <row r="6001" spans="1:6" x14ac:dyDescent="0.25">
      <c r="A6001" s="4" t="s">
        <v>81</v>
      </c>
      <c r="B6001" s="4" t="s">
        <v>23</v>
      </c>
      <c r="C6001" s="4" t="s">
        <v>35</v>
      </c>
      <c r="D6001" s="4">
        <v>2028</v>
      </c>
      <c r="E6001" s="4">
        <v>768.9506313140123</v>
      </c>
      <c r="F6001" s="4" t="s">
        <v>29</v>
      </c>
    </row>
    <row r="6002" spans="1:6" x14ac:dyDescent="0.25">
      <c r="A6002" s="4" t="s">
        <v>81</v>
      </c>
      <c r="B6002" s="4" t="s">
        <v>23</v>
      </c>
      <c r="C6002" s="4" t="s">
        <v>35</v>
      </c>
      <c r="D6002" s="4">
        <v>2029</v>
      </c>
      <c r="E6002" s="4">
        <v>738.11250703735652</v>
      </c>
      <c r="F6002" s="4" t="s">
        <v>29</v>
      </c>
    </row>
    <row r="6003" spans="1:6" x14ac:dyDescent="0.25">
      <c r="A6003" s="4" t="s">
        <v>81</v>
      </c>
      <c r="B6003" s="4" t="s">
        <v>23</v>
      </c>
      <c r="C6003" s="4" t="s">
        <v>35</v>
      </c>
      <c r="D6003" s="4">
        <v>2030</v>
      </c>
      <c r="E6003" s="4">
        <v>708.43261464911745</v>
      </c>
      <c r="F6003" s="4" t="s">
        <v>29</v>
      </c>
    </row>
    <row r="6004" spans="1:6" x14ac:dyDescent="0.25">
      <c r="A6004" s="4" t="s">
        <v>81</v>
      </c>
      <c r="B6004" s="4" t="s">
        <v>23</v>
      </c>
      <c r="C6004" s="4" t="s">
        <v>35</v>
      </c>
      <c r="D6004" s="4">
        <v>2031</v>
      </c>
      <c r="E6004" s="4">
        <v>679.86921454783931</v>
      </c>
      <c r="F6004" s="4" t="s">
        <v>29</v>
      </c>
    </row>
    <row r="6005" spans="1:6" x14ac:dyDescent="0.25">
      <c r="A6005" s="4" t="s">
        <v>81</v>
      </c>
      <c r="B6005" s="4" t="s">
        <v>23</v>
      </c>
      <c r="C6005" s="4" t="s">
        <v>35</v>
      </c>
      <c r="D6005" s="4">
        <v>2032</v>
      </c>
      <c r="E6005" s="4">
        <v>652.38202909945358</v>
      </c>
      <c r="F6005" s="4" t="s">
        <v>29</v>
      </c>
    </row>
    <row r="6006" spans="1:6" x14ac:dyDescent="0.25">
      <c r="A6006" s="4" t="s">
        <v>81</v>
      </c>
      <c r="B6006" s="4" t="s">
        <v>23</v>
      </c>
      <c r="C6006" s="4" t="s">
        <v>35</v>
      </c>
      <c r="D6006" s="4">
        <v>2033</v>
      </c>
      <c r="E6006" s="4">
        <v>632.81056822646997</v>
      </c>
      <c r="F6006" s="4" t="s">
        <v>29</v>
      </c>
    </row>
    <row r="6007" spans="1:6" x14ac:dyDescent="0.25">
      <c r="A6007" s="4" t="s">
        <v>81</v>
      </c>
      <c r="B6007" s="4" t="s">
        <v>23</v>
      </c>
      <c r="C6007" s="4" t="s">
        <v>35</v>
      </c>
      <c r="D6007" s="4">
        <v>2034</v>
      </c>
      <c r="E6007" s="4">
        <v>607.15422671033161</v>
      </c>
      <c r="F6007" s="4" t="s">
        <v>29</v>
      </c>
    </row>
    <row r="6008" spans="1:6" x14ac:dyDescent="0.25">
      <c r="A6008" s="4" t="s">
        <v>81</v>
      </c>
      <c r="B6008" s="4" t="s">
        <v>23</v>
      </c>
      <c r="C6008" s="4" t="s">
        <v>35</v>
      </c>
      <c r="D6008" s="4">
        <v>2035</v>
      </c>
      <c r="E6008" s="4">
        <v>582.46773617375766</v>
      </c>
      <c r="F6008" s="4" t="s">
        <v>29</v>
      </c>
    </row>
    <row r="6009" spans="1:6" x14ac:dyDescent="0.25">
      <c r="A6009" s="4" t="s">
        <v>81</v>
      </c>
      <c r="B6009" s="4" t="s">
        <v>23</v>
      </c>
      <c r="C6009" s="4" t="s">
        <v>35</v>
      </c>
      <c r="D6009" s="4">
        <v>2036</v>
      </c>
      <c r="E6009" s="4">
        <v>564.99370408854486</v>
      </c>
      <c r="F6009" s="4" t="s">
        <v>29</v>
      </c>
    </row>
    <row r="6010" spans="1:6" x14ac:dyDescent="0.25">
      <c r="A6010" s="4" t="s">
        <v>81</v>
      </c>
      <c r="B6010" s="4" t="s">
        <v>23</v>
      </c>
      <c r="C6010" s="4" t="s">
        <v>35</v>
      </c>
      <c r="D6010" s="4">
        <v>2037</v>
      </c>
      <c r="E6010" s="4">
        <v>541.95451637737858</v>
      </c>
      <c r="F6010" s="4" t="s">
        <v>29</v>
      </c>
    </row>
    <row r="6011" spans="1:6" x14ac:dyDescent="0.25">
      <c r="A6011" s="4" t="s">
        <v>81</v>
      </c>
      <c r="B6011" s="4" t="s">
        <v>23</v>
      </c>
      <c r="C6011" s="4" t="s">
        <v>35</v>
      </c>
      <c r="D6011" s="4">
        <v>2038</v>
      </c>
      <c r="E6011" s="4">
        <v>519.78918559520264</v>
      </c>
      <c r="F6011" s="4" t="s">
        <v>29</v>
      </c>
    </row>
    <row r="6012" spans="1:6" x14ac:dyDescent="0.25">
      <c r="A6012" s="4" t="s">
        <v>81</v>
      </c>
      <c r="B6012" s="4" t="s">
        <v>23</v>
      </c>
      <c r="C6012" s="4" t="s">
        <v>35</v>
      </c>
      <c r="D6012" s="4">
        <v>2039</v>
      </c>
      <c r="E6012" s="4">
        <v>504.19551002734659</v>
      </c>
      <c r="F6012" s="4" t="s">
        <v>29</v>
      </c>
    </row>
    <row r="6013" spans="1:6" x14ac:dyDescent="0.25">
      <c r="A6013" s="4" t="s">
        <v>81</v>
      </c>
      <c r="B6013" s="4" t="s">
        <v>23</v>
      </c>
      <c r="C6013" s="4" t="s">
        <v>35</v>
      </c>
      <c r="D6013" s="4">
        <v>2040</v>
      </c>
      <c r="E6013" s="4">
        <v>483.42843356486094</v>
      </c>
      <c r="F6013" s="4" t="s">
        <v>29</v>
      </c>
    </row>
    <row r="6014" spans="1:6" x14ac:dyDescent="0.25">
      <c r="A6014" s="4" t="s">
        <v>82</v>
      </c>
      <c r="B6014" s="4" t="s">
        <v>1</v>
      </c>
      <c r="C6014" s="4" t="s">
        <v>35</v>
      </c>
      <c r="D6014" s="4">
        <v>2005</v>
      </c>
      <c r="E6014" s="4">
        <v>0</v>
      </c>
      <c r="F6014" s="4" t="s">
        <v>29</v>
      </c>
    </row>
    <row r="6015" spans="1:6" x14ac:dyDescent="0.25">
      <c r="A6015" s="4" t="s">
        <v>82</v>
      </c>
      <c r="B6015" s="4" t="s">
        <v>1</v>
      </c>
      <c r="C6015" s="4" t="s">
        <v>35</v>
      </c>
      <c r="D6015" s="4">
        <v>2006</v>
      </c>
      <c r="E6015" s="4">
        <v>0</v>
      </c>
      <c r="F6015" s="4" t="s">
        <v>29</v>
      </c>
    </row>
    <row r="6016" spans="1:6" x14ac:dyDescent="0.25">
      <c r="A6016" s="4" t="s">
        <v>82</v>
      </c>
      <c r="B6016" s="4" t="s">
        <v>1</v>
      </c>
      <c r="C6016" s="4" t="s">
        <v>35</v>
      </c>
      <c r="D6016" s="4">
        <v>2007</v>
      </c>
      <c r="E6016" s="4">
        <v>0</v>
      </c>
      <c r="F6016" s="4" t="s">
        <v>29</v>
      </c>
    </row>
    <row r="6017" spans="1:6" x14ac:dyDescent="0.25">
      <c r="A6017" s="4" t="s">
        <v>82</v>
      </c>
      <c r="B6017" s="4" t="s">
        <v>1</v>
      </c>
      <c r="C6017" s="4" t="s">
        <v>35</v>
      </c>
      <c r="D6017" s="4">
        <v>2008</v>
      </c>
      <c r="E6017" s="4">
        <v>0</v>
      </c>
      <c r="F6017" s="4" t="s">
        <v>29</v>
      </c>
    </row>
    <row r="6018" spans="1:6" x14ac:dyDescent="0.25">
      <c r="A6018" s="4" t="s">
        <v>82</v>
      </c>
      <c r="B6018" s="4" t="s">
        <v>1</v>
      </c>
      <c r="C6018" s="4" t="s">
        <v>35</v>
      </c>
      <c r="D6018" s="4">
        <v>2009</v>
      </c>
      <c r="E6018" s="4">
        <v>0</v>
      </c>
      <c r="F6018" s="4" t="s">
        <v>29</v>
      </c>
    </row>
    <row r="6019" spans="1:6" x14ac:dyDescent="0.25">
      <c r="A6019" s="4" t="s">
        <v>82</v>
      </c>
      <c r="B6019" s="4" t="s">
        <v>1</v>
      </c>
      <c r="C6019" s="4" t="s">
        <v>35</v>
      </c>
      <c r="D6019" s="4">
        <v>2010</v>
      </c>
      <c r="E6019" s="4">
        <v>0</v>
      </c>
      <c r="F6019" s="4" t="s">
        <v>29</v>
      </c>
    </row>
    <row r="6020" spans="1:6" x14ac:dyDescent="0.25">
      <c r="A6020" s="4" t="s">
        <v>82</v>
      </c>
      <c r="B6020" s="4" t="s">
        <v>1</v>
      </c>
      <c r="C6020" s="4" t="s">
        <v>35</v>
      </c>
      <c r="D6020" s="4">
        <v>2011</v>
      </c>
      <c r="E6020" s="4">
        <v>0</v>
      </c>
      <c r="F6020" s="4" t="s">
        <v>29</v>
      </c>
    </row>
    <row r="6021" spans="1:6" x14ac:dyDescent="0.25">
      <c r="A6021" s="4" t="s">
        <v>82</v>
      </c>
      <c r="B6021" s="4" t="s">
        <v>1</v>
      </c>
      <c r="C6021" s="4" t="s">
        <v>35</v>
      </c>
      <c r="D6021" s="4">
        <v>2012</v>
      </c>
      <c r="E6021" s="4">
        <v>0</v>
      </c>
      <c r="F6021" s="4" t="s">
        <v>29</v>
      </c>
    </row>
    <row r="6022" spans="1:6" x14ac:dyDescent="0.25">
      <c r="A6022" s="4" t="s">
        <v>82</v>
      </c>
      <c r="B6022" s="4" t="s">
        <v>1</v>
      </c>
      <c r="C6022" s="4" t="s">
        <v>35</v>
      </c>
      <c r="D6022" s="4">
        <v>2013</v>
      </c>
      <c r="E6022" s="4">
        <v>0</v>
      </c>
      <c r="F6022" s="4" t="s">
        <v>29</v>
      </c>
    </row>
    <row r="6023" spans="1:6" x14ac:dyDescent="0.25">
      <c r="A6023" s="4" t="s">
        <v>82</v>
      </c>
      <c r="B6023" s="4" t="s">
        <v>1</v>
      </c>
      <c r="C6023" s="4" t="s">
        <v>35</v>
      </c>
      <c r="D6023" s="4">
        <v>2014</v>
      </c>
      <c r="E6023" s="4">
        <v>0</v>
      </c>
      <c r="F6023" s="4" t="s">
        <v>29</v>
      </c>
    </row>
    <row r="6024" spans="1:6" x14ac:dyDescent="0.25">
      <c r="A6024" s="4" t="s">
        <v>82</v>
      </c>
      <c r="B6024" s="4" t="s">
        <v>1</v>
      </c>
      <c r="C6024" s="4" t="s">
        <v>35</v>
      </c>
      <c r="D6024" s="4">
        <v>2015</v>
      </c>
      <c r="E6024" s="4">
        <v>0</v>
      </c>
      <c r="F6024" s="4" t="s">
        <v>29</v>
      </c>
    </row>
    <row r="6025" spans="1:6" x14ac:dyDescent="0.25">
      <c r="A6025" s="4" t="s">
        <v>82</v>
      </c>
      <c r="B6025" s="4" t="s">
        <v>1</v>
      </c>
      <c r="C6025" s="4" t="s">
        <v>35</v>
      </c>
      <c r="D6025" s="4">
        <v>2016</v>
      </c>
      <c r="E6025" s="4">
        <v>0</v>
      </c>
      <c r="F6025" s="4" t="s">
        <v>29</v>
      </c>
    </row>
    <row r="6026" spans="1:6" x14ac:dyDescent="0.25">
      <c r="A6026" s="4" t="s">
        <v>82</v>
      </c>
      <c r="B6026" s="4" t="s">
        <v>1</v>
      </c>
      <c r="C6026" s="4" t="s">
        <v>35</v>
      </c>
      <c r="D6026" s="4">
        <v>2017</v>
      </c>
      <c r="E6026" s="4">
        <v>0</v>
      </c>
      <c r="F6026" s="4" t="s">
        <v>29</v>
      </c>
    </row>
    <row r="6027" spans="1:6" x14ac:dyDescent="0.25">
      <c r="A6027" s="4" t="s">
        <v>82</v>
      </c>
      <c r="B6027" s="4" t="s">
        <v>1</v>
      </c>
      <c r="C6027" s="4" t="s">
        <v>35</v>
      </c>
      <c r="D6027" s="4">
        <v>2018</v>
      </c>
      <c r="E6027" s="4">
        <v>0</v>
      </c>
      <c r="F6027" s="4" t="s">
        <v>29</v>
      </c>
    </row>
    <row r="6028" spans="1:6" x14ac:dyDescent="0.25">
      <c r="A6028" s="4" t="s">
        <v>82</v>
      </c>
      <c r="B6028" s="4" t="s">
        <v>1</v>
      </c>
      <c r="C6028" s="4" t="s">
        <v>35</v>
      </c>
      <c r="D6028" s="4">
        <v>2019</v>
      </c>
      <c r="E6028" s="4">
        <v>0</v>
      </c>
      <c r="F6028" s="4" t="s">
        <v>29</v>
      </c>
    </row>
    <row r="6029" spans="1:6" x14ac:dyDescent="0.25">
      <c r="A6029" s="4" t="s">
        <v>82</v>
      </c>
      <c r="B6029" s="4" t="s">
        <v>1</v>
      </c>
      <c r="C6029" s="4" t="s">
        <v>35</v>
      </c>
      <c r="D6029" s="4">
        <v>2020</v>
      </c>
      <c r="E6029" s="4">
        <v>0</v>
      </c>
      <c r="F6029" s="4" t="s">
        <v>29</v>
      </c>
    </row>
    <row r="6030" spans="1:6" x14ac:dyDescent="0.25">
      <c r="A6030" s="4" t="s">
        <v>82</v>
      </c>
      <c r="B6030" s="4" t="s">
        <v>1</v>
      </c>
      <c r="C6030" s="4" t="s">
        <v>35</v>
      </c>
      <c r="D6030" s="4">
        <v>2021</v>
      </c>
      <c r="E6030" s="4">
        <v>0</v>
      </c>
      <c r="F6030" s="4" t="s">
        <v>29</v>
      </c>
    </row>
    <row r="6031" spans="1:6" x14ac:dyDescent="0.25">
      <c r="A6031" s="4" t="s">
        <v>82</v>
      </c>
      <c r="B6031" s="4" t="s">
        <v>1</v>
      </c>
      <c r="C6031" s="4" t="s">
        <v>35</v>
      </c>
      <c r="D6031" s="4">
        <v>2022</v>
      </c>
      <c r="E6031" s="4">
        <v>0</v>
      </c>
      <c r="F6031" s="4" t="s">
        <v>29</v>
      </c>
    </row>
    <row r="6032" spans="1:6" x14ac:dyDescent="0.25">
      <c r="A6032" s="4" t="s">
        <v>82</v>
      </c>
      <c r="B6032" s="4" t="s">
        <v>1</v>
      </c>
      <c r="C6032" s="4" t="s">
        <v>35</v>
      </c>
      <c r="D6032" s="4">
        <v>2023</v>
      </c>
      <c r="E6032" s="4">
        <v>0</v>
      </c>
      <c r="F6032" s="4" t="s">
        <v>29</v>
      </c>
    </row>
    <row r="6033" spans="1:6" x14ac:dyDescent="0.25">
      <c r="A6033" s="4" t="s">
        <v>82</v>
      </c>
      <c r="B6033" s="4" t="s">
        <v>1</v>
      </c>
      <c r="C6033" s="4" t="s">
        <v>35</v>
      </c>
      <c r="D6033" s="4">
        <v>2024</v>
      </c>
      <c r="E6033" s="4">
        <v>0</v>
      </c>
      <c r="F6033" s="4" t="s">
        <v>29</v>
      </c>
    </row>
    <row r="6034" spans="1:6" x14ac:dyDescent="0.25">
      <c r="A6034" s="4" t="s">
        <v>82</v>
      </c>
      <c r="B6034" s="4" t="s">
        <v>1</v>
      </c>
      <c r="C6034" s="4" t="s">
        <v>35</v>
      </c>
      <c r="D6034" s="4">
        <v>2025</v>
      </c>
      <c r="E6034" s="4">
        <v>0</v>
      </c>
      <c r="F6034" s="4" t="s">
        <v>29</v>
      </c>
    </row>
    <row r="6035" spans="1:6" x14ac:dyDescent="0.25">
      <c r="A6035" s="4" t="s">
        <v>82</v>
      </c>
      <c r="B6035" s="4" t="s">
        <v>1</v>
      </c>
      <c r="C6035" s="4" t="s">
        <v>35</v>
      </c>
      <c r="D6035" s="4">
        <v>2026</v>
      </c>
      <c r="E6035" s="4">
        <v>0</v>
      </c>
      <c r="F6035" s="4" t="s">
        <v>29</v>
      </c>
    </row>
    <row r="6036" spans="1:6" x14ac:dyDescent="0.25">
      <c r="A6036" s="4" t="s">
        <v>82</v>
      </c>
      <c r="B6036" s="4" t="s">
        <v>1</v>
      </c>
      <c r="C6036" s="4" t="s">
        <v>35</v>
      </c>
      <c r="D6036" s="4">
        <v>2027</v>
      </c>
      <c r="E6036" s="4">
        <v>0</v>
      </c>
      <c r="F6036" s="4" t="s">
        <v>29</v>
      </c>
    </row>
    <row r="6037" spans="1:6" x14ac:dyDescent="0.25">
      <c r="A6037" s="4" t="s">
        <v>82</v>
      </c>
      <c r="B6037" s="4" t="s">
        <v>1</v>
      </c>
      <c r="C6037" s="4" t="s">
        <v>35</v>
      </c>
      <c r="D6037" s="4">
        <v>2028</v>
      </c>
      <c r="E6037" s="4">
        <v>0</v>
      </c>
      <c r="F6037" s="4" t="s">
        <v>29</v>
      </c>
    </row>
    <row r="6038" spans="1:6" x14ac:dyDescent="0.25">
      <c r="A6038" s="4" t="s">
        <v>82</v>
      </c>
      <c r="B6038" s="4" t="s">
        <v>1</v>
      </c>
      <c r="C6038" s="4" t="s">
        <v>35</v>
      </c>
      <c r="D6038" s="4">
        <v>2029</v>
      </c>
      <c r="E6038" s="4">
        <v>0</v>
      </c>
      <c r="F6038" s="4" t="s">
        <v>29</v>
      </c>
    </row>
    <row r="6039" spans="1:6" x14ac:dyDescent="0.25">
      <c r="A6039" s="4" t="s">
        <v>82</v>
      </c>
      <c r="B6039" s="4" t="s">
        <v>1</v>
      </c>
      <c r="C6039" s="4" t="s">
        <v>35</v>
      </c>
      <c r="D6039" s="4">
        <v>2030</v>
      </c>
      <c r="E6039" s="4">
        <v>0</v>
      </c>
      <c r="F6039" s="4" t="s">
        <v>29</v>
      </c>
    </row>
    <row r="6040" spans="1:6" x14ac:dyDescent="0.25">
      <c r="A6040" s="4" t="s">
        <v>82</v>
      </c>
      <c r="B6040" s="4" t="s">
        <v>1</v>
      </c>
      <c r="C6040" s="4" t="s">
        <v>35</v>
      </c>
      <c r="D6040" s="4">
        <v>2031</v>
      </c>
      <c r="E6040" s="4">
        <v>0</v>
      </c>
      <c r="F6040" s="4" t="s">
        <v>29</v>
      </c>
    </row>
    <row r="6041" spans="1:6" x14ac:dyDescent="0.25">
      <c r="A6041" s="4" t="s">
        <v>82</v>
      </c>
      <c r="B6041" s="4" t="s">
        <v>1</v>
      </c>
      <c r="C6041" s="4" t="s">
        <v>35</v>
      </c>
      <c r="D6041" s="4">
        <v>2032</v>
      </c>
      <c r="E6041" s="4">
        <v>0</v>
      </c>
      <c r="F6041" s="4" t="s">
        <v>29</v>
      </c>
    </row>
    <row r="6042" spans="1:6" x14ac:dyDescent="0.25">
      <c r="A6042" s="4" t="s">
        <v>82</v>
      </c>
      <c r="B6042" s="4" t="s">
        <v>1</v>
      </c>
      <c r="C6042" s="4" t="s">
        <v>35</v>
      </c>
      <c r="D6042" s="4">
        <v>2033</v>
      </c>
      <c r="E6042" s="4">
        <v>0</v>
      </c>
      <c r="F6042" s="4" t="s">
        <v>29</v>
      </c>
    </row>
    <row r="6043" spans="1:6" x14ac:dyDescent="0.25">
      <c r="A6043" s="4" t="s">
        <v>82</v>
      </c>
      <c r="B6043" s="4" t="s">
        <v>1</v>
      </c>
      <c r="C6043" s="4" t="s">
        <v>35</v>
      </c>
      <c r="D6043" s="4">
        <v>2034</v>
      </c>
      <c r="E6043" s="4">
        <v>0</v>
      </c>
      <c r="F6043" s="4" t="s">
        <v>29</v>
      </c>
    </row>
    <row r="6044" spans="1:6" x14ac:dyDescent="0.25">
      <c r="A6044" s="4" t="s">
        <v>82</v>
      </c>
      <c r="B6044" s="4" t="s">
        <v>1</v>
      </c>
      <c r="C6044" s="4" t="s">
        <v>35</v>
      </c>
      <c r="D6044" s="4">
        <v>2035</v>
      </c>
      <c r="E6044" s="4">
        <v>0</v>
      </c>
      <c r="F6044" s="4" t="s">
        <v>29</v>
      </c>
    </row>
    <row r="6045" spans="1:6" x14ac:dyDescent="0.25">
      <c r="A6045" s="4" t="s">
        <v>82</v>
      </c>
      <c r="B6045" s="4" t="s">
        <v>1</v>
      </c>
      <c r="C6045" s="4" t="s">
        <v>35</v>
      </c>
      <c r="D6045" s="4">
        <v>2036</v>
      </c>
      <c r="E6045" s="4">
        <v>0</v>
      </c>
      <c r="F6045" s="4" t="s">
        <v>29</v>
      </c>
    </row>
    <row r="6046" spans="1:6" x14ac:dyDescent="0.25">
      <c r="A6046" s="4" t="s">
        <v>82</v>
      </c>
      <c r="B6046" s="4" t="s">
        <v>1</v>
      </c>
      <c r="C6046" s="4" t="s">
        <v>35</v>
      </c>
      <c r="D6046" s="4">
        <v>2037</v>
      </c>
      <c r="E6046" s="4">
        <v>0</v>
      </c>
      <c r="F6046" s="4" t="s">
        <v>29</v>
      </c>
    </row>
    <row r="6047" spans="1:6" x14ac:dyDescent="0.25">
      <c r="A6047" s="4" t="s">
        <v>82</v>
      </c>
      <c r="B6047" s="4" t="s">
        <v>1</v>
      </c>
      <c r="C6047" s="4" t="s">
        <v>35</v>
      </c>
      <c r="D6047" s="4">
        <v>2038</v>
      </c>
      <c r="E6047" s="4">
        <v>0</v>
      </c>
      <c r="F6047" s="4" t="s">
        <v>29</v>
      </c>
    </row>
    <row r="6048" spans="1:6" x14ac:dyDescent="0.25">
      <c r="A6048" s="4" t="s">
        <v>82</v>
      </c>
      <c r="B6048" s="4" t="s">
        <v>1</v>
      </c>
      <c r="C6048" s="4" t="s">
        <v>35</v>
      </c>
      <c r="D6048" s="4">
        <v>2039</v>
      </c>
      <c r="E6048" s="4">
        <v>0</v>
      </c>
      <c r="F6048" s="4" t="s">
        <v>29</v>
      </c>
    </row>
    <row r="6049" spans="1:6" x14ac:dyDescent="0.25">
      <c r="A6049" s="4" t="s">
        <v>82</v>
      </c>
      <c r="B6049" s="4" t="s">
        <v>1</v>
      </c>
      <c r="C6049" s="4" t="s">
        <v>35</v>
      </c>
      <c r="D6049" s="4">
        <v>2040</v>
      </c>
      <c r="E6049" s="4">
        <v>0</v>
      </c>
      <c r="F6049" s="4" t="s">
        <v>29</v>
      </c>
    </row>
    <row r="6050" spans="1:6" x14ac:dyDescent="0.25">
      <c r="A6050" s="4" t="s">
        <v>82</v>
      </c>
      <c r="B6050" s="4" t="s">
        <v>2</v>
      </c>
      <c r="C6050" s="4" t="s">
        <v>35</v>
      </c>
      <c r="D6050" s="4">
        <v>2005</v>
      </c>
      <c r="E6050" s="4">
        <v>0</v>
      </c>
      <c r="F6050" s="4" t="s">
        <v>29</v>
      </c>
    </row>
    <row r="6051" spans="1:6" x14ac:dyDescent="0.25">
      <c r="A6051" s="4" t="s">
        <v>82</v>
      </c>
      <c r="B6051" s="4" t="s">
        <v>2</v>
      </c>
      <c r="C6051" s="4" t="s">
        <v>35</v>
      </c>
      <c r="D6051" s="4">
        <v>2006</v>
      </c>
      <c r="E6051" s="4">
        <v>0</v>
      </c>
      <c r="F6051" s="4" t="s">
        <v>29</v>
      </c>
    </row>
    <row r="6052" spans="1:6" x14ac:dyDescent="0.25">
      <c r="A6052" s="4" t="s">
        <v>82</v>
      </c>
      <c r="B6052" s="4" t="s">
        <v>2</v>
      </c>
      <c r="C6052" s="4" t="s">
        <v>35</v>
      </c>
      <c r="D6052" s="4">
        <v>2007</v>
      </c>
      <c r="E6052" s="4">
        <v>0</v>
      </c>
      <c r="F6052" s="4" t="s">
        <v>29</v>
      </c>
    </row>
    <row r="6053" spans="1:6" x14ac:dyDescent="0.25">
      <c r="A6053" s="4" t="s">
        <v>82</v>
      </c>
      <c r="B6053" s="4" t="s">
        <v>2</v>
      </c>
      <c r="C6053" s="4" t="s">
        <v>35</v>
      </c>
      <c r="D6053" s="4">
        <v>2008</v>
      </c>
      <c r="E6053" s="4">
        <v>0</v>
      </c>
      <c r="F6053" s="4" t="s">
        <v>29</v>
      </c>
    </row>
    <row r="6054" spans="1:6" x14ac:dyDescent="0.25">
      <c r="A6054" s="4" t="s">
        <v>82</v>
      </c>
      <c r="B6054" s="4" t="s">
        <v>2</v>
      </c>
      <c r="C6054" s="4" t="s">
        <v>35</v>
      </c>
      <c r="D6054" s="4">
        <v>2009</v>
      </c>
      <c r="E6054" s="4">
        <v>0</v>
      </c>
      <c r="F6054" s="4" t="s">
        <v>29</v>
      </c>
    </row>
    <row r="6055" spans="1:6" x14ac:dyDescent="0.25">
      <c r="A6055" s="4" t="s">
        <v>82</v>
      </c>
      <c r="B6055" s="4" t="s">
        <v>2</v>
      </c>
      <c r="C6055" s="4" t="s">
        <v>35</v>
      </c>
      <c r="D6055" s="4">
        <v>2010</v>
      </c>
      <c r="E6055" s="4">
        <v>0</v>
      </c>
      <c r="F6055" s="4" t="s">
        <v>29</v>
      </c>
    </row>
    <row r="6056" spans="1:6" x14ac:dyDescent="0.25">
      <c r="A6056" s="4" t="s">
        <v>82</v>
      </c>
      <c r="B6056" s="4" t="s">
        <v>2</v>
      </c>
      <c r="C6056" s="4" t="s">
        <v>35</v>
      </c>
      <c r="D6056" s="4">
        <v>2011</v>
      </c>
      <c r="E6056" s="4">
        <v>0</v>
      </c>
      <c r="F6056" s="4" t="s">
        <v>29</v>
      </c>
    </row>
    <row r="6057" spans="1:6" x14ac:dyDescent="0.25">
      <c r="A6057" s="4" t="s">
        <v>82</v>
      </c>
      <c r="B6057" s="4" t="s">
        <v>2</v>
      </c>
      <c r="C6057" s="4" t="s">
        <v>35</v>
      </c>
      <c r="D6057" s="4">
        <v>2012</v>
      </c>
      <c r="E6057" s="4">
        <v>0</v>
      </c>
      <c r="F6057" s="4" t="s">
        <v>29</v>
      </c>
    </row>
    <row r="6058" spans="1:6" x14ac:dyDescent="0.25">
      <c r="A6058" s="4" t="s">
        <v>82</v>
      </c>
      <c r="B6058" s="4" t="s">
        <v>2</v>
      </c>
      <c r="C6058" s="4" t="s">
        <v>35</v>
      </c>
      <c r="D6058" s="4">
        <v>2013</v>
      </c>
      <c r="E6058" s="4">
        <v>0</v>
      </c>
      <c r="F6058" s="4" t="s">
        <v>29</v>
      </c>
    </row>
    <row r="6059" spans="1:6" x14ac:dyDescent="0.25">
      <c r="A6059" s="4" t="s">
        <v>82</v>
      </c>
      <c r="B6059" s="4" t="s">
        <v>2</v>
      </c>
      <c r="C6059" s="4" t="s">
        <v>35</v>
      </c>
      <c r="D6059" s="4">
        <v>2014</v>
      </c>
      <c r="E6059" s="4">
        <v>0</v>
      </c>
      <c r="F6059" s="4" t="s">
        <v>29</v>
      </c>
    </row>
    <row r="6060" spans="1:6" x14ac:dyDescent="0.25">
      <c r="A6060" s="4" t="s">
        <v>82</v>
      </c>
      <c r="B6060" s="4" t="s">
        <v>2</v>
      </c>
      <c r="C6060" s="4" t="s">
        <v>35</v>
      </c>
      <c r="D6060" s="4">
        <v>2015</v>
      </c>
      <c r="E6060" s="4">
        <v>0</v>
      </c>
      <c r="F6060" s="4" t="s">
        <v>29</v>
      </c>
    </row>
    <row r="6061" spans="1:6" x14ac:dyDescent="0.25">
      <c r="A6061" s="4" t="s">
        <v>82</v>
      </c>
      <c r="B6061" s="4" t="s">
        <v>2</v>
      </c>
      <c r="C6061" s="4" t="s">
        <v>35</v>
      </c>
      <c r="D6061" s="4">
        <v>2016</v>
      </c>
      <c r="E6061" s="4">
        <v>0</v>
      </c>
      <c r="F6061" s="4" t="s">
        <v>29</v>
      </c>
    </row>
    <row r="6062" spans="1:6" x14ac:dyDescent="0.25">
      <c r="A6062" s="4" t="s">
        <v>82</v>
      </c>
      <c r="B6062" s="4" t="s">
        <v>2</v>
      </c>
      <c r="C6062" s="4" t="s">
        <v>35</v>
      </c>
      <c r="D6062" s="4">
        <v>2017</v>
      </c>
      <c r="E6062" s="4">
        <v>0</v>
      </c>
      <c r="F6062" s="4" t="s">
        <v>29</v>
      </c>
    </row>
    <row r="6063" spans="1:6" x14ac:dyDescent="0.25">
      <c r="A6063" s="4" t="s">
        <v>82</v>
      </c>
      <c r="B6063" s="4" t="s">
        <v>2</v>
      </c>
      <c r="C6063" s="4" t="s">
        <v>35</v>
      </c>
      <c r="D6063" s="4">
        <v>2018</v>
      </c>
      <c r="E6063" s="4">
        <v>0</v>
      </c>
      <c r="F6063" s="4" t="s">
        <v>29</v>
      </c>
    </row>
    <row r="6064" spans="1:6" x14ac:dyDescent="0.25">
      <c r="A6064" s="4" t="s">
        <v>82</v>
      </c>
      <c r="B6064" s="4" t="s">
        <v>2</v>
      </c>
      <c r="C6064" s="4" t="s">
        <v>35</v>
      </c>
      <c r="D6064" s="4">
        <v>2019</v>
      </c>
      <c r="E6064" s="4">
        <v>0</v>
      </c>
      <c r="F6064" s="4" t="s">
        <v>29</v>
      </c>
    </row>
    <row r="6065" spans="1:6" x14ac:dyDescent="0.25">
      <c r="A6065" s="4" t="s">
        <v>82</v>
      </c>
      <c r="B6065" s="4" t="s">
        <v>2</v>
      </c>
      <c r="C6065" s="4" t="s">
        <v>35</v>
      </c>
      <c r="D6065" s="4">
        <v>2020</v>
      </c>
      <c r="E6065" s="4">
        <v>0</v>
      </c>
      <c r="F6065" s="4" t="s">
        <v>29</v>
      </c>
    </row>
    <row r="6066" spans="1:6" x14ac:dyDescent="0.25">
      <c r="A6066" s="4" t="s">
        <v>82</v>
      </c>
      <c r="B6066" s="4" t="s">
        <v>2</v>
      </c>
      <c r="C6066" s="4" t="s">
        <v>35</v>
      </c>
      <c r="D6066" s="4">
        <v>2021</v>
      </c>
      <c r="E6066" s="4">
        <v>0</v>
      </c>
      <c r="F6066" s="4" t="s">
        <v>29</v>
      </c>
    </row>
    <row r="6067" spans="1:6" x14ac:dyDescent="0.25">
      <c r="A6067" s="4" t="s">
        <v>82</v>
      </c>
      <c r="B6067" s="4" t="s">
        <v>2</v>
      </c>
      <c r="C6067" s="4" t="s">
        <v>35</v>
      </c>
      <c r="D6067" s="4">
        <v>2022</v>
      </c>
      <c r="E6067" s="4">
        <v>0</v>
      </c>
      <c r="F6067" s="4" t="s">
        <v>29</v>
      </c>
    </row>
    <row r="6068" spans="1:6" x14ac:dyDescent="0.25">
      <c r="A6068" s="4" t="s">
        <v>82</v>
      </c>
      <c r="B6068" s="4" t="s">
        <v>2</v>
      </c>
      <c r="C6068" s="4" t="s">
        <v>35</v>
      </c>
      <c r="D6068" s="4">
        <v>2023</v>
      </c>
      <c r="E6068" s="4">
        <v>0</v>
      </c>
      <c r="F6068" s="4" t="s">
        <v>29</v>
      </c>
    </row>
    <row r="6069" spans="1:6" x14ac:dyDescent="0.25">
      <c r="A6069" s="4" t="s">
        <v>82</v>
      </c>
      <c r="B6069" s="4" t="s">
        <v>2</v>
      </c>
      <c r="C6069" s="4" t="s">
        <v>35</v>
      </c>
      <c r="D6069" s="4">
        <v>2024</v>
      </c>
      <c r="E6069" s="4">
        <v>0</v>
      </c>
      <c r="F6069" s="4" t="s">
        <v>29</v>
      </c>
    </row>
    <row r="6070" spans="1:6" x14ac:dyDescent="0.25">
      <c r="A6070" s="4" t="s">
        <v>82</v>
      </c>
      <c r="B6070" s="4" t="s">
        <v>2</v>
      </c>
      <c r="C6070" s="4" t="s">
        <v>35</v>
      </c>
      <c r="D6070" s="4">
        <v>2025</v>
      </c>
      <c r="E6070" s="4">
        <v>0</v>
      </c>
      <c r="F6070" s="4" t="s">
        <v>29</v>
      </c>
    </row>
    <row r="6071" spans="1:6" x14ac:dyDescent="0.25">
      <c r="A6071" s="4" t="s">
        <v>82</v>
      </c>
      <c r="B6071" s="4" t="s">
        <v>2</v>
      </c>
      <c r="C6071" s="4" t="s">
        <v>35</v>
      </c>
      <c r="D6071" s="4">
        <v>2026</v>
      </c>
      <c r="E6071" s="4">
        <v>0</v>
      </c>
      <c r="F6071" s="4" t="s">
        <v>29</v>
      </c>
    </row>
    <row r="6072" spans="1:6" x14ac:dyDescent="0.25">
      <c r="A6072" s="4" t="s">
        <v>82</v>
      </c>
      <c r="B6072" s="4" t="s">
        <v>2</v>
      </c>
      <c r="C6072" s="4" t="s">
        <v>35</v>
      </c>
      <c r="D6072" s="4">
        <v>2027</v>
      </c>
      <c r="E6072" s="4">
        <v>0</v>
      </c>
      <c r="F6072" s="4" t="s">
        <v>29</v>
      </c>
    </row>
    <row r="6073" spans="1:6" x14ac:dyDescent="0.25">
      <c r="A6073" s="4" t="s">
        <v>82</v>
      </c>
      <c r="B6073" s="4" t="s">
        <v>2</v>
      </c>
      <c r="C6073" s="4" t="s">
        <v>35</v>
      </c>
      <c r="D6073" s="4">
        <v>2028</v>
      </c>
      <c r="E6073" s="4">
        <v>0</v>
      </c>
      <c r="F6073" s="4" t="s">
        <v>29</v>
      </c>
    </row>
    <row r="6074" spans="1:6" x14ac:dyDescent="0.25">
      <c r="A6074" s="4" t="s">
        <v>82</v>
      </c>
      <c r="B6074" s="4" t="s">
        <v>2</v>
      </c>
      <c r="C6074" s="4" t="s">
        <v>35</v>
      </c>
      <c r="D6074" s="4">
        <v>2029</v>
      </c>
      <c r="E6074" s="4">
        <v>0</v>
      </c>
      <c r="F6074" s="4" t="s">
        <v>29</v>
      </c>
    </row>
    <row r="6075" spans="1:6" x14ac:dyDescent="0.25">
      <c r="A6075" s="4" t="s">
        <v>82</v>
      </c>
      <c r="B6075" s="4" t="s">
        <v>2</v>
      </c>
      <c r="C6075" s="4" t="s">
        <v>35</v>
      </c>
      <c r="D6075" s="4">
        <v>2030</v>
      </c>
      <c r="E6075" s="4">
        <v>0</v>
      </c>
      <c r="F6075" s="4" t="s">
        <v>29</v>
      </c>
    </row>
    <row r="6076" spans="1:6" x14ac:dyDescent="0.25">
      <c r="A6076" s="4" t="s">
        <v>82</v>
      </c>
      <c r="B6076" s="4" t="s">
        <v>2</v>
      </c>
      <c r="C6076" s="4" t="s">
        <v>35</v>
      </c>
      <c r="D6076" s="4">
        <v>2031</v>
      </c>
      <c r="E6076" s="4">
        <v>0</v>
      </c>
      <c r="F6076" s="4" t="s">
        <v>29</v>
      </c>
    </row>
    <row r="6077" spans="1:6" x14ac:dyDescent="0.25">
      <c r="A6077" s="4" t="s">
        <v>82</v>
      </c>
      <c r="B6077" s="4" t="s">
        <v>2</v>
      </c>
      <c r="C6077" s="4" t="s">
        <v>35</v>
      </c>
      <c r="D6077" s="4">
        <v>2032</v>
      </c>
      <c r="E6077" s="4">
        <v>0</v>
      </c>
      <c r="F6077" s="4" t="s">
        <v>29</v>
      </c>
    </row>
    <row r="6078" spans="1:6" x14ac:dyDescent="0.25">
      <c r="A6078" s="4" t="s">
        <v>82</v>
      </c>
      <c r="B6078" s="4" t="s">
        <v>2</v>
      </c>
      <c r="C6078" s="4" t="s">
        <v>35</v>
      </c>
      <c r="D6078" s="4">
        <v>2033</v>
      </c>
      <c r="E6078" s="4">
        <v>0</v>
      </c>
      <c r="F6078" s="4" t="s">
        <v>29</v>
      </c>
    </row>
    <row r="6079" spans="1:6" x14ac:dyDescent="0.25">
      <c r="A6079" s="4" t="s">
        <v>82</v>
      </c>
      <c r="B6079" s="4" t="s">
        <v>2</v>
      </c>
      <c r="C6079" s="4" t="s">
        <v>35</v>
      </c>
      <c r="D6079" s="4">
        <v>2034</v>
      </c>
      <c r="E6079" s="4">
        <v>0</v>
      </c>
      <c r="F6079" s="4" t="s">
        <v>29</v>
      </c>
    </row>
    <row r="6080" spans="1:6" x14ac:dyDescent="0.25">
      <c r="A6080" s="4" t="s">
        <v>82</v>
      </c>
      <c r="B6080" s="4" t="s">
        <v>2</v>
      </c>
      <c r="C6080" s="4" t="s">
        <v>35</v>
      </c>
      <c r="D6080" s="4">
        <v>2035</v>
      </c>
      <c r="E6080" s="4">
        <v>0</v>
      </c>
      <c r="F6080" s="4" t="s">
        <v>29</v>
      </c>
    </row>
    <row r="6081" spans="1:6" x14ac:dyDescent="0.25">
      <c r="A6081" s="4" t="s">
        <v>82</v>
      </c>
      <c r="B6081" s="4" t="s">
        <v>2</v>
      </c>
      <c r="C6081" s="4" t="s">
        <v>35</v>
      </c>
      <c r="D6081" s="4">
        <v>2036</v>
      </c>
      <c r="E6081" s="4">
        <v>0</v>
      </c>
      <c r="F6081" s="4" t="s">
        <v>29</v>
      </c>
    </row>
    <row r="6082" spans="1:6" x14ac:dyDescent="0.25">
      <c r="A6082" s="4" t="s">
        <v>82</v>
      </c>
      <c r="B6082" s="4" t="s">
        <v>2</v>
      </c>
      <c r="C6082" s="4" t="s">
        <v>35</v>
      </c>
      <c r="D6082" s="4">
        <v>2037</v>
      </c>
      <c r="E6082" s="4">
        <v>0</v>
      </c>
      <c r="F6082" s="4" t="s">
        <v>29</v>
      </c>
    </row>
    <row r="6083" spans="1:6" x14ac:dyDescent="0.25">
      <c r="A6083" s="4" t="s">
        <v>82</v>
      </c>
      <c r="B6083" s="4" t="s">
        <v>2</v>
      </c>
      <c r="C6083" s="4" t="s">
        <v>35</v>
      </c>
      <c r="D6083" s="4">
        <v>2038</v>
      </c>
      <c r="E6083" s="4">
        <v>0</v>
      </c>
      <c r="F6083" s="4" t="s">
        <v>29</v>
      </c>
    </row>
    <row r="6084" spans="1:6" x14ac:dyDescent="0.25">
      <c r="A6084" s="4" t="s">
        <v>82</v>
      </c>
      <c r="B6084" s="4" t="s">
        <v>2</v>
      </c>
      <c r="C6084" s="4" t="s">
        <v>35</v>
      </c>
      <c r="D6084" s="4">
        <v>2039</v>
      </c>
      <c r="E6084" s="4">
        <v>0</v>
      </c>
      <c r="F6084" s="4" t="s">
        <v>29</v>
      </c>
    </row>
    <row r="6085" spans="1:6" x14ac:dyDescent="0.25">
      <c r="A6085" s="4" t="s">
        <v>82</v>
      </c>
      <c r="B6085" s="4" t="s">
        <v>2</v>
      </c>
      <c r="C6085" s="4" t="s">
        <v>35</v>
      </c>
      <c r="D6085" s="4">
        <v>2040</v>
      </c>
      <c r="E6085" s="4">
        <v>0</v>
      </c>
      <c r="F6085" s="4" t="s">
        <v>29</v>
      </c>
    </row>
    <row r="6086" spans="1:6" x14ac:dyDescent="0.25">
      <c r="A6086" s="4" t="s">
        <v>82</v>
      </c>
      <c r="B6086" s="4" t="s">
        <v>3</v>
      </c>
      <c r="C6086" s="4" t="s">
        <v>35</v>
      </c>
      <c r="D6086" s="4">
        <v>2005</v>
      </c>
      <c r="E6086" s="4">
        <v>0</v>
      </c>
      <c r="F6086" s="4" t="s">
        <v>29</v>
      </c>
    </row>
    <row r="6087" spans="1:6" x14ac:dyDescent="0.25">
      <c r="A6087" s="4" t="s">
        <v>82</v>
      </c>
      <c r="B6087" s="4" t="s">
        <v>3</v>
      </c>
      <c r="C6087" s="4" t="s">
        <v>35</v>
      </c>
      <c r="D6087" s="4">
        <v>2006</v>
      </c>
      <c r="E6087" s="4">
        <v>0</v>
      </c>
      <c r="F6087" s="4" t="s">
        <v>29</v>
      </c>
    </row>
    <row r="6088" spans="1:6" x14ac:dyDescent="0.25">
      <c r="A6088" s="4" t="s">
        <v>82</v>
      </c>
      <c r="B6088" s="4" t="s">
        <v>3</v>
      </c>
      <c r="C6088" s="4" t="s">
        <v>35</v>
      </c>
      <c r="D6088" s="4">
        <v>2007</v>
      </c>
      <c r="E6088" s="4">
        <v>0</v>
      </c>
      <c r="F6088" s="4" t="s">
        <v>29</v>
      </c>
    </row>
    <row r="6089" spans="1:6" x14ac:dyDescent="0.25">
      <c r="A6089" s="4" t="s">
        <v>82</v>
      </c>
      <c r="B6089" s="4" t="s">
        <v>3</v>
      </c>
      <c r="C6089" s="4" t="s">
        <v>35</v>
      </c>
      <c r="D6089" s="4">
        <v>2008</v>
      </c>
      <c r="E6089" s="4">
        <v>0</v>
      </c>
      <c r="F6089" s="4" t="s">
        <v>29</v>
      </c>
    </row>
    <row r="6090" spans="1:6" x14ac:dyDescent="0.25">
      <c r="A6090" s="4" t="s">
        <v>82</v>
      </c>
      <c r="B6090" s="4" t="s">
        <v>3</v>
      </c>
      <c r="C6090" s="4" t="s">
        <v>35</v>
      </c>
      <c r="D6090" s="4">
        <v>2009</v>
      </c>
      <c r="E6090" s="4">
        <v>0</v>
      </c>
      <c r="F6090" s="4" t="s">
        <v>29</v>
      </c>
    </row>
    <row r="6091" spans="1:6" x14ac:dyDescent="0.25">
      <c r="A6091" s="4" t="s">
        <v>82</v>
      </c>
      <c r="B6091" s="4" t="s">
        <v>3</v>
      </c>
      <c r="C6091" s="4" t="s">
        <v>35</v>
      </c>
      <c r="D6091" s="4">
        <v>2010</v>
      </c>
      <c r="E6091" s="4">
        <v>0</v>
      </c>
      <c r="F6091" s="4" t="s">
        <v>29</v>
      </c>
    </row>
    <row r="6092" spans="1:6" x14ac:dyDescent="0.25">
      <c r="A6092" s="4" t="s">
        <v>82</v>
      </c>
      <c r="B6092" s="4" t="s">
        <v>3</v>
      </c>
      <c r="C6092" s="4" t="s">
        <v>35</v>
      </c>
      <c r="D6092" s="4">
        <v>2011</v>
      </c>
      <c r="E6092" s="4">
        <v>0</v>
      </c>
      <c r="F6092" s="4" t="s">
        <v>29</v>
      </c>
    </row>
    <row r="6093" spans="1:6" x14ac:dyDescent="0.25">
      <c r="A6093" s="4" t="s">
        <v>82</v>
      </c>
      <c r="B6093" s="4" t="s">
        <v>3</v>
      </c>
      <c r="C6093" s="4" t="s">
        <v>35</v>
      </c>
      <c r="D6093" s="4">
        <v>2012</v>
      </c>
      <c r="E6093" s="4">
        <v>0</v>
      </c>
      <c r="F6093" s="4" t="s">
        <v>29</v>
      </c>
    </row>
    <row r="6094" spans="1:6" x14ac:dyDescent="0.25">
      <c r="A6094" s="4" t="s">
        <v>82</v>
      </c>
      <c r="B6094" s="4" t="s">
        <v>3</v>
      </c>
      <c r="C6094" s="4" t="s">
        <v>35</v>
      </c>
      <c r="D6094" s="4">
        <v>2013</v>
      </c>
      <c r="E6094" s="4">
        <v>0</v>
      </c>
      <c r="F6094" s="4" t="s">
        <v>29</v>
      </c>
    </row>
    <row r="6095" spans="1:6" x14ac:dyDescent="0.25">
      <c r="A6095" s="4" t="s">
        <v>82</v>
      </c>
      <c r="B6095" s="4" t="s">
        <v>3</v>
      </c>
      <c r="C6095" s="4" t="s">
        <v>35</v>
      </c>
      <c r="D6095" s="4">
        <v>2014</v>
      </c>
      <c r="E6095" s="4">
        <v>0</v>
      </c>
      <c r="F6095" s="4" t="s">
        <v>29</v>
      </c>
    </row>
    <row r="6096" spans="1:6" x14ac:dyDescent="0.25">
      <c r="A6096" s="4" t="s">
        <v>82</v>
      </c>
      <c r="B6096" s="4" t="s">
        <v>3</v>
      </c>
      <c r="C6096" s="4" t="s">
        <v>35</v>
      </c>
      <c r="D6096" s="4">
        <v>2015</v>
      </c>
      <c r="E6096" s="4">
        <v>0</v>
      </c>
      <c r="F6096" s="4" t="s">
        <v>29</v>
      </c>
    </row>
    <row r="6097" spans="1:6" x14ac:dyDescent="0.25">
      <c r="A6097" s="4" t="s">
        <v>82</v>
      </c>
      <c r="B6097" s="4" t="s">
        <v>3</v>
      </c>
      <c r="C6097" s="4" t="s">
        <v>35</v>
      </c>
      <c r="D6097" s="4">
        <v>2016</v>
      </c>
      <c r="E6097" s="4">
        <v>0</v>
      </c>
      <c r="F6097" s="4" t="s">
        <v>29</v>
      </c>
    </row>
    <row r="6098" spans="1:6" x14ac:dyDescent="0.25">
      <c r="A6098" s="4" t="s">
        <v>82</v>
      </c>
      <c r="B6098" s="4" t="s">
        <v>3</v>
      </c>
      <c r="C6098" s="4" t="s">
        <v>35</v>
      </c>
      <c r="D6098" s="4">
        <v>2017</v>
      </c>
      <c r="E6098" s="4">
        <v>0</v>
      </c>
      <c r="F6098" s="4" t="s">
        <v>29</v>
      </c>
    </row>
    <row r="6099" spans="1:6" x14ac:dyDescent="0.25">
      <c r="A6099" s="4" t="s">
        <v>82</v>
      </c>
      <c r="B6099" s="4" t="s">
        <v>3</v>
      </c>
      <c r="C6099" s="4" t="s">
        <v>35</v>
      </c>
      <c r="D6099" s="4">
        <v>2018</v>
      </c>
      <c r="E6099" s="4">
        <v>0</v>
      </c>
      <c r="F6099" s="4" t="s">
        <v>29</v>
      </c>
    </row>
    <row r="6100" spans="1:6" x14ac:dyDescent="0.25">
      <c r="A6100" s="4" t="s">
        <v>82</v>
      </c>
      <c r="B6100" s="4" t="s">
        <v>3</v>
      </c>
      <c r="C6100" s="4" t="s">
        <v>35</v>
      </c>
      <c r="D6100" s="4">
        <v>2019</v>
      </c>
      <c r="E6100" s="4">
        <v>0</v>
      </c>
      <c r="F6100" s="4" t="s">
        <v>29</v>
      </c>
    </row>
    <row r="6101" spans="1:6" x14ac:dyDescent="0.25">
      <c r="A6101" s="4" t="s">
        <v>82</v>
      </c>
      <c r="B6101" s="4" t="s">
        <v>3</v>
      </c>
      <c r="C6101" s="4" t="s">
        <v>35</v>
      </c>
      <c r="D6101" s="4">
        <v>2020</v>
      </c>
      <c r="E6101" s="4">
        <v>0</v>
      </c>
      <c r="F6101" s="4" t="s">
        <v>29</v>
      </c>
    </row>
    <row r="6102" spans="1:6" x14ac:dyDescent="0.25">
      <c r="A6102" s="4" t="s">
        <v>82</v>
      </c>
      <c r="B6102" s="4" t="s">
        <v>3</v>
      </c>
      <c r="C6102" s="4" t="s">
        <v>35</v>
      </c>
      <c r="D6102" s="4">
        <v>2021</v>
      </c>
      <c r="E6102" s="4">
        <v>0</v>
      </c>
      <c r="F6102" s="4" t="s">
        <v>29</v>
      </c>
    </row>
    <row r="6103" spans="1:6" x14ac:dyDescent="0.25">
      <c r="A6103" s="4" t="s">
        <v>82</v>
      </c>
      <c r="B6103" s="4" t="s">
        <v>3</v>
      </c>
      <c r="C6103" s="4" t="s">
        <v>35</v>
      </c>
      <c r="D6103" s="4">
        <v>2022</v>
      </c>
      <c r="E6103" s="4">
        <v>0</v>
      </c>
      <c r="F6103" s="4" t="s">
        <v>29</v>
      </c>
    </row>
    <row r="6104" spans="1:6" x14ac:dyDescent="0.25">
      <c r="A6104" s="4" t="s">
        <v>82</v>
      </c>
      <c r="B6104" s="4" t="s">
        <v>3</v>
      </c>
      <c r="C6104" s="4" t="s">
        <v>35</v>
      </c>
      <c r="D6104" s="4">
        <v>2023</v>
      </c>
      <c r="E6104" s="4">
        <v>0</v>
      </c>
      <c r="F6104" s="4" t="s">
        <v>29</v>
      </c>
    </row>
    <row r="6105" spans="1:6" x14ac:dyDescent="0.25">
      <c r="A6105" s="4" t="s">
        <v>82</v>
      </c>
      <c r="B6105" s="4" t="s">
        <v>3</v>
      </c>
      <c r="C6105" s="4" t="s">
        <v>35</v>
      </c>
      <c r="D6105" s="4">
        <v>2024</v>
      </c>
      <c r="E6105" s="4">
        <v>0</v>
      </c>
      <c r="F6105" s="4" t="s">
        <v>29</v>
      </c>
    </row>
    <row r="6106" spans="1:6" x14ac:dyDescent="0.25">
      <c r="A6106" s="4" t="s">
        <v>82</v>
      </c>
      <c r="B6106" s="4" t="s">
        <v>3</v>
      </c>
      <c r="C6106" s="4" t="s">
        <v>35</v>
      </c>
      <c r="D6106" s="4">
        <v>2025</v>
      </c>
      <c r="E6106" s="4">
        <v>0</v>
      </c>
      <c r="F6106" s="4" t="s">
        <v>29</v>
      </c>
    </row>
    <row r="6107" spans="1:6" x14ac:dyDescent="0.25">
      <c r="A6107" s="4" t="s">
        <v>82</v>
      </c>
      <c r="B6107" s="4" t="s">
        <v>3</v>
      </c>
      <c r="C6107" s="4" t="s">
        <v>35</v>
      </c>
      <c r="D6107" s="4">
        <v>2026</v>
      </c>
      <c r="E6107" s="4">
        <v>0</v>
      </c>
      <c r="F6107" s="4" t="s">
        <v>29</v>
      </c>
    </row>
    <row r="6108" spans="1:6" x14ac:dyDescent="0.25">
      <c r="A6108" s="4" t="s">
        <v>82</v>
      </c>
      <c r="B6108" s="4" t="s">
        <v>3</v>
      </c>
      <c r="C6108" s="4" t="s">
        <v>35</v>
      </c>
      <c r="D6108" s="4">
        <v>2027</v>
      </c>
      <c r="E6108" s="4">
        <v>0</v>
      </c>
      <c r="F6108" s="4" t="s">
        <v>29</v>
      </c>
    </row>
    <row r="6109" spans="1:6" x14ac:dyDescent="0.25">
      <c r="A6109" s="4" t="s">
        <v>82</v>
      </c>
      <c r="B6109" s="4" t="s">
        <v>3</v>
      </c>
      <c r="C6109" s="4" t="s">
        <v>35</v>
      </c>
      <c r="D6109" s="4">
        <v>2028</v>
      </c>
      <c r="E6109" s="4">
        <v>0</v>
      </c>
      <c r="F6109" s="4" t="s">
        <v>29</v>
      </c>
    </row>
    <row r="6110" spans="1:6" x14ac:dyDescent="0.25">
      <c r="A6110" s="4" t="s">
        <v>82</v>
      </c>
      <c r="B6110" s="4" t="s">
        <v>3</v>
      </c>
      <c r="C6110" s="4" t="s">
        <v>35</v>
      </c>
      <c r="D6110" s="4">
        <v>2029</v>
      </c>
      <c r="E6110" s="4">
        <v>0</v>
      </c>
      <c r="F6110" s="4" t="s">
        <v>29</v>
      </c>
    </row>
    <row r="6111" spans="1:6" x14ac:dyDescent="0.25">
      <c r="A6111" s="4" t="s">
        <v>82</v>
      </c>
      <c r="B6111" s="4" t="s">
        <v>3</v>
      </c>
      <c r="C6111" s="4" t="s">
        <v>35</v>
      </c>
      <c r="D6111" s="4">
        <v>2030</v>
      </c>
      <c r="E6111" s="4">
        <v>0</v>
      </c>
      <c r="F6111" s="4" t="s">
        <v>29</v>
      </c>
    </row>
    <row r="6112" spans="1:6" x14ac:dyDescent="0.25">
      <c r="A6112" s="4" t="s">
        <v>82</v>
      </c>
      <c r="B6112" s="4" t="s">
        <v>3</v>
      </c>
      <c r="C6112" s="4" t="s">
        <v>35</v>
      </c>
      <c r="D6112" s="4">
        <v>2031</v>
      </c>
      <c r="E6112" s="4">
        <v>0</v>
      </c>
      <c r="F6112" s="4" t="s">
        <v>29</v>
      </c>
    </row>
    <row r="6113" spans="1:6" x14ac:dyDescent="0.25">
      <c r="A6113" s="4" t="s">
        <v>82</v>
      </c>
      <c r="B6113" s="4" t="s">
        <v>3</v>
      </c>
      <c r="C6113" s="4" t="s">
        <v>35</v>
      </c>
      <c r="D6113" s="4">
        <v>2032</v>
      </c>
      <c r="E6113" s="4">
        <v>0</v>
      </c>
      <c r="F6113" s="4" t="s">
        <v>29</v>
      </c>
    </row>
    <row r="6114" spans="1:6" x14ac:dyDescent="0.25">
      <c r="A6114" s="4" t="s">
        <v>82</v>
      </c>
      <c r="B6114" s="4" t="s">
        <v>3</v>
      </c>
      <c r="C6114" s="4" t="s">
        <v>35</v>
      </c>
      <c r="D6114" s="4">
        <v>2033</v>
      </c>
      <c r="E6114" s="4">
        <v>0</v>
      </c>
      <c r="F6114" s="4" t="s">
        <v>29</v>
      </c>
    </row>
    <row r="6115" spans="1:6" x14ac:dyDescent="0.25">
      <c r="A6115" s="4" t="s">
        <v>82</v>
      </c>
      <c r="B6115" s="4" t="s">
        <v>3</v>
      </c>
      <c r="C6115" s="4" t="s">
        <v>35</v>
      </c>
      <c r="D6115" s="4">
        <v>2034</v>
      </c>
      <c r="E6115" s="4">
        <v>0</v>
      </c>
      <c r="F6115" s="4" t="s">
        <v>29</v>
      </c>
    </row>
    <row r="6116" spans="1:6" x14ac:dyDescent="0.25">
      <c r="A6116" s="4" t="s">
        <v>82</v>
      </c>
      <c r="B6116" s="4" t="s">
        <v>3</v>
      </c>
      <c r="C6116" s="4" t="s">
        <v>35</v>
      </c>
      <c r="D6116" s="4">
        <v>2035</v>
      </c>
      <c r="E6116" s="4">
        <v>0</v>
      </c>
      <c r="F6116" s="4" t="s">
        <v>29</v>
      </c>
    </row>
    <row r="6117" spans="1:6" x14ac:dyDescent="0.25">
      <c r="A6117" s="4" t="s">
        <v>82</v>
      </c>
      <c r="B6117" s="4" t="s">
        <v>3</v>
      </c>
      <c r="C6117" s="4" t="s">
        <v>35</v>
      </c>
      <c r="D6117" s="4">
        <v>2036</v>
      </c>
      <c r="E6117" s="4">
        <v>0</v>
      </c>
      <c r="F6117" s="4" t="s">
        <v>29</v>
      </c>
    </row>
    <row r="6118" spans="1:6" x14ac:dyDescent="0.25">
      <c r="A6118" s="4" t="s">
        <v>82</v>
      </c>
      <c r="B6118" s="4" t="s">
        <v>3</v>
      </c>
      <c r="C6118" s="4" t="s">
        <v>35</v>
      </c>
      <c r="D6118" s="4">
        <v>2037</v>
      </c>
      <c r="E6118" s="4">
        <v>0</v>
      </c>
      <c r="F6118" s="4" t="s">
        <v>29</v>
      </c>
    </row>
    <row r="6119" spans="1:6" x14ac:dyDescent="0.25">
      <c r="A6119" s="4" t="s">
        <v>82</v>
      </c>
      <c r="B6119" s="4" t="s">
        <v>3</v>
      </c>
      <c r="C6119" s="4" t="s">
        <v>35</v>
      </c>
      <c r="D6119" s="4">
        <v>2038</v>
      </c>
      <c r="E6119" s="4">
        <v>0</v>
      </c>
      <c r="F6119" s="4" t="s">
        <v>29</v>
      </c>
    </row>
    <row r="6120" spans="1:6" x14ac:dyDescent="0.25">
      <c r="A6120" s="4" t="s">
        <v>82</v>
      </c>
      <c r="B6120" s="4" t="s">
        <v>3</v>
      </c>
      <c r="C6120" s="4" t="s">
        <v>35</v>
      </c>
      <c r="D6120" s="4">
        <v>2039</v>
      </c>
      <c r="E6120" s="4">
        <v>0</v>
      </c>
      <c r="F6120" s="4" t="s">
        <v>29</v>
      </c>
    </row>
    <row r="6121" spans="1:6" x14ac:dyDescent="0.25">
      <c r="A6121" s="4" t="s">
        <v>82</v>
      </c>
      <c r="B6121" s="4" t="s">
        <v>3</v>
      </c>
      <c r="C6121" s="4" t="s">
        <v>35</v>
      </c>
      <c r="D6121" s="4">
        <v>2040</v>
      </c>
      <c r="E6121" s="4">
        <v>0</v>
      </c>
      <c r="F6121" s="4" t="s">
        <v>29</v>
      </c>
    </row>
    <row r="6122" spans="1:6" x14ac:dyDescent="0.25">
      <c r="A6122" s="4" t="s">
        <v>82</v>
      </c>
      <c r="B6122" s="4" t="s">
        <v>4</v>
      </c>
      <c r="C6122" s="4" t="s">
        <v>35</v>
      </c>
      <c r="D6122" s="4">
        <v>2005</v>
      </c>
      <c r="E6122" s="4">
        <v>0</v>
      </c>
      <c r="F6122" s="4" t="s">
        <v>29</v>
      </c>
    </row>
    <row r="6123" spans="1:6" x14ac:dyDescent="0.25">
      <c r="A6123" s="4" t="s">
        <v>82</v>
      </c>
      <c r="B6123" s="4" t="s">
        <v>4</v>
      </c>
      <c r="C6123" s="4" t="s">
        <v>35</v>
      </c>
      <c r="D6123" s="4">
        <v>2006</v>
      </c>
      <c r="E6123" s="4">
        <v>0</v>
      </c>
      <c r="F6123" s="4" t="s">
        <v>29</v>
      </c>
    </row>
    <row r="6124" spans="1:6" x14ac:dyDescent="0.25">
      <c r="A6124" s="4" t="s">
        <v>82</v>
      </c>
      <c r="B6124" s="4" t="s">
        <v>4</v>
      </c>
      <c r="C6124" s="4" t="s">
        <v>35</v>
      </c>
      <c r="D6124" s="4">
        <v>2007</v>
      </c>
      <c r="E6124" s="4">
        <v>0</v>
      </c>
      <c r="F6124" s="4" t="s">
        <v>29</v>
      </c>
    </row>
    <row r="6125" spans="1:6" x14ac:dyDescent="0.25">
      <c r="A6125" s="4" t="s">
        <v>82</v>
      </c>
      <c r="B6125" s="4" t="s">
        <v>4</v>
      </c>
      <c r="C6125" s="4" t="s">
        <v>35</v>
      </c>
      <c r="D6125" s="4">
        <v>2008</v>
      </c>
      <c r="E6125" s="4">
        <v>0</v>
      </c>
      <c r="F6125" s="4" t="s">
        <v>29</v>
      </c>
    </row>
    <row r="6126" spans="1:6" x14ac:dyDescent="0.25">
      <c r="A6126" s="4" t="s">
        <v>82</v>
      </c>
      <c r="B6126" s="4" t="s">
        <v>4</v>
      </c>
      <c r="C6126" s="4" t="s">
        <v>35</v>
      </c>
      <c r="D6126" s="4">
        <v>2009</v>
      </c>
      <c r="E6126" s="4">
        <v>0</v>
      </c>
      <c r="F6126" s="4" t="s">
        <v>29</v>
      </c>
    </row>
    <row r="6127" spans="1:6" x14ac:dyDescent="0.25">
      <c r="A6127" s="4" t="s">
        <v>82</v>
      </c>
      <c r="B6127" s="4" t="s">
        <v>4</v>
      </c>
      <c r="C6127" s="4" t="s">
        <v>35</v>
      </c>
      <c r="D6127" s="4">
        <v>2010</v>
      </c>
      <c r="E6127" s="4">
        <v>0</v>
      </c>
      <c r="F6127" s="4" t="s">
        <v>29</v>
      </c>
    </row>
    <row r="6128" spans="1:6" x14ac:dyDescent="0.25">
      <c r="A6128" s="4" t="s">
        <v>82</v>
      </c>
      <c r="B6128" s="4" t="s">
        <v>4</v>
      </c>
      <c r="C6128" s="4" t="s">
        <v>35</v>
      </c>
      <c r="D6128" s="4">
        <v>2011</v>
      </c>
      <c r="E6128" s="4">
        <v>0</v>
      </c>
      <c r="F6128" s="4" t="s">
        <v>29</v>
      </c>
    </row>
    <row r="6129" spans="1:6" x14ac:dyDescent="0.25">
      <c r="A6129" s="4" t="s">
        <v>82</v>
      </c>
      <c r="B6129" s="4" t="s">
        <v>4</v>
      </c>
      <c r="C6129" s="4" t="s">
        <v>35</v>
      </c>
      <c r="D6129" s="4">
        <v>2012</v>
      </c>
      <c r="E6129" s="4">
        <v>0</v>
      </c>
      <c r="F6129" s="4" t="s">
        <v>29</v>
      </c>
    </row>
    <row r="6130" spans="1:6" x14ac:dyDescent="0.25">
      <c r="A6130" s="4" t="s">
        <v>82</v>
      </c>
      <c r="B6130" s="4" t="s">
        <v>4</v>
      </c>
      <c r="C6130" s="4" t="s">
        <v>35</v>
      </c>
      <c r="D6130" s="4">
        <v>2013</v>
      </c>
      <c r="E6130" s="4">
        <v>0</v>
      </c>
      <c r="F6130" s="4" t="s">
        <v>29</v>
      </c>
    </row>
    <row r="6131" spans="1:6" x14ac:dyDescent="0.25">
      <c r="A6131" s="4" t="s">
        <v>82</v>
      </c>
      <c r="B6131" s="4" t="s">
        <v>4</v>
      </c>
      <c r="C6131" s="4" t="s">
        <v>35</v>
      </c>
      <c r="D6131" s="4">
        <v>2014</v>
      </c>
      <c r="E6131" s="4">
        <v>0</v>
      </c>
      <c r="F6131" s="4" t="s">
        <v>29</v>
      </c>
    </row>
    <row r="6132" spans="1:6" x14ac:dyDescent="0.25">
      <c r="A6132" s="4" t="s">
        <v>82</v>
      </c>
      <c r="B6132" s="4" t="s">
        <v>4</v>
      </c>
      <c r="C6132" s="4" t="s">
        <v>35</v>
      </c>
      <c r="D6132" s="4">
        <v>2015</v>
      </c>
      <c r="E6132" s="4">
        <v>0</v>
      </c>
      <c r="F6132" s="4" t="s">
        <v>29</v>
      </c>
    </row>
    <row r="6133" spans="1:6" x14ac:dyDescent="0.25">
      <c r="A6133" s="4" t="s">
        <v>82</v>
      </c>
      <c r="B6133" s="4" t="s">
        <v>4</v>
      </c>
      <c r="C6133" s="4" t="s">
        <v>35</v>
      </c>
      <c r="D6133" s="4">
        <v>2016</v>
      </c>
      <c r="E6133" s="4">
        <v>0</v>
      </c>
      <c r="F6133" s="4" t="s">
        <v>29</v>
      </c>
    </row>
    <row r="6134" spans="1:6" x14ac:dyDescent="0.25">
      <c r="A6134" s="4" t="s">
        <v>82</v>
      </c>
      <c r="B6134" s="4" t="s">
        <v>4</v>
      </c>
      <c r="C6134" s="4" t="s">
        <v>35</v>
      </c>
      <c r="D6134" s="4">
        <v>2017</v>
      </c>
      <c r="E6134" s="4">
        <v>0</v>
      </c>
      <c r="F6134" s="4" t="s">
        <v>29</v>
      </c>
    </row>
    <row r="6135" spans="1:6" x14ac:dyDescent="0.25">
      <c r="A6135" s="4" t="s">
        <v>82</v>
      </c>
      <c r="B6135" s="4" t="s">
        <v>4</v>
      </c>
      <c r="C6135" s="4" t="s">
        <v>35</v>
      </c>
      <c r="D6135" s="4">
        <v>2018</v>
      </c>
      <c r="E6135" s="4">
        <v>0</v>
      </c>
      <c r="F6135" s="4" t="s">
        <v>29</v>
      </c>
    </row>
    <row r="6136" spans="1:6" x14ac:dyDescent="0.25">
      <c r="A6136" s="4" t="s">
        <v>82</v>
      </c>
      <c r="B6136" s="4" t="s">
        <v>4</v>
      </c>
      <c r="C6136" s="4" t="s">
        <v>35</v>
      </c>
      <c r="D6136" s="4">
        <v>2019</v>
      </c>
      <c r="E6136" s="4">
        <v>0</v>
      </c>
      <c r="F6136" s="4" t="s">
        <v>29</v>
      </c>
    </row>
    <row r="6137" spans="1:6" x14ac:dyDescent="0.25">
      <c r="A6137" s="4" t="s">
        <v>82</v>
      </c>
      <c r="B6137" s="4" t="s">
        <v>4</v>
      </c>
      <c r="C6137" s="4" t="s">
        <v>35</v>
      </c>
      <c r="D6137" s="4">
        <v>2020</v>
      </c>
      <c r="E6137" s="4">
        <v>0</v>
      </c>
      <c r="F6137" s="4" t="s">
        <v>29</v>
      </c>
    </row>
    <row r="6138" spans="1:6" x14ac:dyDescent="0.25">
      <c r="A6138" s="4" t="s">
        <v>82</v>
      </c>
      <c r="B6138" s="4" t="s">
        <v>4</v>
      </c>
      <c r="C6138" s="4" t="s">
        <v>35</v>
      </c>
      <c r="D6138" s="4">
        <v>2021</v>
      </c>
      <c r="E6138" s="4">
        <v>0</v>
      </c>
      <c r="F6138" s="4" t="s">
        <v>29</v>
      </c>
    </row>
    <row r="6139" spans="1:6" x14ac:dyDescent="0.25">
      <c r="A6139" s="4" t="s">
        <v>82</v>
      </c>
      <c r="B6139" s="4" t="s">
        <v>4</v>
      </c>
      <c r="C6139" s="4" t="s">
        <v>35</v>
      </c>
      <c r="D6139" s="4">
        <v>2022</v>
      </c>
      <c r="E6139" s="4">
        <v>0</v>
      </c>
      <c r="F6139" s="4" t="s">
        <v>29</v>
      </c>
    </row>
    <row r="6140" spans="1:6" x14ac:dyDescent="0.25">
      <c r="A6140" s="4" t="s">
        <v>82</v>
      </c>
      <c r="B6140" s="4" t="s">
        <v>4</v>
      </c>
      <c r="C6140" s="4" t="s">
        <v>35</v>
      </c>
      <c r="D6140" s="4">
        <v>2023</v>
      </c>
      <c r="E6140" s="4">
        <v>0</v>
      </c>
      <c r="F6140" s="4" t="s">
        <v>29</v>
      </c>
    </row>
    <row r="6141" spans="1:6" x14ac:dyDescent="0.25">
      <c r="A6141" s="4" t="s">
        <v>82</v>
      </c>
      <c r="B6141" s="4" t="s">
        <v>4</v>
      </c>
      <c r="C6141" s="4" t="s">
        <v>35</v>
      </c>
      <c r="D6141" s="4">
        <v>2024</v>
      </c>
      <c r="E6141" s="4">
        <v>0</v>
      </c>
      <c r="F6141" s="4" t="s">
        <v>29</v>
      </c>
    </row>
    <row r="6142" spans="1:6" x14ac:dyDescent="0.25">
      <c r="A6142" s="4" t="s">
        <v>82</v>
      </c>
      <c r="B6142" s="4" t="s">
        <v>4</v>
      </c>
      <c r="C6142" s="4" t="s">
        <v>35</v>
      </c>
      <c r="D6142" s="4">
        <v>2025</v>
      </c>
      <c r="E6142" s="4">
        <v>0</v>
      </c>
      <c r="F6142" s="4" t="s">
        <v>29</v>
      </c>
    </row>
    <row r="6143" spans="1:6" x14ac:dyDescent="0.25">
      <c r="A6143" s="4" t="s">
        <v>82</v>
      </c>
      <c r="B6143" s="4" t="s">
        <v>4</v>
      </c>
      <c r="C6143" s="4" t="s">
        <v>35</v>
      </c>
      <c r="D6143" s="4">
        <v>2026</v>
      </c>
      <c r="E6143" s="4">
        <v>0</v>
      </c>
      <c r="F6143" s="4" t="s">
        <v>29</v>
      </c>
    </row>
    <row r="6144" spans="1:6" x14ac:dyDescent="0.25">
      <c r="A6144" s="4" t="s">
        <v>82</v>
      </c>
      <c r="B6144" s="4" t="s">
        <v>4</v>
      </c>
      <c r="C6144" s="4" t="s">
        <v>35</v>
      </c>
      <c r="D6144" s="4">
        <v>2027</v>
      </c>
      <c r="E6144" s="4">
        <v>0</v>
      </c>
      <c r="F6144" s="4" t="s">
        <v>29</v>
      </c>
    </row>
    <row r="6145" spans="1:6" x14ac:dyDescent="0.25">
      <c r="A6145" s="4" t="s">
        <v>82</v>
      </c>
      <c r="B6145" s="4" t="s">
        <v>4</v>
      </c>
      <c r="C6145" s="4" t="s">
        <v>35</v>
      </c>
      <c r="D6145" s="4">
        <v>2028</v>
      </c>
      <c r="E6145" s="4">
        <v>0</v>
      </c>
      <c r="F6145" s="4" t="s">
        <v>29</v>
      </c>
    </row>
    <row r="6146" spans="1:6" x14ac:dyDescent="0.25">
      <c r="A6146" s="4" t="s">
        <v>82</v>
      </c>
      <c r="B6146" s="4" t="s">
        <v>4</v>
      </c>
      <c r="C6146" s="4" t="s">
        <v>35</v>
      </c>
      <c r="D6146" s="4">
        <v>2029</v>
      </c>
      <c r="E6146" s="4">
        <v>0</v>
      </c>
      <c r="F6146" s="4" t="s">
        <v>29</v>
      </c>
    </row>
    <row r="6147" spans="1:6" x14ac:dyDescent="0.25">
      <c r="A6147" s="4" t="s">
        <v>82</v>
      </c>
      <c r="B6147" s="4" t="s">
        <v>4</v>
      </c>
      <c r="C6147" s="4" t="s">
        <v>35</v>
      </c>
      <c r="D6147" s="4">
        <v>2030</v>
      </c>
      <c r="E6147" s="4">
        <v>0</v>
      </c>
      <c r="F6147" s="4" t="s">
        <v>29</v>
      </c>
    </row>
    <row r="6148" spans="1:6" x14ac:dyDescent="0.25">
      <c r="A6148" s="4" t="s">
        <v>82</v>
      </c>
      <c r="B6148" s="4" t="s">
        <v>4</v>
      </c>
      <c r="C6148" s="4" t="s">
        <v>35</v>
      </c>
      <c r="D6148" s="4">
        <v>2031</v>
      </c>
      <c r="E6148" s="4">
        <v>0</v>
      </c>
      <c r="F6148" s="4" t="s">
        <v>29</v>
      </c>
    </row>
    <row r="6149" spans="1:6" x14ac:dyDescent="0.25">
      <c r="A6149" s="4" t="s">
        <v>82</v>
      </c>
      <c r="B6149" s="4" t="s">
        <v>4</v>
      </c>
      <c r="C6149" s="4" t="s">
        <v>35</v>
      </c>
      <c r="D6149" s="4">
        <v>2032</v>
      </c>
      <c r="E6149" s="4">
        <v>0</v>
      </c>
      <c r="F6149" s="4" t="s">
        <v>29</v>
      </c>
    </row>
    <row r="6150" spans="1:6" x14ac:dyDescent="0.25">
      <c r="A6150" s="4" t="s">
        <v>82</v>
      </c>
      <c r="B6150" s="4" t="s">
        <v>4</v>
      </c>
      <c r="C6150" s="4" t="s">
        <v>35</v>
      </c>
      <c r="D6150" s="4">
        <v>2033</v>
      </c>
      <c r="E6150" s="4">
        <v>0</v>
      </c>
      <c r="F6150" s="4" t="s">
        <v>29</v>
      </c>
    </row>
    <row r="6151" spans="1:6" x14ac:dyDescent="0.25">
      <c r="A6151" s="4" t="s">
        <v>82</v>
      </c>
      <c r="B6151" s="4" t="s">
        <v>4</v>
      </c>
      <c r="C6151" s="4" t="s">
        <v>35</v>
      </c>
      <c r="D6151" s="4">
        <v>2034</v>
      </c>
      <c r="E6151" s="4">
        <v>0</v>
      </c>
      <c r="F6151" s="4" t="s">
        <v>29</v>
      </c>
    </row>
    <row r="6152" spans="1:6" x14ac:dyDescent="0.25">
      <c r="A6152" s="4" t="s">
        <v>82</v>
      </c>
      <c r="B6152" s="4" t="s">
        <v>4</v>
      </c>
      <c r="C6152" s="4" t="s">
        <v>35</v>
      </c>
      <c r="D6152" s="4">
        <v>2035</v>
      </c>
      <c r="E6152" s="4">
        <v>0</v>
      </c>
      <c r="F6152" s="4" t="s">
        <v>29</v>
      </c>
    </row>
    <row r="6153" spans="1:6" x14ac:dyDescent="0.25">
      <c r="A6153" s="4" t="s">
        <v>82</v>
      </c>
      <c r="B6153" s="4" t="s">
        <v>4</v>
      </c>
      <c r="C6153" s="4" t="s">
        <v>35</v>
      </c>
      <c r="D6153" s="4">
        <v>2036</v>
      </c>
      <c r="E6153" s="4">
        <v>0</v>
      </c>
      <c r="F6153" s="4" t="s">
        <v>29</v>
      </c>
    </row>
    <row r="6154" spans="1:6" x14ac:dyDescent="0.25">
      <c r="A6154" s="4" t="s">
        <v>82</v>
      </c>
      <c r="B6154" s="4" t="s">
        <v>4</v>
      </c>
      <c r="C6154" s="4" t="s">
        <v>35</v>
      </c>
      <c r="D6154" s="4">
        <v>2037</v>
      </c>
      <c r="E6154" s="4">
        <v>0</v>
      </c>
      <c r="F6154" s="4" t="s">
        <v>29</v>
      </c>
    </row>
    <row r="6155" spans="1:6" x14ac:dyDescent="0.25">
      <c r="A6155" s="4" t="s">
        <v>82</v>
      </c>
      <c r="B6155" s="4" t="s">
        <v>4</v>
      </c>
      <c r="C6155" s="4" t="s">
        <v>35</v>
      </c>
      <c r="D6155" s="4">
        <v>2038</v>
      </c>
      <c r="E6155" s="4">
        <v>0</v>
      </c>
      <c r="F6155" s="4" t="s">
        <v>29</v>
      </c>
    </row>
    <row r="6156" spans="1:6" x14ac:dyDescent="0.25">
      <c r="A6156" s="4" t="s">
        <v>82</v>
      </c>
      <c r="B6156" s="4" t="s">
        <v>4</v>
      </c>
      <c r="C6156" s="4" t="s">
        <v>35</v>
      </c>
      <c r="D6156" s="4">
        <v>2039</v>
      </c>
      <c r="E6156" s="4">
        <v>0</v>
      </c>
      <c r="F6156" s="4" t="s">
        <v>29</v>
      </c>
    </row>
    <row r="6157" spans="1:6" x14ac:dyDescent="0.25">
      <c r="A6157" s="4" t="s">
        <v>82</v>
      </c>
      <c r="B6157" s="4" t="s">
        <v>4</v>
      </c>
      <c r="C6157" s="4" t="s">
        <v>35</v>
      </c>
      <c r="D6157" s="4">
        <v>2040</v>
      </c>
      <c r="E6157" s="4">
        <v>0</v>
      </c>
      <c r="F6157" s="4" t="s">
        <v>29</v>
      </c>
    </row>
    <row r="6158" spans="1:6" x14ac:dyDescent="0.25">
      <c r="A6158" s="4" t="s">
        <v>82</v>
      </c>
      <c r="B6158" s="4" t="s">
        <v>5</v>
      </c>
      <c r="C6158" s="4" t="s">
        <v>35</v>
      </c>
      <c r="D6158" s="4">
        <v>2005</v>
      </c>
      <c r="E6158" s="4">
        <v>0</v>
      </c>
      <c r="F6158" s="4" t="s">
        <v>29</v>
      </c>
    </row>
    <row r="6159" spans="1:6" x14ac:dyDescent="0.25">
      <c r="A6159" s="4" t="s">
        <v>82</v>
      </c>
      <c r="B6159" s="4" t="s">
        <v>5</v>
      </c>
      <c r="C6159" s="4" t="s">
        <v>35</v>
      </c>
      <c r="D6159" s="4">
        <v>2006</v>
      </c>
      <c r="E6159" s="4">
        <v>0</v>
      </c>
      <c r="F6159" s="4" t="s">
        <v>29</v>
      </c>
    </row>
    <row r="6160" spans="1:6" x14ac:dyDescent="0.25">
      <c r="A6160" s="4" t="s">
        <v>82</v>
      </c>
      <c r="B6160" s="4" t="s">
        <v>5</v>
      </c>
      <c r="C6160" s="4" t="s">
        <v>35</v>
      </c>
      <c r="D6160" s="4">
        <v>2007</v>
      </c>
      <c r="E6160" s="4">
        <v>0</v>
      </c>
      <c r="F6160" s="4" t="s">
        <v>29</v>
      </c>
    </row>
    <row r="6161" spans="1:6" x14ac:dyDescent="0.25">
      <c r="A6161" s="4" t="s">
        <v>82</v>
      </c>
      <c r="B6161" s="4" t="s">
        <v>5</v>
      </c>
      <c r="C6161" s="4" t="s">
        <v>35</v>
      </c>
      <c r="D6161" s="4">
        <v>2008</v>
      </c>
      <c r="E6161" s="4">
        <v>0</v>
      </c>
      <c r="F6161" s="4" t="s">
        <v>29</v>
      </c>
    </row>
    <row r="6162" spans="1:6" x14ac:dyDescent="0.25">
      <c r="A6162" s="4" t="s">
        <v>82</v>
      </c>
      <c r="B6162" s="4" t="s">
        <v>5</v>
      </c>
      <c r="C6162" s="4" t="s">
        <v>35</v>
      </c>
      <c r="D6162" s="4">
        <v>2009</v>
      </c>
      <c r="E6162" s="4">
        <v>0</v>
      </c>
      <c r="F6162" s="4" t="s">
        <v>29</v>
      </c>
    </row>
    <row r="6163" spans="1:6" x14ac:dyDescent="0.25">
      <c r="A6163" s="4" t="s">
        <v>82</v>
      </c>
      <c r="B6163" s="4" t="s">
        <v>5</v>
      </c>
      <c r="C6163" s="4" t="s">
        <v>35</v>
      </c>
      <c r="D6163" s="4">
        <v>2010</v>
      </c>
      <c r="E6163" s="4">
        <v>0</v>
      </c>
      <c r="F6163" s="4" t="s">
        <v>29</v>
      </c>
    </row>
    <row r="6164" spans="1:6" x14ac:dyDescent="0.25">
      <c r="A6164" s="4" t="s">
        <v>82</v>
      </c>
      <c r="B6164" s="4" t="s">
        <v>5</v>
      </c>
      <c r="C6164" s="4" t="s">
        <v>35</v>
      </c>
      <c r="D6164" s="4">
        <v>2011</v>
      </c>
      <c r="E6164" s="4">
        <v>0</v>
      </c>
      <c r="F6164" s="4" t="s">
        <v>29</v>
      </c>
    </row>
    <row r="6165" spans="1:6" x14ac:dyDescent="0.25">
      <c r="A6165" s="4" t="s">
        <v>82</v>
      </c>
      <c r="B6165" s="4" t="s">
        <v>5</v>
      </c>
      <c r="C6165" s="4" t="s">
        <v>35</v>
      </c>
      <c r="D6165" s="4">
        <v>2012</v>
      </c>
      <c r="E6165" s="4">
        <v>0</v>
      </c>
      <c r="F6165" s="4" t="s">
        <v>29</v>
      </c>
    </row>
    <row r="6166" spans="1:6" x14ac:dyDescent="0.25">
      <c r="A6166" s="4" t="s">
        <v>82</v>
      </c>
      <c r="B6166" s="4" t="s">
        <v>5</v>
      </c>
      <c r="C6166" s="4" t="s">
        <v>35</v>
      </c>
      <c r="D6166" s="4">
        <v>2013</v>
      </c>
      <c r="E6166" s="4">
        <v>0</v>
      </c>
      <c r="F6166" s="4" t="s">
        <v>29</v>
      </c>
    </row>
    <row r="6167" spans="1:6" x14ac:dyDescent="0.25">
      <c r="A6167" s="4" t="s">
        <v>82</v>
      </c>
      <c r="B6167" s="4" t="s">
        <v>5</v>
      </c>
      <c r="C6167" s="4" t="s">
        <v>35</v>
      </c>
      <c r="D6167" s="4">
        <v>2014</v>
      </c>
      <c r="E6167" s="4">
        <v>0</v>
      </c>
      <c r="F6167" s="4" t="s">
        <v>29</v>
      </c>
    </row>
    <row r="6168" spans="1:6" x14ac:dyDescent="0.25">
      <c r="A6168" s="4" t="s">
        <v>82</v>
      </c>
      <c r="B6168" s="4" t="s">
        <v>5</v>
      </c>
      <c r="C6168" s="4" t="s">
        <v>35</v>
      </c>
      <c r="D6168" s="4">
        <v>2015</v>
      </c>
      <c r="E6168" s="4">
        <v>0</v>
      </c>
      <c r="F6168" s="4" t="s">
        <v>29</v>
      </c>
    </row>
    <row r="6169" spans="1:6" x14ac:dyDescent="0.25">
      <c r="A6169" s="4" t="s">
        <v>82</v>
      </c>
      <c r="B6169" s="4" t="s">
        <v>5</v>
      </c>
      <c r="C6169" s="4" t="s">
        <v>35</v>
      </c>
      <c r="D6169" s="4">
        <v>2016</v>
      </c>
      <c r="E6169" s="4">
        <v>0</v>
      </c>
      <c r="F6169" s="4" t="s">
        <v>29</v>
      </c>
    </row>
    <row r="6170" spans="1:6" x14ac:dyDescent="0.25">
      <c r="A6170" s="4" t="s">
        <v>82</v>
      </c>
      <c r="B6170" s="4" t="s">
        <v>5</v>
      </c>
      <c r="C6170" s="4" t="s">
        <v>35</v>
      </c>
      <c r="D6170" s="4">
        <v>2017</v>
      </c>
      <c r="E6170" s="4">
        <v>0</v>
      </c>
      <c r="F6170" s="4" t="s">
        <v>29</v>
      </c>
    </row>
    <row r="6171" spans="1:6" x14ac:dyDescent="0.25">
      <c r="A6171" s="4" t="s">
        <v>82</v>
      </c>
      <c r="B6171" s="4" t="s">
        <v>5</v>
      </c>
      <c r="C6171" s="4" t="s">
        <v>35</v>
      </c>
      <c r="D6171" s="4">
        <v>2018</v>
      </c>
      <c r="E6171" s="4">
        <v>0</v>
      </c>
      <c r="F6171" s="4" t="s">
        <v>29</v>
      </c>
    </row>
    <row r="6172" spans="1:6" x14ac:dyDescent="0.25">
      <c r="A6172" s="4" t="s">
        <v>82</v>
      </c>
      <c r="B6172" s="4" t="s">
        <v>5</v>
      </c>
      <c r="C6172" s="4" t="s">
        <v>35</v>
      </c>
      <c r="D6172" s="4">
        <v>2019</v>
      </c>
      <c r="E6172" s="4">
        <v>0</v>
      </c>
      <c r="F6172" s="4" t="s">
        <v>29</v>
      </c>
    </row>
    <row r="6173" spans="1:6" x14ac:dyDescent="0.25">
      <c r="A6173" s="4" t="s">
        <v>82</v>
      </c>
      <c r="B6173" s="4" t="s">
        <v>5</v>
      </c>
      <c r="C6173" s="4" t="s">
        <v>35</v>
      </c>
      <c r="D6173" s="4">
        <v>2020</v>
      </c>
      <c r="E6173" s="4">
        <v>0</v>
      </c>
      <c r="F6173" s="4" t="s">
        <v>29</v>
      </c>
    </row>
    <row r="6174" spans="1:6" x14ac:dyDescent="0.25">
      <c r="A6174" s="4" t="s">
        <v>82</v>
      </c>
      <c r="B6174" s="4" t="s">
        <v>5</v>
      </c>
      <c r="C6174" s="4" t="s">
        <v>35</v>
      </c>
      <c r="D6174" s="4">
        <v>2021</v>
      </c>
      <c r="E6174" s="4">
        <v>0</v>
      </c>
      <c r="F6174" s="4" t="s">
        <v>29</v>
      </c>
    </row>
    <row r="6175" spans="1:6" x14ac:dyDescent="0.25">
      <c r="A6175" s="4" t="s">
        <v>82</v>
      </c>
      <c r="B6175" s="4" t="s">
        <v>5</v>
      </c>
      <c r="C6175" s="4" t="s">
        <v>35</v>
      </c>
      <c r="D6175" s="4">
        <v>2022</v>
      </c>
      <c r="E6175" s="4">
        <v>0</v>
      </c>
      <c r="F6175" s="4" t="s">
        <v>29</v>
      </c>
    </row>
    <row r="6176" spans="1:6" x14ac:dyDescent="0.25">
      <c r="A6176" s="4" t="s">
        <v>82</v>
      </c>
      <c r="B6176" s="4" t="s">
        <v>5</v>
      </c>
      <c r="C6176" s="4" t="s">
        <v>35</v>
      </c>
      <c r="D6176" s="4">
        <v>2023</v>
      </c>
      <c r="E6176" s="4">
        <v>0</v>
      </c>
      <c r="F6176" s="4" t="s">
        <v>29</v>
      </c>
    </row>
    <row r="6177" spans="1:6" x14ac:dyDescent="0.25">
      <c r="A6177" s="4" t="s">
        <v>82</v>
      </c>
      <c r="B6177" s="4" t="s">
        <v>5</v>
      </c>
      <c r="C6177" s="4" t="s">
        <v>35</v>
      </c>
      <c r="D6177" s="4">
        <v>2024</v>
      </c>
      <c r="E6177" s="4">
        <v>0</v>
      </c>
      <c r="F6177" s="4" t="s">
        <v>29</v>
      </c>
    </row>
    <row r="6178" spans="1:6" x14ac:dyDescent="0.25">
      <c r="A6178" s="4" t="s">
        <v>82</v>
      </c>
      <c r="B6178" s="4" t="s">
        <v>5</v>
      </c>
      <c r="C6178" s="4" t="s">
        <v>35</v>
      </c>
      <c r="D6178" s="4">
        <v>2025</v>
      </c>
      <c r="E6178" s="4">
        <v>0</v>
      </c>
      <c r="F6178" s="4" t="s">
        <v>29</v>
      </c>
    </row>
    <row r="6179" spans="1:6" x14ac:dyDescent="0.25">
      <c r="A6179" s="4" t="s">
        <v>82</v>
      </c>
      <c r="B6179" s="4" t="s">
        <v>5</v>
      </c>
      <c r="C6179" s="4" t="s">
        <v>35</v>
      </c>
      <c r="D6179" s="4">
        <v>2026</v>
      </c>
      <c r="E6179" s="4">
        <v>0</v>
      </c>
      <c r="F6179" s="4" t="s">
        <v>29</v>
      </c>
    </row>
    <row r="6180" spans="1:6" x14ac:dyDescent="0.25">
      <c r="A6180" s="4" t="s">
        <v>82</v>
      </c>
      <c r="B6180" s="4" t="s">
        <v>5</v>
      </c>
      <c r="C6180" s="4" t="s">
        <v>35</v>
      </c>
      <c r="D6180" s="4">
        <v>2027</v>
      </c>
      <c r="E6180" s="4">
        <v>0</v>
      </c>
      <c r="F6180" s="4" t="s">
        <v>29</v>
      </c>
    </row>
    <row r="6181" spans="1:6" x14ac:dyDescent="0.25">
      <c r="A6181" s="4" t="s">
        <v>82</v>
      </c>
      <c r="B6181" s="4" t="s">
        <v>5</v>
      </c>
      <c r="C6181" s="4" t="s">
        <v>35</v>
      </c>
      <c r="D6181" s="4">
        <v>2028</v>
      </c>
      <c r="E6181" s="4">
        <v>0</v>
      </c>
      <c r="F6181" s="4" t="s">
        <v>29</v>
      </c>
    </row>
    <row r="6182" spans="1:6" x14ac:dyDescent="0.25">
      <c r="A6182" s="4" t="s">
        <v>82</v>
      </c>
      <c r="B6182" s="4" t="s">
        <v>5</v>
      </c>
      <c r="C6182" s="4" t="s">
        <v>35</v>
      </c>
      <c r="D6182" s="4">
        <v>2029</v>
      </c>
      <c r="E6182" s="4">
        <v>0</v>
      </c>
      <c r="F6182" s="4" t="s">
        <v>29</v>
      </c>
    </row>
    <row r="6183" spans="1:6" x14ac:dyDescent="0.25">
      <c r="A6183" s="4" t="s">
        <v>82</v>
      </c>
      <c r="B6183" s="4" t="s">
        <v>5</v>
      </c>
      <c r="C6183" s="4" t="s">
        <v>35</v>
      </c>
      <c r="D6183" s="4">
        <v>2030</v>
      </c>
      <c r="E6183" s="4">
        <v>0</v>
      </c>
      <c r="F6183" s="4" t="s">
        <v>29</v>
      </c>
    </row>
    <row r="6184" spans="1:6" x14ac:dyDescent="0.25">
      <c r="A6184" s="4" t="s">
        <v>82</v>
      </c>
      <c r="B6184" s="4" t="s">
        <v>5</v>
      </c>
      <c r="C6184" s="4" t="s">
        <v>35</v>
      </c>
      <c r="D6184" s="4">
        <v>2031</v>
      </c>
      <c r="E6184" s="4">
        <v>0</v>
      </c>
      <c r="F6184" s="4" t="s">
        <v>29</v>
      </c>
    </row>
    <row r="6185" spans="1:6" x14ac:dyDescent="0.25">
      <c r="A6185" s="4" t="s">
        <v>82</v>
      </c>
      <c r="B6185" s="4" t="s">
        <v>5</v>
      </c>
      <c r="C6185" s="4" t="s">
        <v>35</v>
      </c>
      <c r="D6185" s="4">
        <v>2032</v>
      </c>
      <c r="E6185" s="4">
        <v>0</v>
      </c>
      <c r="F6185" s="4" t="s">
        <v>29</v>
      </c>
    </row>
    <row r="6186" spans="1:6" x14ac:dyDescent="0.25">
      <c r="A6186" s="4" t="s">
        <v>82</v>
      </c>
      <c r="B6186" s="4" t="s">
        <v>5</v>
      </c>
      <c r="C6186" s="4" t="s">
        <v>35</v>
      </c>
      <c r="D6186" s="4">
        <v>2033</v>
      </c>
      <c r="E6186" s="4">
        <v>0</v>
      </c>
      <c r="F6186" s="4" t="s">
        <v>29</v>
      </c>
    </row>
    <row r="6187" spans="1:6" x14ac:dyDescent="0.25">
      <c r="A6187" s="4" t="s">
        <v>82</v>
      </c>
      <c r="B6187" s="4" t="s">
        <v>5</v>
      </c>
      <c r="C6187" s="4" t="s">
        <v>35</v>
      </c>
      <c r="D6187" s="4">
        <v>2034</v>
      </c>
      <c r="E6187" s="4">
        <v>0</v>
      </c>
      <c r="F6187" s="4" t="s">
        <v>29</v>
      </c>
    </row>
    <row r="6188" spans="1:6" x14ac:dyDescent="0.25">
      <c r="A6188" s="4" t="s">
        <v>82</v>
      </c>
      <c r="B6188" s="4" t="s">
        <v>5</v>
      </c>
      <c r="C6188" s="4" t="s">
        <v>35</v>
      </c>
      <c r="D6188" s="4">
        <v>2035</v>
      </c>
      <c r="E6188" s="4">
        <v>0</v>
      </c>
      <c r="F6188" s="4" t="s">
        <v>29</v>
      </c>
    </row>
    <row r="6189" spans="1:6" x14ac:dyDescent="0.25">
      <c r="A6189" s="4" t="s">
        <v>82</v>
      </c>
      <c r="B6189" s="4" t="s">
        <v>5</v>
      </c>
      <c r="C6189" s="4" t="s">
        <v>35</v>
      </c>
      <c r="D6189" s="4">
        <v>2036</v>
      </c>
      <c r="E6189" s="4">
        <v>0</v>
      </c>
      <c r="F6189" s="4" t="s">
        <v>29</v>
      </c>
    </row>
    <row r="6190" spans="1:6" x14ac:dyDescent="0.25">
      <c r="A6190" s="4" t="s">
        <v>82</v>
      </c>
      <c r="B6190" s="4" t="s">
        <v>5</v>
      </c>
      <c r="C6190" s="4" t="s">
        <v>35</v>
      </c>
      <c r="D6190" s="4">
        <v>2037</v>
      </c>
      <c r="E6190" s="4">
        <v>0</v>
      </c>
      <c r="F6190" s="4" t="s">
        <v>29</v>
      </c>
    </row>
    <row r="6191" spans="1:6" x14ac:dyDescent="0.25">
      <c r="A6191" s="4" t="s">
        <v>82</v>
      </c>
      <c r="B6191" s="4" t="s">
        <v>5</v>
      </c>
      <c r="C6191" s="4" t="s">
        <v>35</v>
      </c>
      <c r="D6191" s="4">
        <v>2038</v>
      </c>
      <c r="E6191" s="4">
        <v>0</v>
      </c>
      <c r="F6191" s="4" t="s">
        <v>29</v>
      </c>
    </row>
    <row r="6192" spans="1:6" x14ac:dyDescent="0.25">
      <c r="A6192" s="4" t="s">
        <v>82</v>
      </c>
      <c r="B6192" s="4" t="s">
        <v>5</v>
      </c>
      <c r="C6192" s="4" t="s">
        <v>35</v>
      </c>
      <c r="D6192" s="4">
        <v>2039</v>
      </c>
      <c r="E6192" s="4">
        <v>0</v>
      </c>
      <c r="F6192" s="4" t="s">
        <v>29</v>
      </c>
    </row>
    <row r="6193" spans="1:6" x14ac:dyDescent="0.25">
      <c r="A6193" s="4" t="s">
        <v>82</v>
      </c>
      <c r="B6193" s="4" t="s">
        <v>5</v>
      </c>
      <c r="C6193" s="4" t="s">
        <v>35</v>
      </c>
      <c r="D6193" s="4">
        <v>2040</v>
      </c>
      <c r="E6193" s="4">
        <v>0</v>
      </c>
      <c r="F6193" s="4" t="s">
        <v>29</v>
      </c>
    </row>
    <row r="6194" spans="1:6" x14ac:dyDescent="0.25">
      <c r="A6194" s="4" t="s">
        <v>82</v>
      </c>
      <c r="B6194" s="4" t="s">
        <v>6</v>
      </c>
      <c r="C6194" s="4" t="s">
        <v>35</v>
      </c>
      <c r="D6194" s="4">
        <v>2005</v>
      </c>
      <c r="E6194" s="4">
        <v>0</v>
      </c>
      <c r="F6194" s="4" t="s">
        <v>29</v>
      </c>
    </row>
    <row r="6195" spans="1:6" x14ac:dyDescent="0.25">
      <c r="A6195" s="4" t="s">
        <v>82</v>
      </c>
      <c r="B6195" s="4" t="s">
        <v>6</v>
      </c>
      <c r="C6195" s="4" t="s">
        <v>35</v>
      </c>
      <c r="D6195" s="4">
        <v>2006</v>
      </c>
      <c r="E6195" s="4">
        <v>0</v>
      </c>
      <c r="F6195" s="4" t="s">
        <v>29</v>
      </c>
    </row>
    <row r="6196" spans="1:6" x14ac:dyDescent="0.25">
      <c r="A6196" s="4" t="s">
        <v>82</v>
      </c>
      <c r="B6196" s="4" t="s">
        <v>6</v>
      </c>
      <c r="C6196" s="4" t="s">
        <v>35</v>
      </c>
      <c r="D6196" s="4">
        <v>2007</v>
      </c>
      <c r="E6196" s="4">
        <v>0</v>
      </c>
      <c r="F6196" s="4" t="s">
        <v>29</v>
      </c>
    </row>
    <row r="6197" spans="1:6" x14ac:dyDescent="0.25">
      <c r="A6197" s="4" t="s">
        <v>82</v>
      </c>
      <c r="B6197" s="4" t="s">
        <v>6</v>
      </c>
      <c r="C6197" s="4" t="s">
        <v>35</v>
      </c>
      <c r="D6197" s="4">
        <v>2008</v>
      </c>
      <c r="E6197" s="4">
        <v>0</v>
      </c>
      <c r="F6197" s="4" t="s">
        <v>29</v>
      </c>
    </row>
    <row r="6198" spans="1:6" x14ac:dyDescent="0.25">
      <c r="A6198" s="4" t="s">
        <v>82</v>
      </c>
      <c r="B6198" s="4" t="s">
        <v>6</v>
      </c>
      <c r="C6198" s="4" t="s">
        <v>35</v>
      </c>
      <c r="D6198" s="4">
        <v>2009</v>
      </c>
      <c r="E6198" s="4">
        <v>0</v>
      </c>
      <c r="F6198" s="4" t="s">
        <v>29</v>
      </c>
    </row>
    <row r="6199" spans="1:6" x14ac:dyDescent="0.25">
      <c r="A6199" s="4" t="s">
        <v>82</v>
      </c>
      <c r="B6199" s="4" t="s">
        <v>6</v>
      </c>
      <c r="C6199" s="4" t="s">
        <v>35</v>
      </c>
      <c r="D6199" s="4">
        <v>2010</v>
      </c>
      <c r="E6199" s="4">
        <v>0</v>
      </c>
      <c r="F6199" s="4" t="s">
        <v>29</v>
      </c>
    </row>
    <row r="6200" spans="1:6" x14ac:dyDescent="0.25">
      <c r="A6200" s="4" t="s">
        <v>82</v>
      </c>
      <c r="B6200" s="4" t="s">
        <v>6</v>
      </c>
      <c r="C6200" s="4" t="s">
        <v>35</v>
      </c>
      <c r="D6200" s="4">
        <v>2011</v>
      </c>
      <c r="E6200" s="4">
        <v>0</v>
      </c>
      <c r="F6200" s="4" t="s">
        <v>29</v>
      </c>
    </row>
    <row r="6201" spans="1:6" x14ac:dyDescent="0.25">
      <c r="A6201" s="4" t="s">
        <v>82</v>
      </c>
      <c r="B6201" s="4" t="s">
        <v>6</v>
      </c>
      <c r="C6201" s="4" t="s">
        <v>35</v>
      </c>
      <c r="D6201" s="4">
        <v>2012</v>
      </c>
      <c r="E6201" s="4">
        <v>0</v>
      </c>
      <c r="F6201" s="4" t="s">
        <v>29</v>
      </c>
    </row>
    <row r="6202" spans="1:6" x14ac:dyDescent="0.25">
      <c r="A6202" s="4" t="s">
        <v>82</v>
      </c>
      <c r="B6202" s="4" t="s">
        <v>6</v>
      </c>
      <c r="C6202" s="4" t="s">
        <v>35</v>
      </c>
      <c r="D6202" s="4">
        <v>2013</v>
      </c>
      <c r="E6202" s="4">
        <v>0</v>
      </c>
      <c r="F6202" s="4" t="s">
        <v>29</v>
      </c>
    </row>
    <row r="6203" spans="1:6" x14ac:dyDescent="0.25">
      <c r="A6203" s="4" t="s">
        <v>82</v>
      </c>
      <c r="B6203" s="4" t="s">
        <v>6</v>
      </c>
      <c r="C6203" s="4" t="s">
        <v>35</v>
      </c>
      <c r="D6203" s="4">
        <v>2014</v>
      </c>
      <c r="E6203" s="4">
        <v>0</v>
      </c>
      <c r="F6203" s="4" t="s">
        <v>29</v>
      </c>
    </row>
    <row r="6204" spans="1:6" x14ac:dyDescent="0.25">
      <c r="A6204" s="4" t="s">
        <v>82</v>
      </c>
      <c r="B6204" s="4" t="s">
        <v>6</v>
      </c>
      <c r="C6204" s="4" t="s">
        <v>35</v>
      </c>
      <c r="D6204" s="4">
        <v>2015</v>
      </c>
      <c r="E6204" s="4">
        <v>0</v>
      </c>
      <c r="F6204" s="4" t="s">
        <v>29</v>
      </c>
    </row>
    <row r="6205" spans="1:6" x14ac:dyDescent="0.25">
      <c r="A6205" s="4" t="s">
        <v>82</v>
      </c>
      <c r="B6205" s="4" t="s">
        <v>6</v>
      </c>
      <c r="C6205" s="4" t="s">
        <v>35</v>
      </c>
      <c r="D6205" s="4">
        <v>2016</v>
      </c>
      <c r="E6205" s="4">
        <v>0</v>
      </c>
      <c r="F6205" s="4" t="s">
        <v>29</v>
      </c>
    </row>
    <row r="6206" spans="1:6" x14ac:dyDescent="0.25">
      <c r="A6206" s="4" t="s">
        <v>82</v>
      </c>
      <c r="B6206" s="4" t="s">
        <v>6</v>
      </c>
      <c r="C6206" s="4" t="s">
        <v>35</v>
      </c>
      <c r="D6206" s="4">
        <v>2017</v>
      </c>
      <c r="E6206" s="4">
        <v>0</v>
      </c>
      <c r="F6206" s="4" t="s">
        <v>29</v>
      </c>
    </row>
    <row r="6207" spans="1:6" x14ac:dyDescent="0.25">
      <c r="A6207" s="4" t="s">
        <v>82</v>
      </c>
      <c r="B6207" s="4" t="s">
        <v>6</v>
      </c>
      <c r="C6207" s="4" t="s">
        <v>35</v>
      </c>
      <c r="D6207" s="4">
        <v>2018</v>
      </c>
      <c r="E6207" s="4">
        <v>0</v>
      </c>
      <c r="F6207" s="4" t="s">
        <v>29</v>
      </c>
    </row>
    <row r="6208" spans="1:6" x14ac:dyDescent="0.25">
      <c r="A6208" s="4" t="s">
        <v>82</v>
      </c>
      <c r="B6208" s="4" t="s">
        <v>6</v>
      </c>
      <c r="C6208" s="4" t="s">
        <v>35</v>
      </c>
      <c r="D6208" s="4">
        <v>2019</v>
      </c>
      <c r="E6208" s="4">
        <v>0</v>
      </c>
      <c r="F6208" s="4" t="s">
        <v>29</v>
      </c>
    </row>
    <row r="6209" spans="1:6" x14ac:dyDescent="0.25">
      <c r="A6209" s="4" t="s">
        <v>82</v>
      </c>
      <c r="B6209" s="4" t="s">
        <v>6</v>
      </c>
      <c r="C6209" s="4" t="s">
        <v>35</v>
      </c>
      <c r="D6209" s="4">
        <v>2020</v>
      </c>
      <c r="E6209" s="4">
        <v>0</v>
      </c>
      <c r="F6209" s="4" t="s">
        <v>29</v>
      </c>
    </row>
    <row r="6210" spans="1:6" x14ac:dyDescent="0.25">
      <c r="A6210" s="4" t="s">
        <v>82</v>
      </c>
      <c r="B6210" s="4" t="s">
        <v>6</v>
      </c>
      <c r="C6210" s="4" t="s">
        <v>35</v>
      </c>
      <c r="D6210" s="4">
        <v>2021</v>
      </c>
      <c r="E6210" s="4">
        <v>0</v>
      </c>
      <c r="F6210" s="4" t="s">
        <v>29</v>
      </c>
    </row>
    <row r="6211" spans="1:6" x14ac:dyDescent="0.25">
      <c r="A6211" s="4" t="s">
        <v>82</v>
      </c>
      <c r="B6211" s="4" t="s">
        <v>6</v>
      </c>
      <c r="C6211" s="4" t="s">
        <v>35</v>
      </c>
      <c r="D6211" s="4">
        <v>2022</v>
      </c>
      <c r="E6211" s="4">
        <v>0</v>
      </c>
      <c r="F6211" s="4" t="s">
        <v>29</v>
      </c>
    </row>
    <row r="6212" spans="1:6" x14ac:dyDescent="0.25">
      <c r="A6212" s="4" t="s">
        <v>82</v>
      </c>
      <c r="B6212" s="4" t="s">
        <v>6</v>
      </c>
      <c r="C6212" s="4" t="s">
        <v>35</v>
      </c>
      <c r="D6212" s="4">
        <v>2023</v>
      </c>
      <c r="E6212" s="4">
        <v>0</v>
      </c>
      <c r="F6212" s="4" t="s">
        <v>29</v>
      </c>
    </row>
    <row r="6213" spans="1:6" x14ac:dyDescent="0.25">
      <c r="A6213" s="4" t="s">
        <v>82</v>
      </c>
      <c r="B6213" s="4" t="s">
        <v>6</v>
      </c>
      <c r="C6213" s="4" t="s">
        <v>35</v>
      </c>
      <c r="D6213" s="4">
        <v>2024</v>
      </c>
      <c r="E6213" s="4">
        <v>0</v>
      </c>
      <c r="F6213" s="4" t="s">
        <v>29</v>
      </c>
    </row>
    <row r="6214" spans="1:6" x14ac:dyDescent="0.25">
      <c r="A6214" s="4" t="s">
        <v>82</v>
      </c>
      <c r="B6214" s="4" t="s">
        <v>6</v>
      </c>
      <c r="C6214" s="4" t="s">
        <v>35</v>
      </c>
      <c r="D6214" s="4">
        <v>2025</v>
      </c>
      <c r="E6214" s="4">
        <v>0</v>
      </c>
      <c r="F6214" s="4" t="s">
        <v>29</v>
      </c>
    </row>
    <row r="6215" spans="1:6" x14ac:dyDescent="0.25">
      <c r="A6215" s="4" t="s">
        <v>82</v>
      </c>
      <c r="B6215" s="4" t="s">
        <v>6</v>
      </c>
      <c r="C6215" s="4" t="s">
        <v>35</v>
      </c>
      <c r="D6215" s="4">
        <v>2026</v>
      </c>
      <c r="E6215" s="4">
        <v>0</v>
      </c>
      <c r="F6215" s="4" t="s">
        <v>29</v>
      </c>
    </row>
    <row r="6216" spans="1:6" x14ac:dyDescent="0.25">
      <c r="A6216" s="4" t="s">
        <v>82</v>
      </c>
      <c r="B6216" s="4" t="s">
        <v>6</v>
      </c>
      <c r="C6216" s="4" t="s">
        <v>35</v>
      </c>
      <c r="D6216" s="4">
        <v>2027</v>
      </c>
      <c r="E6216" s="4">
        <v>0</v>
      </c>
      <c r="F6216" s="4" t="s">
        <v>29</v>
      </c>
    </row>
    <row r="6217" spans="1:6" x14ac:dyDescent="0.25">
      <c r="A6217" s="4" t="s">
        <v>82</v>
      </c>
      <c r="B6217" s="4" t="s">
        <v>6</v>
      </c>
      <c r="C6217" s="4" t="s">
        <v>35</v>
      </c>
      <c r="D6217" s="4">
        <v>2028</v>
      </c>
      <c r="E6217" s="4">
        <v>0</v>
      </c>
      <c r="F6217" s="4" t="s">
        <v>29</v>
      </c>
    </row>
    <row r="6218" spans="1:6" x14ac:dyDescent="0.25">
      <c r="A6218" s="4" t="s">
        <v>82</v>
      </c>
      <c r="B6218" s="4" t="s">
        <v>6</v>
      </c>
      <c r="C6218" s="4" t="s">
        <v>35</v>
      </c>
      <c r="D6218" s="4">
        <v>2029</v>
      </c>
      <c r="E6218" s="4">
        <v>0</v>
      </c>
      <c r="F6218" s="4" t="s">
        <v>29</v>
      </c>
    </row>
    <row r="6219" spans="1:6" x14ac:dyDescent="0.25">
      <c r="A6219" s="4" t="s">
        <v>82</v>
      </c>
      <c r="B6219" s="4" t="s">
        <v>6</v>
      </c>
      <c r="C6219" s="4" t="s">
        <v>35</v>
      </c>
      <c r="D6219" s="4">
        <v>2030</v>
      </c>
      <c r="E6219" s="4">
        <v>0</v>
      </c>
      <c r="F6219" s="4" t="s">
        <v>29</v>
      </c>
    </row>
    <row r="6220" spans="1:6" x14ac:dyDescent="0.25">
      <c r="A6220" s="4" t="s">
        <v>82</v>
      </c>
      <c r="B6220" s="4" t="s">
        <v>6</v>
      </c>
      <c r="C6220" s="4" t="s">
        <v>35</v>
      </c>
      <c r="D6220" s="4">
        <v>2031</v>
      </c>
      <c r="E6220" s="4">
        <v>0</v>
      </c>
      <c r="F6220" s="4" t="s">
        <v>29</v>
      </c>
    </row>
    <row r="6221" spans="1:6" x14ac:dyDescent="0.25">
      <c r="A6221" s="4" t="s">
        <v>82</v>
      </c>
      <c r="B6221" s="4" t="s">
        <v>6</v>
      </c>
      <c r="C6221" s="4" t="s">
        <v>35</v>
      </c>
      <c r="D6221" s="4">
        <v>2032</v>
      </c>
      <c r="E6221" s="4">
        <v>0</v>
      </c>
      <c r="F6221" s="4" t="s">
        <v>29</v>
      </c>
    </row>
    <row r="6222" spans="1:6" x14ac:dyDescent="0.25">
      <c r="A6222" s="4" t="s">
        <v>82</v>
      </c>
      <c r="B6222" s="4" t="s">
        <v>6</v>
      </c>
      <c r="C6222" s="4" t="s">
        <v>35</v>
      </c>
      <c r="D6222" s="4">
        <v>2033</v>
      </c>
      <c r="E6222" s="4">
        <v>0</v>
      </c>
      <c r="F6222" s="4" t="s">
        <v>29</v>
      </c>
    </row>
    <row r="6223" spans="1:6" x14ac:dyDescent="0.25">
      <c r="A6223" s="4" t="s">
        <v>82</v>
      </c>
      <c r="B6223" s="4" t="s">
        <v>6</v>
      </c>
      <c r="C6223" s="4" t="s">
        <v>35</v>
      </c>
      <c r="D6223" s="4">
        <v>2034</v>
      </c>
      <c r="E6223" s="4">
        <v>0</v>
      </c>
      <c r="F6223" s="4" t="s">
        <v>29</v>
      </c>
    </row>
    <row r="6224" spans="1:6" x14ac:dyDescent="0.25">
      <c r="A6224" s="4" t="s">
        <v>82</v>
      </c>
      <c r="B6224" s="4" t="s">
        <v>6</v>
      </c>
      <c r="C6224" s="4" t="s">
        <v>35</v>
      </c>
      <c r="D6224" s="4">
        <v>2035</v>
      </c>
      <c r="E6224" s="4">
        <v>0</v>
      </c>
      <c r="F6224" s="4" t="s">
        <v>29</v>
      </c>
    </row>
    <row r="6225" spans="1:6" x14ac:dyDescent="0.25">
      <c r="A6225" s="4" t="s">
        <v>82</v>
      </c>
      <c r="B6225" s="4" t="s">
        <v>6</v>
      </c>
      <c r="C6225" s="4" t="s">
        <v>35</v>
      </c>
      <c r="D6225" s="4">
        <v>2036</v>
      </c>
      <c r="E6225" s="4">
        <v>0</v>
      </c>
      <c r="F6225" s="4" t="s">
        <v>29</v>
      </c>
    </row>
    <row r="6226" spans="1:6" x14ac:dyDescent="0.25">
      <c r="A6226" s="4" t="s">
        <v>82</v>
      </c>
      <c r="B6226" s="4" t="s">
        <v>6</v>
      </c>
      <c r="C6226" s="4" t="s">
        <v>35</v>
      </c>
      <c r="D6226" s="4">
        <v>2037</v>
      </c>
      <c r="E6226" s="4">
        <v>0</v>
      </c>
      <c r="F6226" s="4" t="s">
        <v>29</v>
      </c>
    </row>
    <row r="6227" spans="1:6" x14ac:dyDescent="0.25">
      <c r="A6227" s="4" t="s">
        <v>82</v>
      </c>
      <c r="B6227" s="4" t="s">
        <v>6</v>
      </c>
      <c r="C6227" s="4" t="s">
        <v>35</v>
      </c>
      <c r="D6227" s="4">
        <v>2038</v>
      </c>
      <c r="E6227" s="4">
        <v>0</v>
      </c>
      <c r="F6227" s="4" t="s">
        <v>29</v>
      </c>
    </row>
    <row r="6228" spans="1:6" x14ac:dyDescent="0.25">
      <c r="A6228" s="4" t="s">
        <v>82</v>
      </c>
      <c r="B6228" s="4" t="s">
        <v>6</v>
      </c>
      <c r="C6228" s="4" t="s">
        <v>35</v>
      </c>
      <c r="D6228" s="4">
        <v>2039</v>
      </c>
      <c r="E6228" s="4">
        <v>0</v>
      </c>
      <c r="F6228" s="4" t="s">
        <v>29</v>
      </c>
    </row>
    <row r="6229" spans="1:6" x14ac:dyDescent="0.25">
      <c r="A6229" s="4" t="s">
        <v>82</v>
      </c>
      <c r="B6229" s="4" t="s">
        <v>6</v>
      </c>
      <c r="C6229" s="4" t="s">
        <v>35</v>
      </c>
      <c r="D6229" s="4">
        <v>2040</v>
      </c>
      <c r="E6229" s="4">
        <v>0</v>
      </c>
      <c r="F6229" s="4" t="s">
        <v>29</v>
      </c>
    </row>
    <row r="6230" spans="1:6" x14ac:dyDescent="0.25">
      <c r="A6230" s="4" t="s">
        <v>82</v>
      </c>
      <c r="B6230" s="4" t="s">
        <v>23</v>
      </c>
      <c r="C6230" s="4" t="s">
        <v>35</v>
      </c>
      <c r="D6230" s="4">
        <v>2005</v>
      </c>
      <c r="E6230" s="4">
        <v>0</v>
      </c>
      <c r="F6230" s="4" t="s">
        <v>29</v>
      </c>
    </row>
    <row r="6231" spans="1:6" x14ac:dyDescent="0.25">
      <c r="A6231" s="4" t="s">
        <v>82</v>
      </c>
      <c r="B6231" s="4" t="s">
        <v>23</v>
      </c>
      <c r="C6231" s="4" t="s">
        <v>35</v>
      </c>
      <c r="D6231" s="4">
        <v>2006</v>
      </c>
      <c r="E6231" s="4">
        <v>0</v>
      </c>
      <c r="F6231" s="4" t="s">
        <v>29</v>
      </c>
    </row>
    <row r="6232" spans="1:6" x14ac:dyDescent="0.25">
      <c r="A6232" s="4" t="s">
        <v>82</v>
      </c>
      <c r="B6232" s="4" t="s">
        <v>23</v>
      </c>
      <c r="C6232" s="4" t="s">
        <v>35</v>
      </c>
      <c r="D6232" s="4">
        <v>2007</v>
      </c>
      <c r="E6232" s="4">
        <v>0</v>
      </c>
      <c r="F6232" s="4" t="s">
        <v>29</v>
      </c>
    </row>
    <row r="6233" spans="1:6" x14ac:dyDescent="0.25">
      <c r="A6233" s="4" t="s">
        <v>82</v>
      </c>
      <c r="B6233" s="4" t="s">
        <v>23</v>
      </c>
      <c r="C6233" s="4" t="s">
        <v>35</v>
      </c>
      <c r="D6233" s="4">
        <v>2008</v>
      </c>
      <c r="E6233" s="4">
        <v>0</v>
      </c>
      <c r="F6233" s="4" t="s">
        <v>29</v>
      </c>
    </row>
    <row r="6234" spans="1:6" x14ac:dyDescent="0.25">
      <c r="A6234" s="4" t="s">
        <v>82</v>
      </c>
      <c r="B6234" s="4" t="s">
        <v>23</v>
      </c>
      <c r="C6234" s="4" t="s">
        <v>35</v>
      </c>
      <c r="D6234" s="4">
        <v>2009</v>
      </c>
      <c r="E6234" s="4">
        <v>0</v>
      </c>
      <c r="F6234" s="4" t="s">
        <v>29</v>
      </c>
    </row>
    <row r="6235" spans="1:6" x14ac:dyDescent="0.25">
      <c r="A6235" s="4" t="s">
        <v>82</v>
      </c>
      <c r="B6235" s="4" t="s">
        <v>23</v>
      </c>
      <c r="C6235" s="4" t="s">
        <v>35</v>
      </c>
      <c r="D6235" s="4">
        <v>2010</v>
      </c>
      <c r="E6235" s="4">
        <v>0</v>
      </c>
      <c r="F6235" s="4" t="s">
        <v>29</v>
      </c>
    </row>
    <row r="6236" spans="1:6" x14ac:dyDescent="0.25">
      <c r="A6236" s="4" t="s">
        <v>82</v>
      </c>
      <c r="B6236" s="4" t="s">
        <v>23</v>
      </c>
      <c r="C6236" s="4" t="s">
        <v>35</v>
      </c>
      <c r="D6236" s="4">
        <v>2011</v>
      </c>
      <c r="E6236" s="4">
        <v>0</v>
      </c>
      <c r="F6236" s="4" t="s">
        <v>29</v>
      </c>
    </row>
    <row r="6237" spans="1:6" x14ac:dyDescent="0.25">
      <c r="A6237" s="4" t="s">
        <v>82</v>
      </c>
      <c r="B6237" s="4" t="s">
        <v>23</v>
      </c>
      <c r="C6237" s="4" t="s">
        <v>35</v>
      </c>
      <c r="D6237" s="4">
        <v>2012</v>
      </c>
      <c r="E6237" s="4">
        <v>0</v>
      </c>
      <c r="F6237" s="4" t="s">
        <v>29</v>
      </c>
    </row>
    <row r="6238" spans="1:6" x14ac:dyDescent="0.25">
      <c r="A6238" s="4" t="s">
        <v>82</v>
      </c>
      <c r="B6238" s="4" t="s">
        <v>23</v>
      </c>
      <c r="C6238" s="4" t="s">
        <v>35</v>
      </c>
      <c r="D6238" s="4">
        <v>2013</v>
      </c>
      <c r="E6238" s="4">
        <v>0</v>
      </c>
      <c r="F6238" s="4" t="s">
        <v>29</v>
      </c>
    </row>
    <row r="6239" spans="1:6" x14ac:dyDescent="0.25">
      <c r="A6239" s="4" t="s">
        <v>82</v>
      </c>
      <c r="B6239" s="4" t="s">
        <v>23</v>
      </c>
      <c r="C6239" s="4" t="s">
        <v>35</v>
      </c>
      <c r="D6239" s="4">
        <v>2014</v>
      </c>
      <c r="E6239" s="4">
        <v>0</v>
      </c>
      <c r="F6239" s="4" t="s">
        <v>29</v>
      </c>
    </row>
    <row r="6240" spans="1:6" x14ac:dyDescent="0.25">
      <c r="A6240" s="4" t="s">
        <v>82</v>
      </c>
      <c r="B6240" s="4" t="s">
        <v>23</v>
      </c>
      <c r="C6240" s="4" t="s">
        <v>35</v>
      </c>
      <c r="D6240" s="4">
        <v>2015</v>
      </c>
      <c r="E6240" s="4">
        <v>0</v>
      </c>
      <c r="F6240" s="4" t="s">
        <v>29</v>
      </c>
    </row>
    <row r="6241" spans="1:6" x14ac:dyDescent="0.25">
      <c r="A6241" s="4" t="s">
        <v>82</v>
      </c>
      <c r="B6241" s="4" t="s">
        <v>23</v>
      </c>
      <c r="C6241" s="4" t="s">
        <v>35</v>
      </c>
      <c r="D6241" s="4">
        <v>2016</v>
      </c>
      <c r="E6241" s="4">
        <v>0</v>
      </c>
      <c r="F6241" s="4" t="s">
        <v>29</v>
      </c>
    </row>
    <row r="6242" spans="1:6" x14ac:dyDescent="0.25">
      <c r="A6242" s="4" t="s">
        <v>82</v>
      </c>
      <c r="B6242" s="4" t="s">
        <v>23</v>
      </c>
      <c r="C6242" s="4" t="s">
        <v>35</v>
      </c>
      <c r="D6242" s="4">
        <v>2017</v>
      </c>
      <c r="E6242" s="4">
        <v>0</v>
      </c>
      <c r="F6242" s="4" t="s">
        <v>29</v>
      </c>
    </row>
    <row r="6243" spans="1:6" x14ac:dyDescent="0.25">
      <c r="A6243" s="4" t="s">
        <v>82</v>
      </c>
      <c r="B6243" s="4" t="s">
        <v>23</v>
      </c>
      <c r="C6243" s="4" t="s">
        <v>35</v>
      </c>
      <c r="D6243" s="4">
        <v>2018</v>
      </c>
      <c r="E6243" s="4">
        <v>0</v>
      </c>
      <c r="F6243" s="4" t="s">
        <v>29</v>
      </c>
    </row>
    <row r="6244" spans="1:6" x14ac:dyDescent="0.25">
      <c r="A6244" s="4" t="s">
        <v>82</v>
      </c>
      <c r="B6244" s="4" t="s">
        <v>23</v>
      </c>
      <c r="C6244" s="4" t="s">
        <v>35</v>
      </c>
      <c r="D6244" s="4">
        <v>2019</v>
      </c>
      <c r="E6244" s="4">
        <v>0</v>
      </c>
      <c r="F6244" s="4" t="s">
        <v>29</v>
      </c>
    </row>
    <row r="6245" spans="1:6" x14ac:dyDescent="0.25">
      <c r="A6245" s="4" t="s">
        <v>82</v>
      </c>
      <c r="B6245" s="4" t="s">
        <v>23</v>
      </c>
      <c r="C6245" s="4" t="s">
        <v>35</v>
      </c>
      <c r="D6245" s="4">
        <v>2020</v>
      </c>
      <c r="E6245" s="4">
        <v>0</v>
      </c>
      <c r="F6245" s="4" t="s">
        <v>29</v>
      </c>
    </row>
    <row r="6246" spans="1:6" x14ac:dyDescent="0.25">
      <c r="A6246" s="4" t="s">
        <v>82</v>
      </c>
      <c r="B6246" s="4" t="s">
        <v>23</v>
      </c>
      <c r="C6246" s="4" t="s">
        <v>35</v>
      </c>
      <c r="D6246" s="4">
        <v>2021</v>
      </c>
      <c r="E6246" s="4">
        <v>0</v>
      </c>
      <c r="F6246" s="4" t="s">
        <v>29</v>
      </c>
    </row>
    <row r="6247" spans="1:6" x14ac:dyDescent="0.25">
      <c r="A6247" s="4" t="s">
        <v>82</v>
      </c>
      <c r="B6247" s="4" t="s">
        <v>23</v>
      </c>
      <c r="C6247" s="4" t="s">
        <v>35</v>
      </c>
      <c r="D6247" s="4">
        <v>2022</v>
      </c>
      <c r="E6247" s="4">
        <v>0</v>
      </c>
      <c r="F6247" s="4" t="s">
        <v>29</v>
      </c>
    </row>
    <row r="6248" spans="1:6" x14ac:dyDescent="0.25">
      <c r="A6248" s="4" t="s">
        <v>82</v>
      </c>
      <c r="B6248" s="4" t="s">
        <v>23</v>
      </c>
      <c r="C6248" s="4" t="s">
        <v>35</v>
      </c>
      <c r="D6248" s="4">
        <v>2023</v>
      </c>
      <c r="E6248" s="4">
        <v>0</v>
      </c>
      <c r="F6248" s="4" t="s">
        <v>29</v>
      </c>
    </row>
    <row r="6249" spans="1:6" x14ac:dyDescent="0.25">
      <c r="A6249" s="4" t="s">
        <v>82</v>
      </c>
      <c r="B6249" s="4" t="s">
        <v>23</v>
      </c>
      <c r="C6249" s="4" t="s">
        <v>35</v>
      </c>
      <c r="D6249" s="4">
        <v>2024</v>
      </c>
      <c r="E6249" s="4">
        <v>0</v>
      </c>
      <c r="F6249" s="4" t="s">
        <v>29</v>
      </c>
    </row>
    <row r="6250" spans="1:6" x14ac:dyDescent="0.25">
      <c r="A6250" s="4" t="s">
        <v>82</v>
      </c>
      <c r="B6250" s="4" t="s">
        <v>23</v>
      </c>
      <c r="C6250" s="4" t="s">
        <v>35</v>
      </c>
      <c r="D6250" s="4">
        <v>2025</v>
      </c>
      <c r="E6250" s="4">
        <v>0</v>
      </c>
      <c r="F6250" s="4" t="s">
        <v>29</v>
      </c>
    </row>
    <row r="6251" spans="1:6" x14ac:dyDescent="0.25">
      <c r="A6251" s="4" t="s">
        <v>82</v>
      </c>
      <c r="B6251" s="4" t="s">
        <v>23</v>
      </c>
      <c r="C6251" s="4" t="s">
        <v>35</v>
      </c>
      <c r="D6251" s="4">
        <v>2026</v>
      </c>
      <c r="E6251" s="4">
        <v>0</v>
      </c>
      <c r="F6251" s="4" t="s">
        <v>29</v>
      </c>
    </row>
    <row r="6252" spans="1:6" x14ac:dyDescent="0.25">
      <c r="A6252" s="4" t="s">
        <v>82</v>
      </c>
      <c r="B6252" s="4" t="s">
        <v>23</v>
      </c>
      <c r="C6252" s="4" t="s">
        <v>35</v>
      </c>
      <c r="D6252" s="4">
        <v>2027</v>
      </c>
      <c r="E6252" s="4">
        <v>0</v>
      </c>
      <c r="F6252" s="4" t="s">
        <v>29</v>
      </c>
    </row>
    <row r="6253" spans="1:6" x14ac:dyDescent="0.25">
      <c r="A6253" s="4" t="s">
        <v>82</v>
      </c>
      <c r="B6253" s="4" t="s">
        <v>23</v>
      </c>
      <c r="C6253" s="4" t="s">
        <v>35</v>
      </c>
      <c r="D6253" s="4">
        <v>2028</v>
      </c>
      <c r="E6253" s="4">
        <v>0</v>
      </c>
      <c r="F6253" s="4" t="s">
        <v>29</v>
      </c>
    </row>
    <row r="6254" spans="1:6" x14ac:dyDescent="0.25">
      <c r="A6254" s="4" t="s">
        <v>82</v>
      </c>
      <c r="B6254" s="4" t="s">
        <v>23</v>
      </c>
      <c r="C6254" s="4" t="s">
        <v>35</v>
      </c>
      <c r="D6254" s="4">
        <v>2029</v>
      </c>
      <c r="E6254" s="4">
        <v>0</v>
      </c>
      <c r="F6254" s="4" t="s">
        <v>29</v>
      </c>
    </row>
    <row r="6255" spans="1:6" x14ac:dyDescent="0.25">
      <c r="A6255" s="4" t="s">
        <v>82</v>
      </c>
      <c r="B6255" s="4" t="s">
        <v>23</v>
      </c>
      <c r="C6255" s="4" t="s">
        <v>35</v>
      </c>
      <c r="D6255" s="4">
        <v>2030</v>
      </c>
      <c r="E6255" s="4">
        <v>0</v>
      </c>
      <c r="F6255" s="4" t="s">
        <v>29</v>
      </c>
    </row>
    <row r="6256" spans="1:6" x14ac:dyDescent="0.25">
      <c r="A6256" s="4" t="s">
        <v>82</v>
      </c>
      <c r="B6256" s="4" t="s">
        <v>23</v>
      </c>
      <c r="C6256" s="4" t="s">
        <v>35</v>
      </c>
      <c r="D6256" s="4">
        <v>2031</v>
      </c>
      <c r="E6256" s="4">
        <v>0</v>
      </c>
      <c r="F6256" s="4" t="s">
        <v>29</v>
      </c>
    </row>
    <row r="6257" spans="1:6" x14ac:dyDescent="0.25">
      <c r="A6257" s="4" t="s">
        <v>82</v>
      </c>
      <c r="B6257" s="4" t="s">
        <v>23</v>
      </c>
      <c r="C6257" s="4" t="s">
        <v>35</v>
      </c>
      <c r="D6257" s="4">
        <v>2032</v>
      </c>
      <c r="E6257" s="4">
        <v>0</v>
      </c>
      <c r="F6257" s="4" t="s">
        <v>29</v>
      </c>
    </row>
    <row r="6258" spans="1:6" x14ac:dyDescent="0.25">
      <c r="A6258" s="4" t="s">
        <v>82</v>
      </c>
      <c r="B6258" s="4" t="s">
        <v>23</v>
      </c>
      <c r="C6258" s="4" t="s">
        <v>35</v>
      </c>
      <c r="D6258" s="4">
        <v>2033</v>
      </c>
      <c r="E6258" s="4">
        <v>0</v>
      </c>
      <c r="F6258" s="4" t="s">
        <v>29</v>
      </c>
    </row>
    <row r="6259" spans="1:6" x14ac:dyDescent="0.25">
      <c r="A6259" s="4" t="s">
        <v>82</v>
      </c>
      <c r="B6259" s="4" t="s">
        <v>23</v>
      </c>
      <c r="C6259" s="4" t="s">
        <v>35</v>
      </c>
      <c r="D6259" s="4">
        <v>2034</v>
      </c>
      <c r="E6259" s="4">
        <v>0</v>
      </c>
      <c r="F6259" s="4" t="s">
        <v>29</v>
      </c>
    </row>
    <row r="6260" spans="1:6" x14ac:dyDescent="0.25">
      <c r="A6260" s="4" t="s">
        <v>82</v>
      </c>
      <c r="B6260" s="4" t="s">
        <v>23</v>
      </c>
      <c r="C6260" s="4" t="s">
        <v>35</v>
      </c>
      <c r="D6260" s="4">
        <v>2035</v>
      </c>
      <c r="E6260" s="4">
        <v>0</v>
      </c>
      <c r="F6260" s="4" t="s">
        <v>29</v>
      </c>
    </row>
    <row r="6261" spans="1:6" x14ac:dyDescent="0.25">
      <c r="A6261" s="4" t="s">
        <v>82</v>
      </c>
      <c r="B6261" s="4" t="s">
        <v>23</v>
      </c>
      <c r="C6261" s="4" t="s">
        <v>35</v>
      </c>
      <c r="D6261" s="4">
        <v>2036</v>
      </c>
      <c r="E6261" s="4">
        <v>0</v>
      </c>
      <c r="F6261" s="4" t="s">
        <v>29</v>
      </c>
    </row>
    <row r="6262" spans="1:6" x14ac:dyDescent="0.25">
      <c r="A6262" s="4" t="s">
        <v>82</v>
      </c>
      <c r="B6262" s="4" t="s">
        <v>23</v>
      </c>
      <c r="C6262" s="4" t="s">
        <v>35</v>
      </c>
      <c r="D6262" s="4">
        <v>2037</v>
      </c>
      <c r="E6262" s="4">
        <v>0</v>
      </c>
      <c r="F6262" s="4" t="s">
        <v>29</v>
      </c>
    </row>
    <row r="6263" spans="1:6" x14ac:dyDescent="0.25">
      <c r="A6263" s="4" t="s">
        <v>82</v>
      </c>
      <c r="B6263" s="4" t="s">
        <v>23</v>
      </c>
      <c r="C6263" s="4" t="s">
        <v>35</v>
      </c>
      <c r="D6263" s="4">
        <v>2038</v>
      </c>
      <c r="E6263" s="4">
        <v>0</v>
      </c>
      <c r="F6263" s="4" t="s">
        <v>29</v>
      </c>
    </row>
    <row r="6264" spans="1:6" x14ac:dyDescent="0.25">
      <c r="A6264" s="4" t="s">
        <v>82</v>
      </c>
      <c r="B6264" s="4" t="s">
        <v>23</v>
      </c>
      <c r="C6264" s="4" t="s">
        <v>35</v>
      </c>
      <c r="D6264" s="4">
        <v>2039</v>
      </c>
      <c r="E6264" s="4">
        <v>0</v>
      </c>
      <c r="F6264" s="4" t="s">
        <v>29</v>
      </c>
    </row>
    <row r="6265" spans="1:6" x14ac:dyDescent="0.25">
      <c r="A6265" s="4" t="s">
        <v>82</v>
      </c>
      <c r="B6265" s="4" t="s">
        <v>23</v>
      </c>
      <c r="C6265" s="4" t="s">
        <v>35</v>
      </c>
      <c r="D6265" s="4">
        <v>2040</v>
      </c>
      <c r="E6265" s="4">
        <v>0</v>
      </c>
      <c r="F6265" s="4" t="s">
        <v>29</v>
      </c>
    </row>
    <row r="6266" spans="1:6" x14ac:dyDescent="0.25">
      <c r="A6266" s="4" t="s">
        <v>83</v>
      </c>
      <c r="B6266" s="4" t="s">
        <v>1</v>
      </c>
      <c r="C6266" s="4" t="s">
        <v>35</v>
      </c>
      <c r="D6266" s="4">
        <v>2005</v>
      </c>
      <c r="E6266" s="4">
        <v>0</v>
      </c>
      <c r="F6266" s="4" t="s">
        <v>29</v>
      </c>
    </row>
    <row r="6267" spans="1:6" x14ac:dyDescent="0.25">
      <c r="A6267" s="4" t="s">
        <v>83</v>
      </c>
      <c r="B6267" s="4" t="s">
        <v>1</v>
      </c>
      <c r="C6267" s="4" t="s">
        <v>35</v>
      </c>
      <c r="D6267" s="4">
        <v>2006</v>
      </c>
      <c r="E6267" s="4">
        <v>0</v>
      </c>
      <c r="F6267" s="4" t="s">
        <v>29</v>
      </c>
    </row>
    <row r="6268" spans="1:6" x14ac:dyDescent="0.25">
      <c r="A6268" s="4" t="s">
        <v>83</v>
      </c>
      <c r="B6268" s="4" t="s">
        <v>1</v>
      </c>
      <c r="C6268" s="4" t="s">
        <v>35</v>
      </c>
      <c r="D6268" s="4">
        <v>2007</v>
      </c>
      <c r="E6268" s="4">
        <v>0</v>
      </c>
      <c r="F6268" s="4" t="s">
        <v>29</v>
      </c>
    </row>
    <row r="6269" spans="1:6" x14ac:dyDescent="0.25">
      <c r="A6269" s="4" t="s">
        <v>83</v>
      </c>
      <c r="B6269" s="4" t="s">
        <v>1</v>
      </c>
      <c r="C6269" s="4" t="s">
        <v>35</v>
      </c>
      <c r="D6269" s="4">
        <v>2008</v>
      </c>
      <c r="E6269" s="4">
        <v>0</v>
      </c>
      <c r="F6269" s="4" t="s">
        <v>29</v>
      </c>
    </row>
    <row r="6270" spans="1:6" x14ac:dyDescent="0.25">
      <c r="A6270" s="4" t="s">
        <v>83</v>
      </c>
      <c r="B6270" s="4" t="s">
        <v>1</v>
      </c>
      <c r="C6270" s="4" t="s">
        <v>35</v>
      </c>
      <c r="D6270" s="4">
        <v>2009</v>
      </c>
      <c r="E6270" s="4">
        <v>0</v>
      </c>
      <c r="F6270" s="4" t="s">
        <v>29</v>
      </c>
    </row>
    <row r="6271" spans="1:6" x14ac:dyDescent="0.25">
      <c r="A6271" s="4" t="s">
        <v>83</v>
      </c>
      <c r="B6271" s="4" t="s">
        <v>1</v>
      </c>
      <c r="C6271" s="4" t="s">
        <v>35</v>
      </c>
      <c r="D6271" s="4">
        <v>2010</v>
      </c>
      <c r="E6271" s="4">
        <v>0</v>
      </c>
      <c r="F6271" s="4" t="s">
        <v>29</v>
      </c>
    </row>
    <row r="6272" spans="1:6" x14ac:dyDescent="0.25">
      <c r="A6272" s="4" t="s">
        <v>83</v>
      </c>
      <c r="B6272" s="4" t="s">
        <v>1</v>
      </c>
      <c r="C6272" s="4" t="s">
        <v>35</v>
      </c>
      <c r="D6272" s="4">
        <v>2011</v>
      </c>
      <c r="E6272" s="4">
        <v>0</v>
      </c>
      <c r="F6272" s="4" t="s">
        <v>29</v>
      </c>
    </row>
    <row r="6273" spans="1:6" x14ac:dyDescent="0.25">
      <c r="A6273" s="4" t="s">
        <v>83</v>
      </c>
      <c r="B6273" s="4" t="s">
        <v>1</v>
      </c>
      <c r="C6273" s="4" t="s">
        <v>35</v>
      </c>
      <c r="D6273" s="4">
        <v>2012</v>
      </c>
      <c r="E6273" s="4">
        <v>0</v>
      </c>
      <c r="F6273" s="4" t="s">
        <v>29</v>
      </c>
    </row>
    <row r="6274" spans="1:6" x14ac:dyDescent="0.25">
      <c r="A6274" s="4" t="s">
        <v>83</v>
      </c>
      <c r="B6274" s="4" t="s">
        <v>1</v>
      </c>
      <c r="C6274" s="4" t="s">
        <v>35</v>
      </c>
      <c r="D6274" s="4">
        <v>2013</v>
      </c>
      <c r="E6274" s="4">
        <v>0</v>
      </c>
      <c r="F6274" s="4" t="s">
        <v>29</v>
      </c>
    </row>
    <row r="6275" spans="1:6" x14ac:dyDescent="0.25">
      <c r="A6275" s="4" t="s">
        <v>83</v>
      </c>
      <c r="B6275" s="4" t="s">
        <v>1</v>
      </c>
      <c r="C6275" s="4" t="s">
        <v>35</v>
      </c>
      <c r="D6275" s="4">
        <v>2014</v>
      </c>
      <c r="E6275" s="4">
        <v>0</v>
      </c>
      <c r="F6275" s="4" t="s">
        <v>29</v>
      </c>
    </row>
    <row r="6276" spans="1:6" x14ac:dyDescent="0.25">
      <c r="A6276" s="4" t="s">
        <v>83</v>
      </c>
      <c r="B6276" s="4" t="s">
        <v>1</v>
      </c>
      <c r="C6276" s="4" t="s">
        <v>35</v>
      </c>
      <c r="D6276" s="4">
        <v>2015</v>
      </c>
      <c r="E6276" s="4">
        <v>0</v>
      </c>
      <c r="F6276" s="4" t="s">
        <v>29</v>
      </c>
    </row>
    <row r="6277" spans="1:6" x14ac:dyDescent="0.25">
      <c r="A6277" s="4" t="s">
        <v>83</v>
      </c>
      <c r="B6277" s="4" t="s">
        <v>1</v>
      </c>
      <c r="C6277" s="4" t="s">
        <v>35</v>
      </c>
      <c r="D6277" s="4">
        <v>2016</v>
      </c>
      <c r="E6277" s="4">
        <v>0</v>
      </c>
      <c r="F6277" s="4" t="s">
        <v>29</v>
      </c>
    </row>
    <row r="6278" spans="1:6" x14ac:dyDescent="0.25">
      <c r="A6278" s="4" t="s">
        <v>83</v>
      </c>
      <c r="B6278" s="4" t="s">
        <v>1</v>
      </c>
      <c r="C6278" s="4" t="s">
        <v>35</v>
      </c>
      <c r="D6278" s="4">
        <v>2017</v>
      </c>
      <c r="E6278" s="4">
        <v>0</v>
      </c>
      <c r="F6278" s="4" t="s">
        <v>29</v>
      </c>
    </row>
    <row r="6279" spans="1:6" x14ac:dyDescent="0.25">
      <c r="A6279" s="4" t="s">
        <v>83</v>
      </c>
      <c r="B6279" s="4" t="s">
        <v>1</v>
      </c>
      <c r="C6279" s="4" t="s">
        <v>35</v>
      </c>
      <c r="D6279" s="4">
        <v>2018</v>
      </c>
      <c r="E6279" s="4">
        <v>0</v>
      </c>
      <c r="F6279" s="4" t="s">
        <v>29</v>
      </c>
    </row>
    <row r="6280" spans="1:6" x14ac:dyDescent="0.25">
      <c r="A6280" s="4" t="s">
        <v>83</v>
      </c>
      <c r="B6280" s="4" t="s">
        <v>1</v>
      </c>
      <c r="C6280" s="4" t="s">
        <v>35</v>
      </c>
      <c r="D6280" s="4">
        <v>2019</v>
      </c>
      <c r="E6280" s="4">
        <v>0</v>
      </c>
      <c r="F6280" s="4" t="s">
        <v>29</v>
      </c>
    </row>
    <row r="6281" spans="1:6" x14ac:dyDescent="0.25">
      <c r="A6281" s="4" t="s">
        <v>83</v>
      </c>
      <c r="B6281" s="4" t="s">
        <v>1</v>
      </c>
      <c r="C6281" s="4" t="s">
        <v>35</v>
      </c>
      <c r="D6281" s="4">
        <v>2020</v>
      </c>
      <c r="E6281" s="4">
        <v>0</v>
      </c>
      <c r="F6281" s="4" t="s">
        <v>29</v>
      </c>
    </row>
    <row r="6282" spans="1:6" x14ac:dyDescent="0.25">
      <c r="A6282" s="4" t="s">
        <v>83</v>
      </c>
      <c r="B6282" s="4" t="s">
        <v>1</v>
      </c>
      <c r="C6282" s="4" t="s">
        <v>35</v>
      </c>
      <c r="D6282" s="4">
        <v>2021</v>
      </c>
      <c r="E6282" s="4">
        <v>0</v>
      </c>
      <c r="F6282" s="4" t="s">
        <v>29</v>
      </c>
    </row>
    <row r="6283" spans="1:6" x14ac:dyDescent="0.25">
      <c r="A6283" s="4" t="s">
        <v>83</v>
      </c>
      <c r="B6283" s="4" t="s">
        <v>1</v>
      </c>
      <c r="C6283" s="4" t="s">
        <v>35</v>
      </c>
      <c r="D6283" s="4">
        <v>2022</v>
      </c>
      <c r="E6283" s="4">
        <v>0</v>
      </c>
      <c r="F6283" s="4" t="s">
        <v>29</v>
      </c>
    </row>
    <row r="6284" spans="1:6" x14ac:dyDescent="0.25">
      <c r="A6284" s="4" t="s">
        <v>83</v>
      </c>
      <c r="B6284" s="4" t="s">
        <v>1</v>
      </c>
      <c r="C6284" s="4" t="s">
        <v>35</v>
      </c>
      <c r="D6284" s="4">
        <v>2023</v>
      </c>
      <c r="E6284" s="4">
        <v>0</v>
      </c>
      <c r="F6284" s="4" t="s">
        <v>29</v>
      </c>
    </row>
    <row r="6285" spans="1:6" x14ac:dyDescent="0.25">
      <c r="A6285" s="4" t="s">
        <v>83</v>
      </c>
      <c r="B6285" s="4" t="s">
        <v>1</v>
      </c>
      <c r="C6285" s="4" t="s">
        <v>35</v>
      </c>
      <c r="D6285" s="4">
        <v>2024</v>
      </c>
      <c r="E6285" s="4">
        <v>0</v>
      </c>
      <c r="F6285" s="4" t="s">
        <v>29</v>
      </c>
    </row>
    <row r="6286" spans="1:6" x14ac:dyDescent="0.25">
      <c r="A6286" s="4" t="s">
        <v>83</v>
      </c>
      <c r="B6286" s="4" t="s">
        <v>1</v>
      </c>
      <c r="C6286" s="4" t="s">
        <v>35</v>
      </c>
      <c r="D6286" s="4">
        <v>2025</v>
      </c>
      <c r="E6286" s="4">
        <v>0</v>
      </c>
      <c r="F6286" s="4" t="s">
        <v>29</v>
      </c>
    </row>
    <row r="6287" spans="1:6" x14ac:dyDescent="0.25">
      <c r="A6287" s="4" t="s">
        <v>83</v>
      </c>
      <c r="B6287" s="4" t="s">
        <v>1</v>
      </c>
      <c r="C6287" s="4" t="s">
        <v>35</v>
      </c>
      <c r="D6287" s="4">
        <v>2026</v>
      </c>
      <c r="E6287" s="4">
        <v>0</v>
      </c>
      <c r="F6287" s="4" t="s">
        <v>29</v>
      </c>
    </row>
    <row r="6288" spans="1:6" x14ac:dyDescent="0.25">
      <c r="A6288" s="4" t="s">
        <v>83</v>
      </c>
      <c r="B6288" s="4" t="s">
        <v>1</v>
      </c>
      <c r="C6288" s="4" t="s">
        <v>35</v>
      </c>
      <c r="D6288" s="4">
        <v>2027</v>
      </c>
      <c r="E6288" s="4">
        <v>0</v>
      </c>
      <c r="F6288" s="4" t="s">
        <v>29</v>
      </c>
    </row>
    <row r="6289" spans="1:6" x14ac:dyDescent="0.25">
      <c r="A6289" s="4" t="s">
        <v>83</v>
      </c>
      <c r="B6289" s="4" t="s">
        <v>1</v>
      </c>
      <c r="C6289" s="4" t="s">
        <v>35</v>
      </c>
      <c r="D6289" s="4">
        <v>2028</v>
      </c>
      <c r="E6289" s="4">
        <v>0</v>
      </c>
      <c r="F6289" s="4" t="s">
        <v>29</v>
      </c>
    </row>
    <row r="6290" spans="1:6" x14ac:dyDescent="0.25">
      <c r="A6290" s="4" t="s">
        <v>83</v>
      </c>
      <c r="B6290" s="4" t="s">
        <v>1</v>
      </c>
      <c r="C6290" s="4" t="s">
        <v>35</v>
      </c>
      <c r="D6290" s="4">
        <v>2029</v>
      </c>
      <c r="E6290" s="4">
        <v>0</v>
      </c>
      <c r="F6290" s="4" t="s">
        <v>29</v>
      </c>
    </row>
    <row r="6291" spans="1:6" x14ac:dyDescent="0.25">
      <c r="A6291" s="4" t="s">
        <v>83</v>
      </c>
      <c r="B6291" s="4" t="s">
        <v>1</v>
      </c>
      <c r="C6291" s="4" t="s">
        <v>35</v>
      </c>
      <c r="D6291" s="4">
        <v>2030</v>
      </c>
      <c r="E6291" s="4">
        <v>0</v>
      </c>
      <c r="F6291" s="4" t="s">
        <v>29</v>
      </c>
    </row>
    <row r="6292" spans="1:6" x14ac:dyDescent="0.25">
      <c r="A6292" s="4" t="s">
        <v>83</v>
      </c>
      <c r="B6292" s="4" t="s">
        <v>1</v>
      </c>
      <c r="C6292" s="4" t="s">
        <v>35</v>
      </c>
      <c r="D6292" s="4">
        <v>2031</v>
      </c>
      <c r="E6292" s="4">
        <v>0</v>
      </c>
      <c r="F6292" s="4" t="s">
        <v>29</v>
      </c>
    </row>
    <row r="6293" spans="1:6" x14ac:dyDescent="0.25">
      <c r="A6293" s="4" t="s">
        <v>83</v>
      </c>
      <c r="B6293" s="4" t="s">
        <v>1</v>
      </c>
      <c r="C6293" s="4" t="s">
        <v>35</v>
      </c>
      <c r="D6293" s="4">
        <v>2032</v>
      </c>
      <c r="E6293" s="4">
        <v>0</v>
      </c>
      <c r="F6293" s="4" t="s">
        <v>29</v>
      </c>
    </row>
    <row r="6294" spans="1:6" x14ac:dyDescent="0.25">
      <c r="A6294" s="4" t="s">
        <v>83</v>
      </c>
      <c r="B6294" s="4" t="s">
        <v>1</v>
      </c>
      <c r="C6294" s="4" t="s">
        <v>35</v>
      </c>
      <c r="D6294" s="4">
        <v>2033</v>
      </c>
      <c r="E6294" s="4">
        <v>0</v>
      </c>
      <c r="F6294" s="4" t="s">
        <v>29</v>
      </c>
    </row>
    <row r="6295" spans="1:6" x14ac:dyDescent="0.25">
      <c r="A6295" s="4" t="s">
        <v>83</v>
      </c>
      <c r="B6295" s="4" t="s">
        <v>1</v>
      </c>
      <c r="C6295" s="4" t="s">
        <v>35</v>
      </c>
      <c r="D6295" s="4">
        <v>2034</v>
      </c>
      <c r="E6295" s="4">
        <v>0</v>
      </c>
      <c r="F6295" s="4" t="s">
        <v>29</v>
      </c>
    </row>
    <row r="6296" spans="1:6" x14ac:dyDescent="0.25">
      <c r="A6296" s="4" t="s">
        <v>83</v>
      </c>
      <c r="B6296" s="4" t="s">
        <v>1</v>
      </c>
      <c r="C6296" s="4" t="s">
        <v>35</v>
      </c>
      <c r="D6296" s="4">
        <v>2035</v>
      </c>
      <c r="E6296" s="4">
        <v>0</v>
      </c>
      <c r="F6296" s="4" t="s">
        <v>29</v>
      </c>
    </row>
    <row r="6297" spans="1:6" x14ac:dyDescent="0.25">
      <c r="A6297" s="4" t="s">
        <v>83</v>
      </c>
      <c r="B6297" s="4" t="s">
        <v>1</v>
      </c>
      <c r="C6297" s="4" t="s">
        <v>35</v>
      </c>
      <c r="D6297" s="4">
        <v>2036</v>
      </c>
      <c r="E6297" s="4">
        <v>0</v>
      </c>
      <c r="F6297" s="4" t="s">
        <v>29</v>
      </c>
    </row>
    <row r="6298" spans="1:6" x14ac:dyDescent="0.25">
      <c r="A6298" s="4" t="s">
        <v>83</v>
      </c>
      <c r="B6298" s="4" t="s">
        <v>1</v>
      </c>
      <c r="C6298" s="4" t="s">
        <v>35</v>
      </c>
      <c r="D6298" s="4">
        <v>2037</v>
      </c>
      <c r="E6298" s="4">
        <v>0</v>
      </c>
      <c r="F6298" s="4" t="s">
        <v>29</v>
      </c>
    </row>
    <row r="6299" spans="1:6" x14ac:dyDescent="0.25">
      <c r="A6299" s="4" t="s">
        <v>83</v>
      </c>
      <c r="B6299" s="4" t="s">
        <v>1</v>
      </c>
      <c r="C6299" s="4" t="s">
        <v>35</v>
      </c>
      <c r="D6299" s="4">
        <v>2038</v>
      </c>
      <c r="E6299" s="4">
        <v>0</v>
      </c>
      <c r="F6299" s="4" t="s">
        <v>29</v>
      </c>
    </row>
    <row r="6300" spans="1:6" x14ac:dyDescent="0.25">
      <c r="A6300" s="4" t="s">
        <v>83</v>
      </c>
      <c r="B6300" s="4" t="s">
        <v>1</v>
      </c>
      <c r="C6300" s="4" t="s">
        <v>35</v>
      </c>
      <c r="D6300" s="4">
        <v>2039</v>
      </c>
      <c r="E6300" s="4">
        <v>0</v>
      </c>
      <c r="F6300" s="4" t="s">
        <v>29</v>
      </c>
    </row>
    <row r="6301" spans="1:6" x14ac:dyDescent="0.25">
      <c r="A6301" s="4" t="s">
        <v>83</v>
      </c>
      <c r="B6301" s="4" t="s">
        <v>1</v>
      </c>
      <c r="C6301" s="4" t="s">
        <v>35</v>
      </c>
      <c r="D6301" s="4">
        <v>2040</v>
      </c>
      <c r="E6301" s="4">
        <v>0</v>
      </c>
      <c r="F6301" s="4" t="s">
        <v>29</v>
      </c>
    </row>
    <row r="6302" spans="1:6" x14ac:dyDescent="0.25">
      <c r="A6302" s="4" t="s">
        <v>83</v>
      </c>
      <c r="B6302" s="4" t="s">
        <v>2</v>
      </c>
      <c r="C6302" s="4" t="s">
        <v>35</v>
      </c>
      <c r="D6302" s="4">
        <v>2005</v>
      </c>
      <c r="E6302" s="4">
        <v>0</v>
      </c>
      <c r="F6302" s="4" t="s">
        <v>29</v>
      </c>
    </row>
    <row r="6303" spans="1:6" x14ac:dyDescent="0.25">
      <c r="A6303" s="4" t="s">
        <v>83</v>
      </c>
      <c r="B6303" s="4" t="s">
        <v>2</v>
      </c>
      <c r="C6303" s="4" t="s">
        <v>35</v>
      </c>
      <c r="D6303" s="4">
        <v>2006</v>
      </c>
      <c r="E6303" s="4">
        <v>0</v>
      </c>
      <c r="F6303" s="4" t="s">
        <v>29</v>
      </c>
    </row>
    <row r="6304" spans="1:6" x14ac:dyDescent="0.25">
      <c r="A6304" s="4" t="s">
        <v>83</v>
      </c>
      <c r="B6304" s="4" t="s">
        <v>2</v>
      </c>
      <c r="C6304" s="4" t="s">
        <v>35</v>
      </c>
      <c r="D6304" s="4">
        <v>2007</v>
      </c>
      <c r="E6304" s="4">
        <v>0</v>
      </c>
      <c r="F6304" s="4" t="s">
        <v>29</v>
      </c>
    </row>
    <row r="6305" spans="1:6" x14ac:dyDescent="0.25">
      <c r="A6305" s="4" t="s">
        <v>83</v>
      </c>
      <c r="B6305" s="4" t="s">
        <v>2</v>
      </c>
      <c r="C6305" s="4" t="s">
        <v>35</v>
      </c>
      <c r="D6305" s="4">
        <v>2008</v>
      </c>
      <c r="E6305" s="4">
        <v>0</v>
      </c>
      <c r="F6305" s="4" t="s">
        <v>29</v>
      </c>
    </row>
    <row r="6306" spans="1:6" x14ac:dyDescent="0.25">
      <c r="A6306" s="4" t="s">
        <v>83</v>
      </c>
      <c r="B6306" s="4" t="s">
        <v>2</v>
      </c>
      <c r="C6306" s="4" t="s">
        <v>35</v>
      </c>
      <c r="D6306" s="4">
        <v>2009</v>
      </c>
      <c r="E6306" s="4">
        <v>0</v>
      </c>
      <c r="F6306" s="4" t="s">
        <v>29</v>
      </c>
    </row>
    <row r="6307" spans="1:6" x14ac:dyDescent="0.25">
      <c r="A6307" s="4" t="s">
        <v>83</v>
      </c>
      <c r="B6307" s="4" t="s">
        <v>2</v>
      </c>
      <c r="C6307" s="4" t="s">
        <v>35</v>
      </c>
      <c r="D6307" s="4">
        <v>2010</v>
      </c>
      <c r="E6307" s="4">
        <v>0</v>
      </c>
      <c r="F6307" s="4" t="s">
        <v>29</v>
      </c>
    </row>
    <row r="6308" spans="1:6" x14ac:dyDescent="0.25">
      <c r="A6308" s="4" t="s">
        <v>83</v>
      </c>
      <c r="B6308" s="4" t="s">
        <v>2</v>
      </c>
      <c r="C6308" s="4" t="s">
        <v>35</v>
      </c>
      <c r="D6308" s="4">
        <v>2011</v>
      </c>
      <c r="E6308" s="4">
        <v>0</v>
      </c>
      <c r="F6308" s="4" t="s">
        <v>29</v>
      </c>
    </row>
    <row r="6309" spans="1:6" x14ac:dyDescent="0.25">
      <c r="A6309" s="4" t="s">
        <v>83</v>
      </c>
      <c r="B6309" s="4" t="s">
        <v>2</v>
      </c>
      <c r="C6309" s="4" t="s">
        <v>35</v>
      </c>
      <c r="D6309" s="4">
        <v>2012</v>
      </c>
      <c r="E6309" s="4">
        <v>0</v>
      </c>
      <c r="F6309" s="4" t="s">
        <v>29</v>
      </c>
    </row>
    <row r="6310" spans="1:6" x14ac:dyDescent="0.25">
      <c r="A6310" s="4" t="s">
        <v>83</v>
      </c>
      <c r="B6310" s="4" t="s">
        <v>2</v>
      </c>
      <c r="C6310" s="4" t="s">
        <v>35</v>
      </c>
      <c r="D6310" s="4">
        <v>2013</v>
      </c>
      <c r="E6310" s="4">
        <v>0</v>
      </c>
      <c r="F6310" s="4" t="s">
        <v>29</v>
      </c>
    </row>
    <row r="6311" spans="1:6" x14ac:dyDescent="0.25">
      <c r="A6311" s="4" t="s">
        <v>83</v>
      </c>
      <c r="B6311" s="4" t="s">
        <v>2</v>
      </c>
      <c r="C6311" s="4" t="s">
        <v>35</v>
      </c>
      <c r="D6311" s="4">
        <v>2014</v>
      </c>
      <c r="E6311" s="4">
        <v>0</v>
      </c>
      <c r="F6311" s="4" t="s">
        <v>29</v>
      </c>
    </row>
    <row r="6312" spans="1:6" x14ac:dyDescent="0.25">
      <c r="A6312" s="4" t="s">
        <v>83</v>
      </c>
      <c r="B6312" s="4" t="s">
        <v>2</v>
      </c>
      <c r="C6312" s="4" t="s">
        <v>35</v>
      </c>
      <c r="D6312" s="4">
        <v>2015</v>
      </c>
      <c r="E6312" s="4">
        <v>0</v>
      </c>
      <c r="F6312" s="4" t="s">
        <v>29</v>
      </c>
    </row>
    <row r="6313" spans="1:6" x14ac:dyDescent="0.25">
      <c r="A6313" s="4" t="s">
        <v>83</v>
      </c>
      <c r="B6313" s="4" t="s">
        <v>2</v>
      </c>
      <c r="C6313" s="4" t="s">
        <v>35</v>
      </c>
      <c r="D6313" s="4">
        <v>2016</v>
      </c>
      <c r="E6313" s="4">
        <v>0</v>
      </c>
      <c r="F6313" s="4" t="s">
        <v>29</v>
      </c>
    </row>
    <row r="6314" spans="1:6" x14ac:dyDescent="0.25">
      <c r="A6314" s="4" t="s">
        <v>83</v>
      </c>
      <c r="B6314" s="4" t="s">
        <v>2</v>
      </c>
      <c r="C6314" s="4" t="s">
        <v>35</v>
      </c>
      <c r="D6314" s="4">
        <v>2017</v>
      </c>
      <c r="E6314" s="4">
        <v>0</v>
      </c>
      <c r="F6314" s="4" t="s">
        <v>29</v>
      </c>
    </row>
    <row r="6315" spans="1:6" x14ac:dyDescent="0.25">
      <c r="A6315" s="4" t="s">
        <v>83</v>
      </c>
      <c r="B6315" s="4" t="s">
        <v>2</v>
      </c>
      <c r="C6315" s="4" t="s">
        <v>35</v>
      </c>
      <c r="D6315" s="4">
        <v>2018</v>
      </c>
      <c r="E6315" s="4">
        <v>0</v>
      </c>
      <c r="F6315" s="4" t="s">
        <v>29</v>
      </c>
    </row>
    <row r="6316" spans="1:6" x14ac:dyDescent="0.25">
      <c r="A6316" s="4" t="s">
        <v>83</v>
      </c>
      <c r="B6316" s="4" t="s">
        <v>2</v>
      </c>
      <c r="C6316" s="4" t="s">
        <v>35</v>
      </c>
      <c r="D6316" s="4">
        <v>2019</v>
      </c>
      <c r="E6316" s="4">
        <v>0</v>
      </c>
      <c r="F6316" s="4" t="s">
        <v>29</v>
      </c>
    </row>
    <row r="6317" spans="1:6" x14ac:dyDescent="0.25">
      <c r="A6317" s="4" t="s">
        <v>83</v>
      </c>
      <c r="B6317" s="4" t="s">
        <v>2</v>
      </c>
      <c r="C6317" s="4" t="s">
        <v>35</v>
      </c>
      <c r="D6317" s="4">
        <v>2020</v>
      </c>
      <c r="E6317" s="4">
        <v>0</v>
      </c>
      <c r="F6317" s="4" t="s">
        <v>29</v>
      </c>
    </row>
    <row r="6318" spans="1:6" x14ac:dyDescent="0.25">
      <c r="A6318" s="4" t="s">
        <v>83</v>
      </c>
      <c r="B6318" s="4" t="s">
        <v>2</v>
      </c>
      <c r="C6318" s="4" t="s">
        <v>35</v>
      </c>
      <c r="D6318" s="4">
        <v>2021</v>
      </c>
      <c r="E6318" s="4">
        <v>0</v>
      </c>
      <c r="F6318" s="4" t="s">
        <v>29</v>
      </c>
    </row>
    <row r="6319" spans="1:6" x14ac:dyDescent="0.25">
      <c r="A6319" s="4" t="s">
        <v>83</v>
      </c>
      <c r="B6319" s="4" t="s">
        <v>2</v>
      </c>
      <c r="C6319" s="4" t="s">
        <v>35</v>
      </c>
      <c r="D6319" s="4">
        <v>2022</v>
      </c>
      <c r="E6319" s="4">
        <v>0</v>
      </c>
      <c r="F6319" s="4" t="s">
        <v>29</v>
      </c>
    </row>
    <row r="6320" spans="1:6" x14ac:dyDescent="0.25">
      <c r="A6320" s="4" t="s">
        <v>83</v>
      </c>
      <c r="B6320" s="4" t="s">
        <v>2</v>
      </c>
      <c r="C6320" s="4" t="s">
        <v>35</v>
      </c>
      <c r="D6320" s="4">
        <v>2023</v>
      </c>
      <c r="E6320" s="4">
        <v>0</v>
      </c>
      <c r="F6320" s="4" t="s">
        <v>29</v>
      </c>
    </row>
    <row r="6321" spans="1:6" x14ac:dyDescent="0.25">
      <c r="A6321" s="4" t="s">
        <v>83</v>
      </c>
      <c r="B6321" s="4" t="s">
        <v>2</v>
      </c>
      <c r="C6321" s="4" t="s">
        <v>35</v>
      </c>
      <c r="D6321" s="4">
        <v>2024</v>
      </c>
      <c r="E6321" s="4">
        <v>0</v>
      </c>
      <c r="F6321" s="4" t="s">
        <v>29</v>
      </c>
    </row>
    <row r="6322" spans="1:6" x14ac:dyDescent="0.25">
      <c r="A6322" s="4" t="s">
        <v>83</v>
      </c>
      <c r="B6322" s="4" t="s">
        <v>2</v>
      </c>
      <c r="C6322" s="4" t="s">
        <v>35</v>
      </c>
      <c r="D6322" s="4">
        <v>2025</v>
      </c>
      <c r="E6322" s="4">
        <v>0</v>
      </c>
      <c r="F6322" s="4" t="s">
        <v>29</v>
      </c>
    </row>
    <row r="6323" spans="1:6" x14ac:dyDescent="0.25">
      <c r="A6323" s="4" t="s">
        <v>83</v>
      </c>
      <c r="B6323" s="4" t="s">
        <v>2</v>
      </c>
      <c r="C6323" s="4" t="s">
        <v>35</v>
      </c>
      <c r="D6323" s="4">
        <v>2026</v>
      </c>
      <c r="E6323" s="4">
        <v>0</v>
      </c>
      <c r="F6323" s="4" t="s">
        <v>29</v>
      </c>
    </row>
    <row r="6324" spans="1:6" x14ac:dyDescent="0.25">
      <c r="A6324" s="4" t="s">
        <v>83</v>
      </c>
      <c r="B6324" s="4" t="s">
        <v>2</v>
      </c>
      <c r="C6324" s="4" t="s">
        <v>35</v>
      </c>
      <c r="D6324" s="4">
        <v>2027</v>
      </c>
      <c r="E6324" s="4">
        <v>0</v>
      </c>
      <c r="F6324" s="4" t="s">
        <v>29</v>
      </c>
    </row>
    <row r="6325" spans="1:6" x14ac:dyDescent="0.25">
      <c r="A6325" s="4" t="s">
        <v>83</v>
      </c>
      <c r="B6325" s="4" t="s">
        <v>2</v>
      </c>
      <c r="C6325" s="4" t="s">
        <v>35</v>
      </c>
      <c r="D6325" s="4">
        <v>2028</v>
      </c>
      <c r="E6325" s="4">
        <v>0</v>
      </c>
      <c r="F6325" s="4" t="s">
        <v>29</v>
      </c>
    </row>
    <row r="6326" spans="1:6" x14ac:dyDescent="0.25">
      <c r="A6326" s="4" t="s">
        <v>83</v>
      </c>
      <c r="B6326" s="4" t="s">
        <v>2</v>
      </c>
      <c r="C6326" s="4" t="s">
        <v>35</v>
      </c>
      <c r="D6326" s="4">
        <v>2029</v>
      </c>
      <c r="E6326" s="4">
        <v>0</v>
      </c>
      <c r="F6326" s="4" t="s">
        <v>29</v>
      </c>
    </row>
    <row r="6327" spans="1:6" x14ac:dyDescent="0.25">
      <c r="A6327" s="4" t="s">
        <v>83</v>
      </c>
      <c r="B6327" s="4" t="s">
        <v>2</v>
      </c>
      <c r="C6327" s="4" t="s">
        <v>35</v>
      </c>
      <c r="D6327" s="4">
        <v>2030</v>
      </c>
      <c r="E6327" s="4">
        <v>0</v>
      </c>
      <c r="F6327" s="4" t="s">
        <v>29</v>
      </c>
    </row>
    <row r="6328" spans="1:6" x14ac:dyDescent="0.25">
      <c r="A6328" s="4" t="s">
        <v>83</v>
      </c>
      <c r="B6328" s="4" t="s">
        <v>2</v>
      </c>
      <c r="C6328" s="4" t="s">
        <v>35</v>
      </c>
      <c r="D6328" s="4">
        <v>2031</v>
      </c>
      <c r="E6328" s="4">
        <v>0</v>
      </c>
      <c r="F6328" s="4" t="s">
        <v>29</v>
      </c>
    </row>
    <row r="6329" spans="1:6" x14ac:dyDescent="0.25">
      <c r="A6329" s="4" t="s">
        <v>83</v>
      </c>
      <c r="B6329" s="4" t="s">
        <v>2</v>
      </c>
      <c r="C6329" s="4" t="s">
        <v>35</v>
      </c>
      <c r="D6329" s="4">
        <v>2032</v>
      </c>
      <c r="E6329" s="4">
        <v>0</v>
      </c>
      <c r="F6329" s="4" t="s">
        <v>29</v>
      </c>
    </row>
    <row r="6330" spans="1:6" x14ac:dyDescent="0.25">
      <c r="A6330" s="4" t="s">
        <v>83</v>
      </c>
      <c r="B6330" s="4" t="s">
        <v>2</v>
      </c>
      <c r="C6330" s="4" t="s">
        <v>35</v>
      </c>
      <c r="D6330" s="4">
        <v>2033</v>
      </c>
      <c r="E6330" s="4">
        <v>0</v>
      </c>
      <c r="F6330" s="4" t="s">
        <v>29</v>
      </c>
    </row>
    <row r="6331" spans="1:6" x14ac:dyDescent="0.25">
      <c r="A6331" s="4" t="s">
        <v>83</v>
      </c>
      <c r="B6331" s="4" t="s">
        <v>2</v>
      </c>
      <c r="C6331" s="4" t="s">
        <v>35</v>
      </c>
      <c r="D6331" s="4">
        <v>2034</v>
      </c>
      <c r="E6331" s="4">
        <v>0</v>
      </c>
      <c r="F6331" s="4" t="s">
        <v>29</v>
      </c>
    </row>
    <row r="6332" spans="1:6" x14ac:dyDescent="0.25">
      <c r="A6332" s="4" t="s">
        <v>83</v>
      </c>
      <c r="B6332" s="4" t="s">
        <v>2</v>
      </c>
      <c r="C6332" s="4" t="s">
        <v>35</v>
      </c>
      <c r="D6332" s="4">
        <v>2035</v>
      </c>
      <c r="E6332" s="4">
        <v>0</v>
      </c>
      <c r="F6332" s="4" t="s">
        <v>29</v>
      </c>
    </row>
    <row r="6333" spans="1:6" x14ac:dyDescent="0.25">
      <c r="A6333" s="4" t="s">
        <v>83</v>
      </c>
      <c r="B6333" s="4" t="s">
        <v>2</v>
      </c>
      <c r="C6333" s="4" t="s">
        <v>35</v>
      </c>
      <c r="D6333" s="4">
        <v>2036</v>
      </c>
      <c r="E6333" s="4">
        <v>0</v>
      </c>
      <c r="F6333" s="4" t="s">
        <v>29</v>
      </c>
    </row>
    <row r="6334" spans="1:6" x14ac:dyDescent="0.25">
      <c r="A6334" s="4" t="s">
        <v>83</v>
      </c>
      <c r="B6334" s="4" t="s">
        <v>2</v>
      </c>
      <c r="C6334" s="4" t="s">
        <v>35</v>
      </c>
      <c r="D6334" s="4">
        <v>2037</v>
      </c>
      <c r="E6334" s="4">
        <v>0</v>
      </c>
      <c r="F6334" s="4" t="s">
        <v>29</v>
      </c>
    </row>
    <row r="6335" spans="1:6" x14ac:dyDescent="0.25">
      <c r="A6335" s="4" t="s">
        <v>83</v>
      </c>
      <c r="B6335" s="4" t="s">
        <v>2</v>
      </c>
      <c r="C6335" s="4" t="s">
        <v>35</v>
      </c>
      <c r="D6335" s="4">
        <v>2038</v>
      </c>
      <c r="E6335" s="4">
        <v>0</v>
      </c>
      <c r="F6335" s="4" t="s">
        <v>29</v>
      </c>
    </row>
    <row r="6336" spans="1:6" x14ac:dyDescent="0.25">
      <c r="A6336" s="4" t="s">
        <v>83</v>
      </c>
      <c r="B6336" s="4" t="s">
        <v>2</v>
      </c>
      <c r="C6336" s="4" t="s">
        <v>35</v>
      </c>
      <c r="D6336" s="4">
        <v>2039</v>
      </c>
      <c r="E6336" s="4">
        <v>0</v>
      </c>
      <c r="F6336" s="4" t="s">
        <v>29</v>
      </c>
    </row>
    <row r="6337" spans="1:6" x14ac:dyDescent="0.25">
      <c r="A6337" s="4" t="s">
        <v>83</v>
      </c>
      <c r="B6337" s="4" t="s">
        <v>2</v>
      </c>
      <c r="C6337" s="4" t="s">
        <v>35</v>
      </c>
      <c r="D6337" s="4">
        <v>2040</v>
      </c>
      <c r="E6337" s="4">
        <v>0</v>
      </c>
      <c r="F6337" s="4" t="s">
        <v>29</v>
      </c>
    </row>
    <row r="6338" spans="1:6" x14ac:dyDescent="0.25">
      <c r="A6338" s="4" t="s">
        <v>83</v>
      </c>
      <c r="B6338" s="4" t="s">
        <v>3</v>
      </c>
      <c r="C6338" s="4" t="s">
        <v>35</v>
      </c>
      <c r="D6338" s="4">
        <v>2005</v>
      </c>
      <c r="E6338" s="4">
        <v>0</v>
      </c>
      <c r="F6338" s="4" t="s">
        <v>29</v>
      </c>
    </row>
    <row r="6339" spans="1:6" x14ac:dyDescent="0.25">
      <c r="A6339" s="4" t="s">
        <v>83</v>
      </c>
      <c r="B6339" s="4" t="s">
        <v>3</v>
      </c>
      <c r="C6339" s="4" t="s">
        <v>35</v>
      </c>
      <c r="D6339" s="4">
        <v>2006</v>
      </c>
      <c r="E6339" s="4">
        <v>0</v>
      </c>
      <c r="F6339" s="4" t="s">
        <v>29</v>
      </c>
    </row>
    <row r="6340" spans="1:6" x14ac:dyDescent="0.25">
      <c r="A6340" s="4" t="s">
        <v>83</v>
      </c>
      <c r="B6340" s="4" t="s">
        <v>3</v>
      </c>
      <c r="C6340" s="4" t="s">
        <v>35</v>
      </c>
      <c r="D6340" s="4">
        <v>2007</v>
      </c>
      <c r="E6340" s="4">
        <v>0</v>
      </c>
      <c r="F6340" s="4" t="s">
        <v>29</v>
      </c>
    </row>
    <row r="6341" spans="1:6" x14ac:dyDescent="0.25">
      <c r="A6341" s="4" t="s">
        <v>83</v>
      </c>
      <c r="B6341" s="4" t="s">
        <v>3</v>
      </c>
      <c r="C6341" s="4" t="s">
        <v>35</v>
      </c>
      <c r="D6341" s="4">
        <v>2008</v>
      </c>
      <c r="E6341" s="4">
        <v>0</v>
      </c>
      <c r="F6341" s="4" t="s">
        <v>29</v>
      </c>
    </row>
    <row r="6342" spans="1:6" x14ac:dyDescent="0.25">
      <c r="A6342" s="4" t="s">
        <v>83</v>
      </c>
      <c r="B6342" s="4" t="s">
        <v>3</v>
      </c>
      <c r="C6342" s="4" t="s">
        <v>35</v>
      </c>
      <c r="D6342" s="4">
        <v>2009</v>
      </c>
      <c r="E6342" s="4">
        <v>0</v>
      </c>
      <c r="F6342" s="4" t="s">
        <v>29</v>
      </c>
    </row>
    <row r="6343" spans="1:6" x14ac:dyDescent="0.25">
      <c r="A6343" s="4" t="s">
        <v>83</v>
      </c>
      <c r="B6343" s="4" t="s">
        <v>3</v>
      </c>
      <c r="C6343" s="4" t="s">
        <v>35</v>
      </c>
      <c r="D6343" s="4">
        <v>2010</v>
      </c>
      <c r="E6343" s="4">
        <v>0</v>
      </c>
      <c r="F6343" s="4" t="s">
        <v>29</v>
      </c>
    </row>
    <row r="6344" spans="1:6" x14ac:dyDescent="0.25">
      <c r="A6344" s="4" t="s">
        <v>83</v>
      </c>
      <c r="B6344" s="4" t="s">
        <v>3</v>
      </c>
      <c r="C6344" s="4" t="s">
        <v>35</v>
      </c>
      <c r="D6344" s="4">
        <v>2011</v>
      </c>
      <c r="E6344" s="4">
        <v>0</v>
      </c>
      <c r="F6344" s="4" t="s">
        <v>29</v>
      </c>
    </row>
    <row r="6345" spans="1:6" x14ac:dyDescent="0.25">
      <c r="A6345" s="4" t="s">
        <v>83</v>
      </c>
      <c r="B6345" s="4" t="s">
        <v>3</v>
      </c>
      <c r="C6345" s="4" t="s">
        <v>35</v>
      </c>
      <c r="D6345" s="4">
        <v>2012</v>
      </c>
      <c r="E6345" s="4">
        <v>0</v>
      </c>
      <c r="F6345" s="4" t="s">
        <v>29</v>
      </c>
    </row>
    <row r="6346" spans="1:6" x14ac:dyDescent="0.25">
      <c r="A6346" s="4" t="s">
        <v>83</v>
      </c>
      <c r="B6346" s="4" t="s">
        <v>3</v>
      </c>
      <c r="C6346" s="4" t="s">
        <v>35</v>
      </c>
      <c r="D6346" s="4">
        <v>2013</v>
      </c>
      <c r="E6346" s="4">
        <v>0</v>
      </c>
      <c r="F6346" s="4" t="s">
        <v>29</v>
      </c>
    </row>
    <row r="6347" spans="1:6" x14ac:dyDescent="0.25">
      <c r="A6347" s="4" t="s">
        <v>83</v>
      </c>
      <c r="B6347" s="4" t="s">
        <v>3</v>
      </c>
      <c r="C6347" s="4" t="s">
        <v>35</v>
      </c>
      <c r="D6347" s="4">
        <v>2014</v>
      </c>
      <c r="E6347" s="4">
        <v>0</v>
      </c>
      <c r="F6347" s="4" t="s">
        <v>29</v>
      </c>
    </row>
    <row r="6348" spans="1:6" x14ac:dyDescent="0.25">
      <c r="A6348" s="4" t="s">
        <v>83</v>
      </c>
      <c r="B6348" s="4" t="s">
        <v>3</v>
      </c>
      <c r="C6348" s="4" t="s">
        <v>35</v>
      </c>
      <c r="D6348" s="4">
        <v>2015</v>
      </c>
      <c r="E6348" s="4">
        <v>0</v>
      </c>
      <c r="F6348" s="4" t="s">
        <v>29</v>
      </c>
    </row>
    <row r="6349" spans="1:6" x14ac:dyDescent="0.25">
      <c r="A6349" s="4" t="s">
        <v>83</v>
      </c>
      <c r="B6349" s="4" t="s">
        <v>3</v>
      </c>
      <c r="C6349" s="4" t="s">
        <v>35</v>
      </c>
      <c r="D6349" s="4">
        <v>2016</v>
      </c>
      <c r="E6349" s="4">
        <v>0</v>
      </c>
      <c r="F6349" s="4" t="s">
        <v>29</v>
      </c>
    </row>
    <row r="6350" spans="1:6" x14ac:dyDescent="0.25">
      <c r="A6350" s="4" t="s">
        <v>83</v>
      </c>
      <c r="B6350" s="4" t="s">
        <v>3</v>
      </c>
      <c r="C6350" s="4" t="s">
        <v>35</v>
      </c>
      <c r="D6350" s="4">
        <v>2017</v>
      </c>
      <c r="E6350" s="4">
        <v>0</v>
      </c>
      <c r="F6350" s="4" t="s">
        <v>29</v>
      </c>
    </row>
    <row r="6351" spans="1:6" x14ac:dyDescent="0.25">
      <c r="A6351" s="4" t="s">
        <v>83</v>
      </c>
      <c r="B6351" s="4" t="s">
        <v>3</v>
      </c>
      <c r="C6351" s="4" t="s">
        <v>35</v>
      </c>
      <c r="D6351" s="4">
        <v>2018</v>
      </c>
      <c r="E6351" s="4">
        <v>0</v>
      </c>
      <c r="F6351" s="4" t="s">
        <v>29</v>
      </c>
    </row>
    <row r="6352" spans="1:6" x14ac:dyDescent="0.25">
      <c r="A6352" s="4" t="s">
        <v>83</v>
      </c>
      <c r="B6352" s="4" t="s">
        <v>3</v>
      </c>
      <c r="C6352" s="4" t="s">
        <v>35</v>
      </c>
      <c r="D6352" s="4">
        <v>2019</v>
      </c>
      <c r="E6352" s="4">
        <v>0</v>
      </c>
      <c r="F6352" s="4" t="s">
        <v>29</v>
      </c>
    </row>
    <row r="6353" spans="1:6" x14ac:dyDescent="0.25">
      <c r="A6353" s="4" t="s">
        <v>83</v>
      </c>
      <c r="B6353" s="4" t="s">
        <v>3</v>
      </c>
      <c r="C6353" s="4" t="s">
        <v>35</v>
      </c>
      <c r="D6353" s="4">
        <v>2020</v>
      </c>
      <c r="E6353" s="4">
        <v>0</v>
      </c>
      <c r="F6353" s="4" t="s">
        <v>29</v>
      </c>
    </row>
    <row r="6354" spans="1:6" x14ac:dyDescent="0.25">
      <c r="A6354" s="4" t="s">
        <v>83</v>
      </c>
      <c r="B6354" s="4" t="s">
        <v>3</v>
      </c>
      <c r="C6354" s="4" t="s">
        <v>35</v>
      </c>
      <c r="D6354" s="4">
        <v>2021</v>
      </c>
      <c r="E6354" s="4">
        <v>0</v>
      </c>
      <c r="F6354" s="4" t="s">
        <v>29</v>
      </c>
    </row>
    <row r="6355" spans="1:6" x14ac:dyDescent="0.25">
      <c r="A6355" s="4" t="s">
        <v>83</v>
      </c>
      <c r="B6355" s="4" t="s">
        <v>3</v>
      </c>
      <c r="C6355" s="4" t="s">
        <v>35</v>
      </c>
      <c r="D6355" s="4">
        <v>2022</v>
      </c>
      <c r="E6355" s="4">
        <v>0</v>
      </c>
      <c r="F6355" s="4" t="s">
        <v>29</v>
      </c>
    </row>
    <row r="6356" spans="1:6" x14ac:dyDescent="0.25">
      <c r="A6356" s="4" t="s">
        <v>83</v>
      </c>
      <c r="B6356" s="4" t="s">
        <v>3</v>
      </c>
      <c r="C6356" s="4" t="s">
        <v>35</v>
      </c>
      <c r="D6356" s="4">
        <v>2023</v>
      </c>
      <c r="E6356" s="4">
        <v>0</v>
      </c>
      <c r="F6356" s="4" t="s">
        <v>29</v>
      </c>
    </row>
    <row r="6357" spans="1:6" x14ac:dyDescent="0.25">
      <c r="A6357" s="4" t="s">
        <v>83</v>
      </c>
      <c r="B6357" s="4" t="s">
        <v>3</v>
      </c>
      <c r="C6357" s="4" t="s">
        <v>35</v>
      </c>
      <c r="D6357" s="4">
        <v>2024</v>
      </c>
      <c r="E6357" s="4">
        <v>0</v>
      </c>
      <c r="F6357" s="4" t="s">
        <v>29</v>
      </c>
    </row>
    <row r="6358" spans="1:6" x14ac:dyDescent="0.25">
      <c r="A6358" s="4" t="s">
        <v>83</v>
      </c>
      <c r="B6358" s="4" t="s">
        <v>3</v>
      </c>
      <c r="C6358" s="4" t="s">
        <v>35</v>
      </c>
      <c r="D6358" s="4">
        <v>2025</v>
      </c>
      <c r="E6358" s="4">
        <v>0</v>
      </c>
      <c r="F6358" s="4" t="s">
        <v>29</v>
      </c>
    </row>
    <row r="6359" spans="1:6" x14ac:dyDescent="0.25">
      <c r="A6359" s="4" t="s">
        <v>83</v>
      </c>
      <c r="B6359" s="4" t="s">
        <v>3</v>
      </c>
      <c r="C6359" s="4" t="s">
        <v>35</v>
      </c>
      <c r="D6359" s="4">
        <v>2026</v>
      </c>
      <c r="E6359" s="4">
        <v>0</v>
      </c>
      <c r="F6359" s="4" t="s">
        <v>29</v>
      </c>
    </row>
    <row r="6360" spans="1:6" x14ac:dyDescent="0.25">
      <c r="A6360" s="4" t="s">
        <v>83</v>
      </c>
      <c r="B6360" s="4" t="s">
        <v>3</v>
      </c>
      <c r="C6360" s="4" t="s">
        <v>35</v>
      </c>
      <c r="D6360" s="4">
        <v>2027</v>
      </c>
      <c r="E6360" s="4">
        <v>0</v>
      </c>
      <c r="F6360" s="4" t="s">
        <v>29</v>
      </c>
    </row>
    <row r="6361" spans="1:6" x14ac:dyDescent="0.25">
      <c r="A6361" s="4" t="s">
        <v>83</v>
      </c>
      <c r="B6361" s="4" t="s">
        <v>3</v>
      </c>
      <c r="C6361" s="4" t="s">
        <v>35</v>
      </c>
      <c r="D6361" s="4">
        <v>2028</v>
      </c>
      <c r="E6361" s="4">
        <v>0</v>
      </c>
      <c r="F6361" s="4" t="s">
        <v>29</v>
      </c>
    </row>
    <row r="6362" spans="1:6" x14ac:dyDescent="0.25">
      <c r="A6362" s="4" t="s">
        <v>83</v>
      </c>
      <c r="B6362" s="4" t="s">
        <v>3</v>
      </c>
      <c r="C6362" s="4" t="s">
        <v>35</v>
      </c>
      <c r="D6362" s="4">
        <v>2029</v>
      </c>
      <c r="E6362" s="4">
        <v>0</v>
      </c>
      <c r="F6362" s="4" t="s">
        <v>29</v>
      </c>
    </row>
    <row r="6363" spans="1:6" x14ac:dyDescent="0.25">
      <c r="A6363" s="4" t="s">
        <v>83</v>
      </c>
      <c r="B6363" s="4" t="s">
        <v>3</v>
      </c>
      <c r="C6363" s="4" t="s">
        <v>35</v>
      </c>
      <c r="D6363" s="4">
        <v>2030</v>
      </c>
      <c r="E6363" s="4">
        <v>0</v>
      </c>
      <c r="F6363" s="4" t="s">
        <v>29</v>
      </c>
    </row>
    <row r="6364" spans="1:6" x14ac:dyDescent="0.25">
      <c r="A6364" s="4" t="s">
        <v>83</v>
      </c>
      <c r="B6364" s="4" t="s">
        <v>3</v>
      </c>
      <c r="C6364" s="4" t="s">
        <v>35</v>
      </c>
      <c r="D6364" s="4">
        <v>2031</v>
      </c>
      <c r="E6364" s="4">
        <v>0</v>
      </c>
      <c r="F6364" s="4" t="s">
        <v>29</v>
      </c>
    </row>
    <row r="6365" spans="1:6" x14ac:dyDescent="0.25">
      <c r="A6365" s="4" t="s">
        <v>83</v>
      </c>
      <c r="B6365" s="4" t="s">
        <v>3</v>
      </c>
      <c r="C6365" s="4" t="s">
        <v>35</v>
      </c>
      <c r="D6365" s="4">
        <v>2032</v>
      </c>
      <c r="E6365" s="4">
        <v>0</v>
      </c>
      <c r="F6365" s="4" t="s">
        <v>29</v>
      </c>
    </row>
    <row r="6366" spans="1:6" x14ac:dyDescent="0.25">
      <c r="A6366" s="4" t="s">
        <v>83</v>
      </c>
      <c r="B6366" s="4" t="s">
        <v>3</v>
      </c>
      <c r="C6366" s="4" t="s">
        <v>35</v>
      </c>
      <c r="D6366" s="4">
        <v>2033</v>
      </c>
      <c r="E6366" s="4">
        <v>0</v>
      </c>
      <c r="F6366" s="4" t="s">
        <v>29</v>
      </c>
    </row>
    <row r="6367" spans="1:6" x14ac:dyDescent="0.25">
      <c r="A6367" s="4" t="s">
        <v>83</v>
      </c>
      <c r="B6367" s="4" t="s">
        <v>3</v>
      </c>
      <c r="C6367" s="4" t="s">
        <v>35</v>
      </c>
      <c r="D6367" s="4">
        <v>2034</v>
      </c>
      <c r="E6367" s="4">
        <v>0</v>
      </c>
      <c r="F6367" s="4" t="s">
        <v>29</v>
      </c>
    </row>
    <row r="6368" spans="1:6" x14ac:dyDescent="0.25">
      <c r="A6368" s="4" t="s">
        <v>83</v>
      </c>
      <c r="B6368" s="4" t="s">
        <v>3</v>
      </c>
      <c r="C6368" s="4" t="s">
        <v>35</v>
      </c>
      <c r="D6368" s="4">
        <v>2035</v>
      </c>
      <c r="E6368" s="4">
        <v>0</v>
      </c>
      <c r="F6368" s="4" t="s">
        <v>29</v>
      </c>
    </row>
    <row r="6369" spans="1:6" x14ac:dyDescent="0.25">
      <c r="A6369" s="4" t="s">
        <v>83</v>
      </c>
      <c r="B6369" s="4" t="s">
        <v>3</v>
      </c>
      <c r="C6369" s="4" t="s">
        <v>35</v>
      </c>
      <c r="D6369" s="4">
        <v>2036</v>
      </c>
      <c r="E6369" s="4">
        <v>0</v>
      </c>
      <c r="F6369" s="4" t="s">
        <v>29</v>
      </c>
    </row>
    <row r="6370" spans="1:6" x14ac:dyDescent="0.25">
      <c r="A6370" s="4" t="s">
        <v>83</v>
      </c>
      <c r="B6370" s="4" t="s">
        <v>3</v>
      </c>
      <c r="C6370" s="4" t="s">
        <v>35</v>
      </c>
      <c r="D6370" s="4">
        <v>2037</v>
      </c>
      <c r="E6370" s="4">
        <v>0</v>
      </c>
      <c r="F6370" s="4" t="s">
        <v>29</v>
      </c>
    </row>
    <row r="6371" spans="1:6" x14ac:dyDescent="0.25">
      <c r="A6371" s="4" t="s">
        <v>83</v>
      </c>
      <c r="B6371" s="4" t="s">
        <v>3</v>
      </c>
      <c r="C6371" s="4" t="s">
        <v>35</v>
      </c>
      <c r="D6371" s="4">
        <v>2038</v>
      </c>
      <c r="E6371" s="4">
        <v>0</v>
      </c>
      <c r="F6371" s="4" t="s">
        <v>29</v>
      </c>
    </row>
    <row r="6372" spans="1:6" x14ac:dyDescent="0.25">
      <c r="A6372" s="4" t="s">
        <v>83</v>
      </c>
      <c r="B6372" s="4" t="s">
        <v>3</v>
      </c>
      <c r="C6372" s="4" t="s">
        <v>35</v>
      </c>
      <c r="D6372" s="4">
        <v>2039</v>
      </c>
      <c r="E6372" s="4">
        <v>0</v>
      </c>
      <c r="F6372" s="4" t="s">
        <v>29</v>
      </c>
    </row>
    <row r="6373" spans="1:6" x14ac:dyDescent="0.25">
      <c r="A6373" s="4" t="s">
        <v>83</v>
      </c>
      <c r="B6373" s="4" t="s">
        <v>3</v>
      </c>
      <c r="C6373" s="4" t="s">
        <v>35</v>
      </c>
      <c r="D6373" s="4">
        <v>2040</v>
      </c>
      <c r="E6373" s="4">
        <v>0</v>
      </c>
      <c r="F6373" s="4" t="s">
        <v>29</v>
      </c>
    </row>
    <row r="6374" spans="1:6" x14ac:dyDescent="0.25">
      <c r="A6374" s="4" t="s">
        <v>83</v>
      </c>
      <c r="B6374" s="4" t="s">
        <v>4</v>
      </c>
      <c r="C6374" s="4" t="s">
        <v>35</v>
      </c>
      <c r="D6374" s="4">
        <v>2005</v>
      </c>
      <c r="E6374" s="4">
        <v>0</v>
      </c>
      <c r="F6374" s="4" t="s">
        <v>29</v>
      </c>
    </row>
    <row r="6375" spans="1:6" x14ac:dyDescent="0.25">
      <c r="A6375" s="4" t="s">
        <v>83</v>
      </c>
      <c r="B6375" s="4" t="s">
        <v>4</v>
      </c>
      <c r="C6375" s="4" t="s">
        <v>35</v>
      </c>
      <c r="D6375" s="4">
        <v>2006</v>
      </c>
      <c r="E6375" s="4">
        <v>0</v>
      </c>
      <c r="F6375" s="4" t="s">
        <v>29</v>
      </c>
    </row>
    <row r="6376" spans="1:6" x14ac:dyDescent="0.25">
      <c r="A6376" s="4" t="s">
        <v>83</v>
      </c>
      <c r="B6376" s="4" t="s">
        <v>4</v>
      </c>
      <c r="C6376" s="4" t="s">
        <v>35</v>
      </c>
      <c r="D6376" s="4">
        <v>2007</v>
      </c>
      <c r="E6376" s="4">
        <v>0</v>
      </c>
      <c r="F6376" s="4" t="s">
        <v>29</v>
      </c>
    </row>
    <row r="6377" spans="1:6" x14ac:dyDescent="0.25">
      <c r="A6377" s="4" t="s">
        <v>83</v>
      </c>
      <c r="B6377" s="4" t="s">
        <v>4</v>
      </c>
      <c r="C6377" s="4" t="s">
        <v>35</v>
      </c>
      <c r="D6377" s="4">
        <v>2008</v>
      </c>
      <c r="E6377" s="4">
        <v>0</v>
      </c>
      <c r="F6377" s="4" t="s">
        <v>29</v>
      </c>
    </row>
    <row r="6378" spans="1:6" x14ac:dyDescent="0.25">
      <c r="A6378" s="4" t="s">
        <v>83</v>
      </c>
      <c r="B6378" s="4" t="s">
        <v>4</v>
      </c>
      <c r="C6378" s="4" t="s">
        <v>35</v>
      </c>
      <c r="D6378" s="4">
        <v>2009</v>
      </c>
      <c r="E6378" s="4">
        <v>0</v>
      </c>
      <c r="F6378" s="4" t="s">
        <v>29</v>
      </c>
    </row>
    <row r="6379" spans="1:6" x14ac:dyDescent="0.25">
      <c r="A6379" s="4" t="s">
        <v>83</v>
      </c>
      <c r="B6379" s="4" t="s">
        <v>4</v>
      </c>
      <c r="C6379" s="4" t="s">
        <v>35</v>
      </c>
      <c r="D6379" s="4">
        <v>2010</v>
      </c>
      <c r="E6379" s="4">
        <v>0</v>
      </c>
      <c r="F6379" s="4" t="s">
        <v>29</v>
      </c>
    </row>
    <row r="6380" spans="1:6" x14ac:dyDescent="0.25">
      <c r="A6380" s="4" t="s">
        <v>83</v>
      </c>
      <c r="B6380" s="4" t="s">
        <v>4</v>
      </c>
      <c r="C6380" s="4" t="s">
        <v>35</v>
      </c>
      <c r="D6380" s="4">
        <v>2011</v>
      </c>
      <c r="E6380" s="4">
        <v>0</v>
      </c>
      <c r="F6380" s="4" t="s">
        <v>29</v>
      </c>
    </row>
    <row r="6381" spans="1:6" x14ac:dyDescent="0.25">
      <c r="A6381" s="4" t="s">
        <v>83</v>
      </c>
      <c r="B6381" s="4" t="s">
        <v>4</v>
      </c>
      <c r="C6381" s="4" t="s">
        <v>35</v>
      </c>
      <c r="D6381" s="4">
        <v>2012</v>
      </c>
      <c r="E6381" s="4">
        <v>0</v>
      </c>
      <c r="F6381" s="4" t="s">
        <v>29</v>
      </c>
    </row>
    <row r="6382" spans="1:6" x14ac:dyDescent="0.25">
      <c r="A6382" s="4" t="s">
        <v>83</v>
      </c>
      <c r="B6382" s="4" t="s">
        <v>4</v>
      </c>
      <c r="C6382" s="4" t="s">
        <v>35</v>
      </c>
      <c r="D6382" s="4">
        <v>2013</v>
      </c>
      <c r="E6382" s="4">
        <v>0</v>
      </c>
      <c r="F6382" s="4" t="s">
        <v>29</v>
      </c>
    </row>
    <row r="6383" spans="1:6" x14ac:dyDescent="0.25">
      <c r="A6383" s="4" t="s">
        <v>83</v>
      </c>
      <c r="B6383" s="4" t="s">
        <v>4</v>
      </c>
      <c r="C6383" s="4" t="s">
        <v>35</v>
      </c>
      <c r="D6383" s="4">
        <v>2014</v>
      </c>
      <c r="E6383" s="4">
        <v>0</v>
      </c>
      <c r="F6383" s="4" t="s">
        <v>29</v>
      </c>
    </row>
    <row r="6384" spans="1:6" x14ac:dyDescent="0.25">
      <c r="A6384" s="4" t="s">
        <v>83</v>
      </c>
      <c r="B6384" s="4" t="s">
        <v>4</v>
      </c>
      <c r="C6384" s="4" t="s">
        <v>35</v>
      </c>
      <c r="D6384" s="4">
        <v>2015</v>
      </c>
      <c r="E6384" s="4">
        <v>0</v>
      </c>
      <c r="F6384" s="4" t="s">
        <v>29</v>
      </c>
    </row>
    <row r="6385" spans="1:6" x14ac:dyDescent="0.25">
      <c r="A6385" s="4" t="s">
        <v>83</v>
      </c>
      <c r="B6385" s="4" t="s">
        <v>4</v>
      </c>
      <c r="C6385" s="4" t="s">
        <v>35</v>
      </c>
      <c r="D6385" s="4">
        <v>2016</v>
      </c>
      <c r="E6385" s="4">
        <v>0</v>
      </c>
      <c r="F6385" s="4" t="s">
        <v>29</v>
      </c>
    </row>
    <row r="6386" spans="1:6" x14ac:dyDescent="0.25">
      <c r="A6386" s="4" t="s">
        <v>83</v>
      </c>
      <c r="B6386" s="4" t="s">
        <v>4</v>
      </c>
      <c r="C6386" s="4" t="s">
        <v>35</v>
      </c>
      <c r="D6386" s="4">
        <v>2017</v>
      </c>
      <c r="E6386" s="4">
        <v>0</v>
      </c>
      <c r="F6386" s="4" t="s">
        <v>29</v>
      </c>
    </row>
    <row r="6387" spans="1:6" x14ac:dyDescent="0.25">
      <c r="A6387" s="4" t="s">
        <v>83</v>
      </c>
      <c r="B6387" s="4" t="s">
        <v>4</v>
      </c>
      <c r="C6387" s="4" t="s">
        <v>35</v>
      </c>
      <c r="D6387" s="4">
        <v>2018</v>
      </c>
      <c r="E6387" s="4">
        <v>0</v>
      </c>
      <c r="F6387" s="4" t="s">
        <v>29</v>
      </c>
    </row>
    <row r="6388" spans="1:6" x14ac:dyDescent="0.25">
      <c r="A6388" s="4" t="s">
        <v>83</v>
      </c>
      <c r="B6388" s="4" t="s">
        <v>4</v>
      </c>
      <c r="C6388" s="4" t="s">
        <v>35</v>
      </c>
      <c r="D6388" s="4">
        <v>2019</v>
      </c>
      <c r="E6388" s="4">
        <v>0</v>
      </c>
      <c r="F6388" s="4" t="s">
        <v>29</v>
      </c>
    </row>
    <row r="6389" spans="1:6" x14ac:dyDescent="0.25">
      <c r="A6389" s="4" t="s">
        <v>83</v>
      </c>
      <c r="B6389" s="4" t="s">
        <v>4</v>
      </c>
      <c r="C6389" s="4" t="s">
        <v>35</v>
      </c>
      <c r="D6389" s="4">
        <v>2020</v>
      </c>
      <c r="E6389" s="4">
        <v>0</v>
      </c>
      <c r="F6389" s="4" t="s">
        <v>29</v>
      </c>
    </row>
    <row r="6390" spans="1:6" x14ac:dyDescent="0.25">
      <c r="A6390" s="4" t="s">
        <v>83</v>
      </c>
      <c r="B6390" s="4" t="s">
        <v>4</v>
      </c>
      <c r="C6390" s="4" t="s">
        <v>35</v>
      </c>
      <c r="D6390" s="4">
        <v>2021</v>
      </c>
      <c r="E6390" s="4">
        <v>0</v>
      </c>
      <c r="F6390" s="4" t="s">
        <v>29</v>
      </c>
    </row>
    <row r="6391" spans="1:6" x14ac:dyDescent="0.25">
      <c r="A6391" s="4" t="s">
        <v>83</v>
      </c>
      <c r="B6391" s="4" t="s">
        <v>4</v>
      </c>
      <c r="C6391" s="4" t="s">
        <v>35</v>
      </c>
      <c r="D6391" s="4">
        <v>2022</v>
      </c>
      <c r="E6391" s="4">
        <v>0</v>
      </c>
      <c r="F6391" s="4" t="s">
        <v>29</v>
      </c>
    </row>
    <row r="6392" spans="1:6" x14ac:dyDescent="0.25">
      <c r="A6392" s="4" t="s">
        <v>83</v>
      </c>
      <c r="B6392" s="4" t="s">
        <v>4</v>
      </c>
      <c r="C6392" s="4" t="s">
        <v>35</v>
      </c>
      <c r="D6392" s="4">
        <v>2023</v>
      </c>
      <c r="E6392" s="4">
        <v>0</v>
      </c>
      <c r="F6392" s="4" t="s">
        <v>29</v>
      </c>
    </row>
    <row r="6393" spans="1:6" x14ac:dyDescent="0.25">
      <c r="A6393" s="4" t="s">
        <v>83</v>
      </c>
      <c r="B6393" s="4" t="s">
        <v>4</v>
      </c>
      <c r="C6393" s="4" t="s">
        <v>35</v>
      </c>
      <c r="D6393" s="4">
        <v>2024</v>
      </c>
      <c r="E6393" s="4">
        <v>0</v>
      </c>
      <c r="F6393" s="4" t="s">
        <v>29</v>
      </c>
    </row>
    <row r="6394" spans="1:6" x14ac:dyDescent="0.25">
      <c r="A6394" s="4" t="s">
        <v>83</v>
      </c>
      <c r="B6394" s="4" t="s">
        <v>4</v>
      </c>
      <c r="C6394" s="4" t="s">
        <v>35</v>
      </c>
      <c r="D6394" s="4">
        <v>2025</v>
      </c>
      <c r="E6394" s="4">
        <v>0</v>
      </c>
      <c r="F6394" s="4" t="s">
        <v>29</v>
      </c>
    </row>
    <row r="6395" spans="1:6" x14ac:dyDescent="0.25">
      <c r="A6395" s="4" t="s">
        <v>83</v>
      </c>
      <c r="B6395" s="4" t="s">
        <v>4</v>
      </c>
      <c r="C6395" s="4" t="s">
        <v>35</v>
      </c>
      <c r="D6395" s="4">
        <v>2026</v>
      </c>
      <c r="E6395" s="4">
        <v>0</v>
      </c>
      <c r="F6395" s="4" t="s">
        <v>29</v>
      </c>
    </row>
    <row r="6396" spans="1:6" x14ac:dyDescent="0.25">
      <c r="A6396" s="4" t="s">
        <v>83</v>
      </c>
      <c r="B6396" s="4" t="s">
        <v>4</v>
      </c>
      <c r="C6396" s="4" t="s">
        <v>35</v>
      </c>
      <c r="D6396" s="4">
        <v>2027</v>
      </c>
      <c r="E6396" s="4">
        <v>0</v>
      </c>
      <c r="F6396" s="4" t="s">
        <v>29</v>
      </c>
    </row>
    <row r="6397" spans="1:6" x14ac:dyDescent="0.25">
      <c r="A6397" s="4" t="s">
        <v>83</v>
      </c>
      <c r="B6397" s="4" t="s">
        <v>4</v>
      </c>
      <c r="C6397" s="4" t="s">
        <v>35</v>
      </c>
      <c r="D6397" s="4">
        <v>2028</v>
      </c>
      <c r="E6397" s="4">
        <v>0</v>
      </c>
      <c r="F6397" s="4" t="s">
        <v>29</v>
      </c>
    </row>
    <row r="6398" spans="1:6" x14ac:dyDescent="0.25">
      <c r="A6398" s="4" t="s">
        <v>83</v>
      </c>
      <c r="B6398" s="4" t="s">
        <v>4</v>
      </c>
      <c r="C6398" s="4" t="s">
        <v>35</v>
      </c>
      <c r="D6398" s="4">
        <v>2029</v>
      </c>
      <c r="E6398" s="4">
        <v>0</v>
      </c>
      <c r="F6398" s="4" t="s">
        <v>29</v>
      </c>
    </row>
    <row r="6399" spans="1:6" x14ac:dyDescent="0.25">
      <c r="A6399" s="4" t="s">
        <v>83</v>
      </c>
      <c r="B6399" s="4" t="s">
        <v>4</v>
      </c>
      <c r="C6399" s="4" t="s">
        <v>35</v>
      </c>
      <c r="D6399" s="4">
        <v>2030</v>
      </c>
      <c r="E6399" s="4">
        <v>0</v>
      </c>
      <c r="F6399" s="4" t="s">
        <v>29</v>
      </c>
    </row>
    <row r="6400" spans="1:6" x14ac:dyDescent="0.25">
      <c r="A6400" s="4" t="s">
        <v>83</v>
      </c>
      <c r="B6400" s="4" t="s">
        <v>4</v>
      </c>
      <c r="C6400" s="4" t="s">
        <v>35</v>
      </c>
      <c r="D6400" s="4">
        <v>2031</v>
      </c>
      <c r="E6400" s="4">
        <v>0</v>
      </c>
      <c r="F6400" s="4" t="s">
        <v>29</v>
      </c>
    </row>
    <row r="6401" spans="1:6" x14ac:dyDescent="0.25">
      <c r="A6401" s="4" t="s">
        <v>83</v>
      </c>
      <c r="B6401" s="4" t="s">
        <v>4</v>
      </c>
      <c r="C6401" s="4" t="s">
        <v>35</v>
      </c>
      <c r="D6401" s="4">
        <v>2032</v>
      </c>
      <c r="E6401" s="4">
        <v>0</v>
      </c>
      <c r="F6401" s="4" t="s">
        <v>29</v>
      </c>
    </row>
    <row r="6402" spans="1:6" x14ac:dyDescent="0.25">
      <c r="A6402" s="4" t="s">
        <v>83</v>
      </c>
      <c r="B6402" s="4" t="s">
        <v>4</v>
      </c>
      <c r="C6402" s="4" t="s">
        <v>35</v>
      </c>
      <c r="D6402" s="4">
        <v>2033</v>
      </c>
      <c r="E6402" s="4">
        <v>0</v>
      </c>
      <c r="F6402" s="4" t="s">
        <v>29</v>
      </c>
    </row>
    <row r="6403" spans="1:6" x14ac:dyDescent="0.25">
      <c r="A6403" s="4" t="s">
        <v>83</v>
      </c>
      <c r="B6403" s="4" t="s">
        <v>4</v>
      </c>
      <c r="C6403" s="4" t="s">
        <v>35</v>
      </c>
      <c r="D6403" s="4">
        <v>2034</v>
      </c>
      <c r="E6403" s="4">
        <v>0</v>
      </c>
      <c r="F6403" s="4" t="s">
        <v>29</v>
      </c>
    </row>
    <row r="6404" spans="1:6" x14ac:dyDescent="0.25">
      <c r="A6404" s="4" t="s">
        <v>83</v>
      </c>
      <c r="B6404" s="4" t="s">
        <v>4</v>
      </c>
      <c r="C6404" s="4" t="s">
        <v>35</v>
      </c>
      <c r="D6404" s="4">
        <v>2035</v>
      </c>
      <c r="E6404" s="4">
        <v>0</v>
      </c>
      <c r="F6404" s="4" t="s">
        <v>29</v>
      </c>
    </row>
    <row r="6405" spans="1:6" x14ac:dyDescent="0.25">
      <c r="A6405" s="4" t="s">
        <v>83</v>
      </c>
      <c r="B6405" s="4" t="s">
        <v>4</v>
      </c>
      <c r="C6405" s="4" t="s">
        <v>35</v>
      </c>
      <c r="D6405" s="4">
        <v>2036</v>
      </c>
      <c r="E6405" s="4">
        <v>0</v>
      </c>
      <c r="F6405" s="4" t="s">
        <v>29</v>
      </c>
    </row>
    <row r="6406" spans="1:6" x14ac:dyDescent="0.25">
      <c r="A6406" s="4" t="s">
        <v>83</v>
      </c>
      <c r="B6406" s="4" t="s">
        <v>4</v>
      </c>
      <c r="C6406" s="4" t="s">
        <v>35</v>
      </c>
      <c r="D6406" s="4">
        <v>2037</v>
      </c>
      <c r="E6406" s="4">
        <v>0</v>
      </c>
      <c r="F6406" s="4" t="s">
        <v>29</v>
      </c>
    </row>
    <row r="6407" spans="1:6" x14ac:dyDescent="0.25">
      <c r="A6407" s="4" t="s">
        <v>83</v>
      </c>
      <c r="B6407" s="4" t="s">
        <v>4</v>
      </c>
      <c r="C6407" s="4" t="s">
        <v>35</v>
      </c>
      <c r="D6407" s="4">
        <v>2038</v>
      </c>
      <c r="E6407" s="4">
        <v>0</v>
      </c>
      <c r="F6407" s="4" t="s">
        <v>29</v>
      </c>
    </row>
    <row r="6408" spans="1:6" x14ac:dyDescent="0.25">
      <c r="A6408" s="4" t="s">
        <v>83</v>
      </c>
      <c r="B6408" s="4" t="s">
        <v>4</v>
      </c>
      <c r="C6408" s="4" t="s">
        <v>35</v>
      </c>
      <c r="D6408" s="4">
        <v>2039</v>
      </c>
      <c r="E6408" s="4">
        <v>0</v>
      </c>
      <c r="F6408" s="4" t="s">
        <v>29</v>
      </c>
    </row>
    <row r="6409" spans="1:6" x14ac:dyDescent="0.25">
      <c r="A6409" s="4" t="s">
        <v>83</v>
      </c>
      <c r="B6409" s="4" t="s">
        <v>4</v>
      </c>
      <c r="C6409" s="4" t="s">
        <v>35</v>
      </c>
      <c r="D6409" s="4">
        <v>2040</v>
      </c>
      <c r="E6409" s="4">
        <v>0</v>
      </c>
      <c r="F6409" s="4" t="s">
        <v>29</v>
      </c>
    </row>
    <row r="6410" spans="1:6" x14ac:dyDescent="0.25">
      <c r="A6410" s="4" t="s">
        <v>83</v>
      </c>
      <c r="B6410" s="4" t="s">
        <v>5</v>
      </c>
      <c r="C6410" s="4" t="s">
        <v>35</v>
      </c>
      <c r="D6410" s="4">
        <v>2005</v>
      </c>
      <c r="E6410" s="4">
        <v>0</v>
      </c>
      <c r="F6410" s="4" t="s">
        <v>29</v>
      </c>
    </row>
    <row r="6411" spans="1:6" x14ac:dyDescent="0.25">
      <c r="A6411" s="4" t="s">
        <v>83</v>
      </c>
      <c r="B6411" s="4" t="s">
        <v>5</v>
      </c>
      <c r="C6411" s="4" t="s">
        <v>35</v>
      </c>
      <c r="D6411" s="4">
        <v>2006</v>
      </c>
      <c r="E6411" s="4">
        <v>0</v>
      </c>
      <c r="F6411" s="4" t="s">
        <v>29</v>
      </c>
    </row>
    <row r="6412" spans="1:6" x14ac:dyDescent="0.25">
      <c r="A6412" s="4" t="s">
        <v>83</v>
      </c>
      <c r="B6412" s="4" t="s">
        <v>5</v>
      </c>
      <c r="C6412" s="4" t="s">
        <v>35</v>
      </c>
      <c r="D6412" s="4">
        <v>2007</v>
      </c>
      <c r="E6412" s="4">
        <v>0</v>
      </c>
      <c r="F6412" s="4" t="s">
        <v>29</v>
      </c>
    </row>
    <row r="6413" spans="1:6" x14ac:dyDescent="0.25">
      <c r="A6413" s="4" t="s">
        <v>83</v>
      </c>
      <c r="B6413" s="4" t="s">
        <v>5</v>
      </c>
      <c r="C6413" s="4" t="s">
        <v>35</v>
      </c>
      <c r="D6413" s="4">
        <v>2008</v>
      </c>
      <c r="E6413" s="4">
        <v>0</v>
      </c>
      <c r="F6413" s="4" t="s">
        <v>29</v>
      </c>
    </row>
    <row r="6414" spans="1:6" x14ac:dyDescent="0.25">
      <c r="A6414" s="4" t="s">
        <v>83</v>
      </c>
      <c r="B6414" s="4" t="s">
        <v>5</v>
      </c>
      <c r="C6414" s="4" t="s">
        <v>35</v>
      </c>
      <c r="D6414" s="4">
        <v>2009</v>
      </c>
      <c r="E6414" s="4">
        <v>0</v>
      </c>
      <c r="F6414" s="4" t="s">
        <v>29</v>
      </c>
    </row>
    <row r="6415" spans="1:6" x14ac:dyDescent="0.25">
      <c r="A6415" s="4" t="s">
        <v>83</v>
      </c>
      <c r="B6415" s="4" t="s">
        <v>5</v>
      </c>
      <c r="C6415" s="4" t="s">
        <v>35</v>
      </c>
      <c r="D6415" s="4">
        <v>2010</v>
      </c>
      <c r="E6415" s="4">
        <v>0</v>
      </c>
      <c r="F6415" s="4" t="s">
        <v>29</v>
      </c>
    </row>
    <row r="6416" spans="1:6" x14ac:dyDescent="0.25">
      <c r="A6416" s="4" t="s">
        <v>83</v>
      </c>
      <c r="B6416" s="4" t="s">
        <v>5</v>
      </c>
      <c r="C6416" s="4" t="s">
        <v>35</v>
      </c>
      <c r="D6416" s="4">
        <v>2011</v>
      </c>
      <c r="E6416" s="4">
        <v>0</v>
      </c>
      <c r="F6416" s="4" t="s">
        <v>29</v>
      </c>
    </row>
    <row r="6417" spans="1:6" x14ac:dyDescent="0.25">
      <c r="A6417" s="4" t="s">
        <v>83</v>
      </c>
      <c r="B6417" s="4" t="s">
        <v>5</v>
      </c>
      <c r="C6417" s="4" t="s">
        <v>35</v>
      </c>
      <c r="D6417" s="4">
        <v>2012</v>
      </c>
      <c r="E6417" s="4">
        <v>0</v>
      </c>
      <c r="F6417" s="4" t="s">
        <v>29</v>
      </c>
    </row>
    <row r="6418" spans="1:6" x14ac:dyDescent="0.25">
      <c r="A6418" s="4" t="s">
        <v>83</v>
      </c>
      <c r="B6418" s="4" t="s">
        <v>5</v>
      </c>
      <c r="C6418" s="4" t="s">
        <v>35</v>
      </c>
      <c r="D6418" s="4">
        <v>2013</v>
      </c>
      <c r="E6418" s="4">
        <v>0</v>
      </c>
      <c r="F6418" s="4" t="s">
        <v>29</v>
      </c>
    </row>
    <row r="6419" spans="1:6" x14ac:dyDescent="0.25">
      <c r="A6419" s="4" t="s">
        <v>83</v>
      </c>
      <c r="B6419" s="4" t="s">
        <v>5</v>
      </c>
      <c r="C6419" s="4" t="s">
        <v>35</v>
      </c>
      <c r="D6419" s="4">
        <v>2014</v>
      </c>
      <c r="E6419" s="4">
        <v>0</v>
      </c>
      <c r="F6419" s="4" t="s">
        <v>29</v>
      </c>
    </row>
    <row r="6420" spans="1:6" x14ac:dyDescent="0.25">
      <c r="A6420" s="4" t="s">
        <v>83</v>
      </c>
      <c r="B6420" s="4" t="s">
        <v>5</v>
      </c>
      <c r="C6420" s="4" t="s">
        <v>35</v>
      </c>
      <c r="D6420" s="4">
        <v>2015</v>
      </c>
      <c r="E6420" s="4">
        <v>0</v>
      </c>
      <c r="F6420" s="4" t="s">
        <v>29</v>
      </c>
    </row>
    <row r="6421" spans="1:6" x14ac:dyDescent="0.25">
      <c r="A6421" s="4" t="s">
        <v>83</v>
      </c>
      <c r="B6421" s="4" t="s">
        <v>5</v>
      </c>
      <c r="C6421" s="4" t="s">
        <v>35</v>
      </c>
      <c r="D6421" s="4">
        <v>2016</v>
      </c>
      <c r="E6421" s="4">
        <v>0</v>
      </c>
      <c r="F6421" s="4" t="s">
        <v>29</v>
      </c>
    </row>
    <row r="6422" spans="1:6" x14ac:dyDescent="0.25">
      <c r="A6422" s="4" t="s">
        <v>83</v>
      </c>
      <c r="B6422" s="4" t="s">
        <v>5</v>
      </c>
      <c r="C6422" s="4" t="s">
        <v>35</v>
      </c>
      <c r="D6422" s="4">
        <v>2017</v>
      </c>
      <c r="E6422" s="4">
        <v>0</v>
      </c>
      <c r="F6422" s="4" t="s">
        <v>29</v>
      </c>
    </row>
    <row r="6423" spans="1:6" x14ac:dyDescent="0.25">
      <c r="A6423" s="4" t="s">
        <v>83</v>
      </c>
      <c r="B6423" s="4" t="s">
        <v>5</v>
      </c>
      <c r="C6423" s="4" t="s">
        <v>35</v>
      </c>
      <c r="D6423" s="4">
        <v>2018</v>
      </c>
      <c r="E6423" s="4">
        <v>0</v>
      </c>
      <c r="F6423" s="4" t="s">
        <v>29</v>
      </c>
    </row>
    <row r="6424" spans="1:6" x14ac:dyDescent="0.25">
      <c r="A6424" s="4" t="s">
        <v>83</v>
      </c>
      <c r="B6424" s="4" t="s">
        <v>5</v>
      </c>
      <c r="C6424" s="4" t="s">
        <v>35</v>
      </c>
      <c r="D6424" s="4">
        <v>2019</v>
      </c>
      <c r="E6424" s="4">
        <v>0</v>
      </c>
      <c r="F6424" s="4" t="s">
        <v>29</v>
      </c>
    </row>
    <row r="6425" spans="1:6" x14ac:dyDescent="0.25">
      <c r="A6425" s="4" t="s">
        <v>83</v>
      </c>
      <c r="B6425" s="4" t="s">
        <v>5</v>
      </c>
      <c r="C6425" s="4" t="s">
        <v>35</v>
      </c>
      <c r="D6425" s="4">
        <v>2020</v>
      </c>
      <c r="E6425" s="4">
        <v>0</v>
      </c>
      <c r="F6425" s="4" t="s">
        <v>29</v>
      </c>
    </row>
    <row r="6426" spans="1:6" x14ac:dyDescent="0.25">
      <c r="A6426" s="4" t="s">
        <v>83</v>
      </c>
      <c r="B6426" s="4" t="s">
        <v>5</v>
      </c>
      <c r="C6426" s="4" t="s">
        <v>35</v>
      </c>
      <c r="D6426" s="4">
        <v>2021</v>
      </c>
      <c r="E6426" s="4">
        <v>0</v>
      </c>
      <c r="F6426" s="4" t="s">
        <v>29</v>
      </c>
    </row>
    <row r="6427" spans="1:6" x14ac:dyDescent="0.25">
      <c r="A6427" s="4" t="s">
        <v>83</v>
      </c>
      <c r="B6427" s="4" t="s">
        <v>5</v>
      </c>
      <c r="C6427" s="4" t="s">
        <v>35</v>
      </c>
      <c r="D6427" s="4">
        <v>2022</v>
      </c>
      <c r="E6427" s="4">
        <v>0</v>
      </c>
      <c r="F6427" s="4" t="s">
        <v>29</v>
      </c>
    </row>
    <row r="6428" spans="1:6" x14ac:dyDescent="0.25">
      <c r="A6428" s="4" t="s">
        <v>83</v>
      </c>
      <c r="B6428" s="4" t="s">
        <v>5</v>
      </c>
      <c r="C6428" s="4" t="s">
        <v>35</v>
      </c>
      <c r="D6428" s="4">
        <v>2023</v>
      </c>
      <c r="E6428" s="4">
        <v>0</v>
      </c>
      <c r="F6428" s="4" t="s">
        <v>29</v>
      </c>
    </row>
    <row r="6429" spans="1:6" x14ac:dyDescent="0.25">
      <c r="A6429" s="4" t="s">
        <v>83</v>
      </c>
      <c r="B6429" s="4" t="s">
        <v>5</v>
      </c>
      <c r="C6429" s="4" t="s">
        <v>35</v>
      </c>
      <c r="D6429" s="4">
        <v>2024</v>
      </c>
      <c r="E6429" s="4">
        <v>0</v>
      </c>
      <c r="F6429" s="4" t="s">
        <v>29</v>
      </c>
    </row>
    <row r="6430" spans="1:6" x14ac:dyDescent="0.25">
      <c r="A6430" s="4" t="s">
        <v>83</v>
      </c>
      <c r="B6430" s="4" t="s">
        <v>5</v>
      </c>
      <c r="C6430" s="4" t="s">
        <v>35</v>
      </c>
      <c r="D6430" s="4">
        <v>2025</v>
      </c>
      <c r="E6430" s="4">
        <v>0</v>
      </c>
      <c r="F6430" s="4" t="s">
        <v>29</v>
      </c>
    </row>
    <row r="6431" spans="1:6" x14ac:dyDescent="0.25">
      <c r="A6431" s="4" t="s">
        <v>83</v>
      </c>
      <c r="B6431" s="4" t="s">
        <v>5</v>
      </c>
      <c r="C6431" s="4" t="s">
        <v>35</v>
      </c>
      <c r="D6431" s="4">
        <v>2026</v>
      </c>
      <c r="E6431" s="4">
        <v>0</v>
      </c>
      <c r="F6431" s="4" t="s">
        <v>29</v>
      </c>
    </row>
    <row r="6432" spans="1:6" x14ac:dyDescent="0.25">
      <c r="A6432" s="4" t="s">
        <v>83</v>
      </c>
      <c r="B6432" s="4" t="s">
        <v>5</v>
      </c>
      <c r="C6432" s="4" t="s">
        <v>35</v>
      </c>
      <c r="D6432" s="4">
        <v>2027</v>
      </c>
      <c r="E6432" s="4">
        <v>0</v>
      </c>
      <c r="F6432" s="4" t="s">
        <v>29</v>
      </c>
    </row>
    <row r="6433" spans="1:6" x14ac:dyDescent="0.25">
      <c r="A6433" s="4" t="s">
        <v>83</v>
      </c>
      <c r="B6433" s="4" t="s">
        <v>5</v>
      </c>
      <c r="C6433" s="4" t="s">
        <v>35</v>
      </c>
      <c r="D6433" s="4">
        <v>2028</v>
      </c>
      <c r="E6433" s="4">
        <v>0</v>
      </c>
      <c r="F6433" s="4" t="s">
        <v>29</v>
      </c>
    </row>
    <row r="6434" spans="1:6" x14ac:dyDescent="0.25">
      <c r="A6434" s="4" t="s">
        <v>83</v>
      </c>
      <c r="B6434" s="4" t="s">
        <v>5</v>
      </c>
      <c r="C6434" s="4" t="s">
        <v>35</v>
      </c>
      <c r="D6434" s="4">
        <v>2029</v>
      </c>
      <c r="E6434" s="4">
        <v>0</v>
      </c>
      <c r="F6434" s="4" t="s">
        <v>29</v>
      </c>
    </row>
    <row r="6435" spans="1:6" x14ac:dyDescent="0.25">
      <c r="A6435" s="4" t="s">
        <v>83</v>
      </c>
      <c r="B6435" s="4" t="s">
        <v>5</v>
      </c>
      <c r="C6435" s="4" t="s">
        <v>35</v>
      </c>
      <c r="D6435" s="4">
        <v>2030</v>
      </c>
      <c r="E6435" s="4">
        <v>0</v>
      </c>
      <c r="F6435" s="4" t="s">
        <v>29</v>
      </c>
    </row>
    <row r="6436" spans="1:6" x14ac:dyDescent="0.25">
      <c r="A6436" s="4" t="s">
        <v>83</v>
      </c>
      <c r="B6436" s="4" t="s">
        <v>5</v>
      </c>
      <c r="C6436" s="4" t="s">
        <v>35</v>
      </c>
      <c r="D6436" s="4">
        <v>2031</v>
      </c>
      <c r="E6436" s="4">
        <v>0</v>
      </c>
      <c r="F6436" s="4" t="s">
        <v>29</v>
      </c>
    </row>
    <row r="6437" spans="1:6" x14ac:dyDescent="0.25">
      <c r="A6437" s="4" t="s">
        <v>83</v>
      </c>
      <c r="B6437" s="4" t="s">
        <v>5</v>
      </c>
      <c r="C6437" s="4" t="s">
        <v>35</v>
      </c>
      <c r="D6437" s="4">
        <v>2032</v>
      </c>
      <c r="E6437" s="4">
        <v>0</v>
      </c>
      <c r="F6437" s="4" t="s">
        <v>29</v>
      </c>
    </row>
    <row r="6438" spans="1:6" x14ac:dyDescent="0.25">
      <c r="A6438" s="4" t="s">
        <v>83</v>
      </c>
      <c r="B6438" s="4" t="s">
        <v>5</v>
      </c>
      <c r="C6438" s="4" t="s">
        <v>35</v>
      </c>
      <c r="D6438" s="4">
        <v>2033</v>
      </c>
      <c r="E6438" s="4">
        <v>0</v>
      </c>
      <c r="F6438" s="4" t="s">
        <v>29</v>
      </c>
    </row>
    <row r="6439" spans="1:6" x14ac:dyDescent="0.25">
      <c r="A6439" s="4" t="s">
        <v>83</v>
      </c>
      <c r="B6439" s="4" t="s">
        <v>5</v>
      </c>
      <c r="C6439" s="4" t="s">
        <v>35</v>
      </c>
      <c r="D6439" s="4">
        <v>2034</v>
      </c>
      <c r="E6439" s="4">
        <v>0</v>
      </c>
      <c r="F6439" s="4" t="s">
        <v>29</v>
      </c>
    </row>
    <row r="6440" spans="1:6" x14ac:dyDescent="0.25">
      <c r="A6440" s="4" t="s">
        <v>83</v>
      </c>
      <c r="B6440" s="4" t="s">
        <v>5</v>
      </c>
      <c r="C6440" s="4" t="s">
        <v>35</v>
      </c>
      <c r="D6440" s="4">
        <v>2035</v>
      </c>
      <c r="E6440" s="4">
        <v>0</v>
      </c>
      <c r="F6440" s="4" t="s">
        <v>29</v>
      </c>
    </row>
    <row r="6441" spans="1:6" x14ac:dyDescent="0.25">
      <c r="A6441" s="4" t="s">
        <v>83</v>
      </c>
      <c r="B6441" s="4" t="s">
        <v>5</v>
      </c>
      <c r="C6441" s="4" t="s">
        <v>35</v>
      </c>
      <c r="D6441" s="4">
        <v>2036</v>
      </c>
      <c r="E6441" s="4">
        <v>0</v>
      </c>
      <c r="F6441" s="4" t="s">
        <v>29</v>
      </c>
    </row>
    <row r="6442" spans="1:6" x14ac:dyDescent="0.25">
      <c r="A6442" s="4" t="s">
        <v>83</v>
      </c>
      <c r="B6442" s="4" t="s">
        <v>5</v>
      </c>
      <c r="C6442" s="4" t="s">
        <v>35</v>
      </c>
      <c r="D6442" s="4">
        <v>2037</v>
      </c>
      <c r="E6442" s="4">
        <v>0</v>
      </c>
      <c r="F6442" s="4" t="s">
        <v>29</v>
      </c>
    </row>
    <row r="6443" spans="1:6" x14ac:dyDescent="0.25">
      <c r="A6443" s="4" t="s">
        <v>83</v>
      </c>
      <c r="B6443" s="4" t="s">
        <v>5</v>
      </c>
      <c r="C6443" s="4" t="s">
        <v>35</v>
      </c>
      <c r="D6443" s="4">
        <v>2038</v>
      </c>
      <c r="E6443" s="4">
        <v>0</v>
      </c>
      <c r="F6443" s="4" t="s">
        <v>29</v>
      </c>
    </row>
    <row r="6444" spans="1:6" x14ac:dyDescent="0.25">
      <c r="A6444" s="4" t="s">
        <v>83</v>
      </c>
      <c r="B6444" s="4" t="s">
        <v>5</v>
      </c>
      <c r="C6444" s="4" t="s">
        <v>35</v>
      </c>
      <c r="D6444" s="4">
        <v>2039</v>
      </c>
      <c r="E6444" s="4">
        <v>0</v>
      </c>
      <c r="F6444" s="4" t="s">
        <v>29</v>
      </c>
    </row>
    <row r="6445" spans="1:6" x14ac:dyDescent="0.25">
      <c r="A6445" s="4" t="s">
        <v>83</v>
      </c>
      <c r="B6445" s="4" t="s">
        <v>5</v>
      </c>
      <c r="C6445" s="4" t="s">
        <v>35</v>
      </c>
      <c r="D6445" s="4">
        <v>2040</v>
      </c>
      <c r="E6445" s="4">
        <v>0</v>
      </c>
      <c r="F6445" s="4" t="s">
        <v>29</v>
      </c>
    </row>
    <row r="6446" spans="1:6" x14ac:dyDescent="0.25">
      <c r="A6446" s="4" t="s">
        <v>83</v>
      </c>
      <c r="B6446" s="4" t="s">
        <v>6</v>
      </c>
      <c r="C6446" s="4" t="s">
        <v>35</v>
      </c>
      <c r="D6446" s="4">
        <v>2005</v>
      </c>
      <c r="E6446" s="4">
        <v>0</v>
      </c>
      <c r="F6446" s="4" t="s">
        <v>29</v>
      </c>
    </row>
    <row r="6447" spans="1:6" x14ac:dyDescent="0.25">
      <c r="A6447" s="4" t="s">
        <v>83</v>
      </c>
      <c r="B6447" s="4" t="s">
        <v>6</v>
      </c>
      <c r="C6447" s="4" t="s">
        <v>35</v>
      </c>
      <c r="D6447" s="4">
        <v>2006</v>
      </c>
      <c r="E6447" s="4">
        <v>0</v>
      </c>
      <c r="F6447" s="4" t="s">
        <v>29</v>
      </c>
    </row>
    <row r="6448" spans="1:6" x14ac:dyDescent="0.25">
      <c r="A6448" s="4" t="s">
        <v>83</v>
      </c>
      <c r="B6448" s="4" t="s">
        <v>6</v>
      </c>
      <c r="C6448" s="4" t="s">
        <v>35</v>
      </c>
      <c r="D6448" s="4">
        <v>2007</v>
      </c>
      <c r="E6448" s="4">
        <v>0</v>
      </c>
      <c r="F6448" s="4" t="s">
        <v>29</v>
      </c>
    </row>
    <row r="6449" spans="1:6" x14ac:dyDescent="0.25">
      <c r="A6449" s="4" t="s">
        <v>83</v>
      </c>
      <c r="B6449" s="4" t="s">
        <v>6</v>
      </c>
      <c r="C6449" s="4" t="s">
        <v>35</v>
      </c>
      <c r="D6449" s="4">
        <v>2008</v>
      </c>
      <c r="E6449" s="4">
        <v>0</v>
      </c>
      <c r="F6449" s="4" t="s">
        <v>29</v>
      </c>
    </row>
    <row r="6450" spans="1:6" x14ac:dyDescent="0.25">
      <c r="A6450" s="4" t="s">
        <v>83</v>
      </c>
      <c r="B6450" s="4" t="s">
        <v>6</v>
      </c>
      <c r="C6450" s="4" t="s">
        <v>35</v>
      </c>
      <c r="D6450" s="4">
        <v>2009</v>
      </c>
      <c r="E6450" s="4">
        <v>0</v>
      </c>
      <c r="F6450" s="4" t="s">
        <v>29</v>
      </c>
    </row>
    <row r="6451" spans="1:6" x14ac:dyDescent="0.25">
      <c r="A6451" s="4" t="s">
        <v>83</v>
      </c>
      <c r="B6451" s="4" t="s">
        <v>6</v>
      </c>
      <c r="C6451" s="4" t="s">
        <v>35</v>
      </c>
      <c r="D6451" s="4">
        <v>2010</v>
      </c>
      <c r="E6451" s="4">
        <v>0</v>
      </c>
      <c r="F6451" s="4" t="s">
        <v>29</v>
      </c>
    </row>
    <row r="6452" spans="1:6" x14ac:dyDescent="0.25">
      <c r="A6452" s="4" t="s">
        <v>83</v>
      </c>
      <c r="B6452" s="4" t="s">
        <v>6</v>
      </c>
      <c r="C6452" s="4" t="s">
        <v>35</v>
      </c>
      <c r="D6452" s="4">
        <v>2011</v>
      </c>
      <c r="E6452" s="4">
        <v>0</v>
      </c>
      <c r="F6452" s="4" t="s">
        <v>29</v>
      </c>
    </row>
    <row r="6453" spans="1:6" x14ac:dyDescent="0.25">
      <c r="A6453" s="4" t="s">
        <v>83</v>
      </c>
      <c r="B6453" s="4" t="s">
        <v>6</v>
      </c>
      <c r="C6453" s="4" t="s">
        <v>35</v>
      </c>
      <c r="D6453" s="4">
        <v>2012</v>
      </c>
      <c r="E6453" s="4">
        <v>0</v>
      </c>
      <c r="F6453" s="4" t="s">
        <v>29</v>
      </c>
    </row>
    <row r="6454" spans="1:6" x14ac:dyDescent="0.25">
      <c r="A6454" s="4" t="s">
        <v>83</v>
      </c>
      <c r="B6454" s="4" t="s">
        <v>6</v>
      </c>
      <c r="C6454" s="4" t="s">
        <v>35</v>
      </c>
      <c r="D6454" s="4">
        <v>2013</v>
      </c>
      <c r="E6454" s="4">
        <v>0</v>
      </c>
      <c r="F6454" s="4" t="s">
        <v>29</v>
      </c>
    </row>
    <row r="6455" spans="1:6" x14ac:dyDescent="0.25">
      <c r="A6455" s="4" t="s">
        <v>83</v>
      </c>
      <c r="B6455" s="4" t="s">
        <v>6</v>
      </c>
      <c r="C6455" s="4" t="s">
        <v>35</v>
      </c>
      <c r="D6455" s="4">
        <v>2014</v>
      </c>
      <c r="E6455" s="4">
        <v>0</v>
      </c>
      <c r="F6455" s="4" t="s">
        <v>29</v>
      </c>
    </row>
    <row r="6456" spans="1:6" x14ac:dyDescent="0.25">
      <c r="A6456" s="4" t="s">
        <v>83</v>
      </c>
      <c r="B6456" s="4" t="s">
        <v>6</v>
      </c>
      <c r="C6456" s="4" t="s">
        <v>35</v>
      </c>
      <c r="D6456" s="4">
        <v>2015</v>
      </c>
      <c r="E6456" s="4">
        <v>0</v>
      </c>
      <c r="F6456" s="4" t="s">
        <v>29</v>
      </c>
    </row>
    <row r="6457" spans="1:6" x14ac:dyDescent="0.25">
      <c r="A6457" s="4" t="s">
        <v>83</v>
      </c>
      <c r="B6457" s="4" t="s">
        <v>6</v>
      </c>
      <c r="C6457" s="4" t="s">
        <v>35</v>
      </c>
      <c r="D6457" s="4">
        <v>2016</v>
      </c>
      <c r="E6457" s="4">
        <v>0</v>
      </c>
      <c r="F6457" s="4" t="s">
        <v>29</v>
      </c>
    </row>
    <row r="6458" spans="1:6" x14ac:dyDescent="0.25">
      <c r="A6458" s="4" t="s">
        <v>83</v>
      </c>
      <c r="B6458" s="4" t="s">
        <v>6</v>
      </c>
      <c r="C6458" s="4" t="s">
        <v>35</v>
      </c>
      <c r="D6458" s="4">
        <v>2017</v>
      </c>
      <c r="E6458" s="4">
        <v>0</v>
      </c>
      <c r="F6458" s="4" t="s">
        <v>29</v>
      </c>
    </row>
    <row r="6459" spans="1:6" x14ac:dyDescent="0.25">
      <c r="A6459" s="4" t="s">
        <v>83</v>
      </c>
      <c r="B6459" s="4" t="s">
        <v>6</v>
      </c>
      <c r="C6459" s="4" t="s">
        <v>35</v>
      </c>
      <c r="D6459" s="4">
        <v>2018</v>
      </c>
      <c r="E6459" s="4">
        <v>0</v>
      </c>
      <c r="F6459" s="4" t="s">
        <v>29</v>
      </c>
    </row>
    <row r="6460" spans="1:6" x14ac:dyDescent="0.25">
      <c r="A6460" s="4" t="s">
        <v>83</v>
      </c>
      <c r="B6460" s="4" t="s">
        <v>6</v>
      </c>
      <c r="C6460" s="4" t="s">
        <v>35</v>
      </c>
      <c r="D6460" s="4">
        <v>2019</v>
      </c>
      <c r="E6460" s="4">
        <v>0</v>
      </c>
      <c r="F6460" s="4" t="s">
        <v>29</v>
      </c>
    </row>
    <row r="6461" spans="1:6" x14ac:dyDescent="0.25">
      <c r="A6461" s="4" t="s">
        <v>83</v>
      </c>
      <c r="B6461" s="4" t="s">
        <v>6</v>
      </c>
      <c r="C6461" s="4" t="s">
        <v>35</v>
      </c>
      <c r="D6461" s="4">
        <v>2020</v>
      </c>
      <c r="E6461" s="4">
        <v>0</v>
      </c>
      <c r="F6461" s="4" t="s">
        <v>29</v>
      </c>
    </row>
    <row r="6462" spans="1:6" x14ac:dyDescent="0.25">
      <c r="A6462" s="4" t="s">
        <v>83</v>
      </c>
      <c r="B6462" s="4" t="s">
        <v>6</v>
      </c>
      <c r="C6462" s="4" t="s">
        <v>35</v>
      </c>
      <c r="D6462" s="4">
        <v>2021</v>
      </c>
      <c r="E6462" s="4">
        <v>0</v>
      </c>
      <c r="F6462" s="4" t="s">
        <v>29</v>
      </c>
    </row>
    <row r="6463" spans="1:6" x14ac:dyDescent="0.25">
      <c r="A6463" s="4" t="s">
        <v>83</v>
      </c>
      <c r="B6463" s="4" t="s">
        <v>6</v>
      </c>
      <c r="C6463" s="4" t="s">
        <v>35</v>
      </c>
      <c r="D6463" s="4">
        <v>2022</v>
      </c>
      <c r="E6463" s="4">
        <v>0</v>
      </c>
      <c r="F6463" s="4" t="s">
        <v>29</v>
      </c>
    </row>
    <row r="6464" spans="1:6" x14ac:dyDescent="0.25">
      <c r="A6464" s="4" t="s">
        <v>83</v>
      </c>
      <c r="B6464" s="4" t="s">
        <v>6</v>
      </c>
      <c r="C6464" s="4" t="s">
        <v>35</v>
      </c>
      <c r="D6464" s="4">
        <v>2023</v>
      </c>
      <c r="E6464" s="4">
        <v>0</v>
      </c>
      <c r="F6464" s="4" t="s">
        <v>29</v>
      </c>
    </row>
    <row r="6465" spans="1:6" x14ac:dyDescent="0.25">
      <c r="A6465" s="4" t="s">
        <v>83</v>
      </c>
      <c r="B6465" s="4" t="s">
        <v>6</v>
      </c>
      <c r="C6465" s="4" t="s">
        <v>35</v>
      </c>
      <c r="D6465" s="4">
        <v>2024</v>
      </c>
      <c r="E6465" s="4">
        <v>0</v>
      </c>
      <c r="F6465" s="4" t="s">
        <v>29</v>
      </c>
    </row>
    <row r="6466" spans="1:6" x14ac:dyDescent="0.25">
      <c r="A6466" s="4" t="s">
        <v>83</v>
      </c>
      <c r="B6466" s="4" t="s">
        <v>6</v>
      </c>
      <c r="C6466" s="4" t="s">
        <v>35</v>
      </c>
      <c r="D6466" s="4">
        <v>2025</v>
      </c>
      <c r="E6466" s="4">
        <v>0</v>
      </c>
      <c r="F6466" s="4" t="s">
        <v>29</v>
      </c>
    </row>
    <row r="6467" spans="1:6" x14ac:dyDescent="0.25">
      <c r="A6467" s="4" t="s">
        <v>83</v>
      </c>
      <c r="B6467" s="4" t="s">
        <v>6</v>
      </c>
      <c r="C6467" s="4" t="s">
        <v>35</v>
      </c>
      <c r="D6467" s="4">
        <v>2026</v>
      </c>
      <c r="E6467" s="4">
        <v>0</v>
      </c>
      <c r="F6467" s="4" t="s">
        <v>29</v>
      </c>
    </row>
    <row r="6468" spans="1:6" x14ac:dyDescent="0.25">
      <c r="A6468" s="4" t="s">
        <v>83</v>
      </c>
      <c r="B6468" s="4" t="s">
        <v>6</v>
      </c>
      <c r="C6468" s="4" t="s">
        <v>35</v>
      </c>
      <c r="D6468" s="4">
        <v>2027</v>
      </c>
      <c r="E6468" s="4">
        <v>0</v>
      </c>
      <c r="F6468" s="4" t="s">
        <v>29</v>
      </c>
    </row>
    <row r="6469" spans="1:6" x14ac:dyDescent="0.25">
      <c r="A6469" s="4" t="s">
        <v>83</v>
      </c>
      <c r="B6469" s="4" t="s">
        <v>6</v>
      </c>
      <c r="C6469" s="4" t="s">
        <v>35</v>
      </c>
      <c r="D6469" s="4">
        <v>2028</v>
      </c>
      <c r="E6469" s="4">
        <v>0</v>
      </c>
      <c r="F6469" s="4" t="s">
        <v>29</v>
      </c>
    </row>
    <row r="6470" spans="1:6" x14ac:dyDescent="0.25">
      <c r="A6470" s="4" t="s">
        <v>83</v>
      </c>
      <c r="B6470" s="4" t="s">
        <v>6</v>
      </c>
      <c r="C6470" s="4" t="s">
        <v>35</v>
      </c>
      <c r="D6470" s="4">
        <v>2029</v>
      </c>
      <c r="E6470" s="4">
        <v>0</v>
      </c>
      <c r="F6470" s="4" t="s">
        <v>29</v>
      </c>
    </row>
    <row r="6471" spans="1:6" x14ac:dyDescent="0.25">
      <c r="A6471" s="4" t="s">
        <v>83</v>
      </c>
      <c r="B6471" s="4" t="s">
        <v>6</v>
      </c>
      <c r="C6471" s="4" t="s">
        <v>35</v>
      </c>
      <c r="D6471" s="4">
        <v>2030</v>
      </c>
      <c r="E6471" s="4">
        <v>0</v>
      </c>
      <c r="F6471" s="4" t="s">
        <v>29</v>
      </c>
    </row>
    <row r="6472" spans="1:6" x14ac:dyDescent="0.25">
      <c r="A6472" s="4" t="s">
        <v>83</v>
      </c>
      <c r="B6472" s="4" t="s">
        <v>6</v>
      </c>
      <c r="C6472" s="4" t="s">
        <v>35</v>
      </c>
      <c r="D6472" s="4">
        <v>2031</v>
      </c>
      <c r="E6472" s="4">
        <v>0</v>
      </c>
      <c r="F6472" s="4" t="s">
        <v>29</v>
      </c>
    </row>
    <row r="6473" spans="1:6" x14ac:dyDescent="0.25">
      <c r="A6473" s="4" t="s">
        <v>83</v>
      </c>
      <c r="B6473" s="4" t="s">
        <v>6</v>
      </c>
      <c r="C6473" s="4" t="s">
        <v>35</v>
      </c>
      <c r="D6473" s="4">
        <v>2032</v>
      </c>
      <c r="E6473" s="4">
        <v>0</v>
      </c>
      <c r="F6473" s="4" t="s">
        <v>29</v>
      </c>
    </row>
    <row r="6474" spans="1:6" x14ac:dyDescent="0.25">
      <c r="A6474" s="4" t="s">
        <v>83</v>
      </c>
      <c r="B6474" s="4" t="s">
        <v>6</v>
      </c>
      <c r="C6474" s="4" t="s">
        <v>35</v>
      </c>
      <c r="D6474" s="4">
        <v>2033</v>
      </c>
      <c r="E6474" s="4">
        <v>0</v>
      </c>
      <c r="F6474" s="4" t="s">
        <v>29</v>
      </c>
    </row>
    <row r="6475" spans="1:6" x14ac:dyDescent="0.25">
      <c r="A6475" s="4" t="s">
        <v>83</v>
      </c>
      <c r="B6475" s="4" t="s">
        <v>6</v>
      </c>
      <c r="C6475" s="4" t="s">
        <v>35</v>
      </c>
      <c r="D6475" s="4">
        <v>2034</v>
      </c>
      <c r="E6475" s="4">
        <v>0</v>
      </c>
      <c r="F6475" s="4" t="s">
        <v>29</v>
      </c>
    </row>
    <row r="6476" spans="1:6" x14ac:dyDescent="0.25">
      <c r="A6476" s="4" t="s">
        <v>83</v>
      </c>
      <c r="B6476" s="4" t="s">
        <v>6</v>
      </c>
      <c r="C6476" s="4" t="s">
        <v>35</v>
      </c>
      <c r="D6476" s="4">
        <v>2035</v>
      </c>
      <c r="E6476" s="4">
        <v>0</v>
      </c>
      <c r="F6476" s="4" t="s">
        <v>29</v>
      </c>
    </row>
    <row r="6477" spans="1:6" x14ac:dyDescent="0.25">
      <c r="A6477" s="4" t="s">
        <v>83</v>
      </c>
      <c r="B6477" s="4" t="s">
        <v>6</v>
      </c>
      <c r="C6477" s="4" t="s">
        <v>35</v>
      </c>
      <c r="D6477" s="4">
        <v>2036</v>
      </c>
      <c r="E6477" s="4">
        <v>0</v>
      </c>
      <c r="F6477" s="4" t="s">
        <v>29</v>
      </c>
    </row>
    <row r="6478" spans="1:6" x14ac:dyDescent="0.25">
      <c r="A6478" s="4" t="s">
        <v>83</v>
      </c>
      <c r="B6478" s="4" t="s">
        <v>6</v>
      </c>
      <c r="C6478" s="4" t="s">
        <v>35</v>
      </c>
      <c r="D6478" s="4">
        <v>2037</v>
      </c>
      <c r="E6478" s="4">
        <v>0</v>
      </c>
      <c r="F6478" s="4" t="s">
        <v>29</v>
      </c>
    </row>
    <row r="6479" spans="1:6" x14ac:dyDescent="0.25">
      <c r="A6479" s="4" t="s">
        <v>83</v>
      </c>
      <c r="B6479" s="4" t="s">
        <v>6</v>
      </c>
      <c r="C6479" s="4" t="s">
        <v>35</v>
      </c>
      <c r="D6479" s="4">
        <v>2038</v>
      </c>
      <c r="E6479" s="4">
        <v>0</v>
      </c>
      <c r="F6479" s="4" t="s">
        <v>29</v>
      </c>
    </row>
    <row r="6480" spans="1:6" x14ac:dyDescent="0.25">
      <c r="A6480" s="4" t="s">
        <v>83</v>
      </c>
      <c r="B6480" s="4" t="s">
        <v>6</v>
      </c>
      <c r="C6480" s="4" t="s">
        <v>35</v>
      </c>
      <c r="D6480" s="4">
        <v>2039</v>
      </c>
      <c r="E6480" s="4">
        <v>0</v>
      </c>
      <c r="F6480" s="4" t="s">
        <v>29</v>
      </c>
    </row>
    <row r="6481" spans="1:6" x14ac:dyDescent="0.25">
      <c r="A6481" s="4" t="s">
        <v>83</v>
      </c>
      <c r="B6481" s="4" t="s">
        <v>6</v>
      </c>
      <c r="C6481" s="4" t="s">
        <v>35</v>
      </c>
      <c r="D6481" s="4">
        <v>2040</v>
      </c>
      <c r="E6481" s="4">
        <v>0</v>
      </c>
      <c r="F6481" s="4" t="s">
        <v>29</v>
      </c>
    </row>
    <row r="6482" spans="1:6" x14ac:dyDescent="0.25">
      <c r="A6482" s="4" t="s">
        <v>83</v>
      </c>
      <c r="B6482" s="4" t="s">
        <v>23</v>
      </c>
      <c r="C6482" s="4" t="s">
        <v>35</v>
      </c>
      <c r="D6482" s="4">
        <v>2005</v>
      </c>
      <c r="E6482" s="4">
        <v>0</v>
      </c>
      <c r="F6482" s="4" t="s">
        <v>29</v>
      </c>
    </row>
    <row r="6483" spans="1:6" x14ac:dyDescent="0.25">
      <c r="A6483" s="4" t="s">
        <v>83</v>
      </c>
      <c r="B6483" s="4" t="s">
        <v>23</v>
      </c>
      <c r="C6483" s="4" t="s">
        <v>35</v>
      </c>
      <c r="D6483" s="4">
        <v>2006</v>
      </c>
      <c r="E6483" s="4">
        <v>0</v>
      </c>
      <c r="F6483" s="4" t="s">
        <v>29</v>
      </c>
    </row>
    <row r="6484" spans="1:6" x14ac:dyDescent="0.25">
      <c r="A6484" s="4" t="s">
        <v>83</v>
      </c>
      <c r="B6484" s="4" t="s">
        <v>23</v>
      </c>
      <c r="C6484" s="4" t="s">
        <v>35</v>
      </c>
      <c r="D6484" s="4">
        <v>2007</v>
      </c>
      <c r="E6484" s="4">
        <v>0</v>
      </c>
      <c r="F6484" s="4" t="s">
        <v>29</v>
      </c>
    </row>
    <row r="6485" spans="1:6" x14ac:dyDescent="0.25">
      <c r="A6485" s="4" t="s">
        <v>83</v>
      </c>
      <c r="B6485" s="4" t="s">
        <v>23</v>
      </c>
      <c r="C6485" s="4" t="s">
        <v>35</v>
      </c>
      <c r="D6485" s="4">
        <v>2008</v>
      </c>
      <c r="E6485" s="4">
        <v>0</v>
      </c>
      <c r="F6485" s="4" t="s">
        <v>29</v>
      </c>
    </row>
    <row r="6486" spans="1:6" x14ac:dyDescent="0.25">
      <c r="A6486" s="4" t="s">
        <v>83</v>
      </c>
      <c r="B6486" s="4" t="s">
        <v>23</v>
      </c>
      <c r="C6486" s="4" t="s">
        <v>35</v>
      </c>
      <c r="D6486" s="4">
        <v>2009</v>
      </c>
      <c r="E6486" s="4">
        <v>0</v>
      </c>
      <c r="F6486" s="4" t="s">
        <v>29</v>
      </c>
    </row>
    <row r="6487" spans="1:6" x14ac:dyDescent="0.25">
      <c r="A6487" s="4" t="s">
        <v>83</v>
      </c>
      <c r="B6487" s="4" t="s">
        <v>23</v>
      </c>
      <c r="C6487" s="4" t="s">
        <v>35</v>
      </c>
      <c r="D6487" s="4">
        <v>2010</v>
      </c>
      <c r="E6487" s="4">
        <v>0</v>
      </c>
      <c r="F6487" s="4" t="s">
        <v>29</v>
      </c>
    </row>
    <row r="6488" spans="1:6" x14ac:dyDescent="0.25">
      <c r="A6488" s="4" t="s">
        <v>83</v>
      </c>
      <c r="B6488" s="4" t="s">
        <v>23</v>
      </c>
      <c r="C6488" s="4" t="s">
        <v>35</v>
      </c>
      <c r="D6488" s="4">
        <v>2011</v>
      </c>
      <c r="E6488" s="4">
        <v>0</v>
      </c>
      <c r="F6488" s="4" t="s">
        <v>29</v>
      </c>
    </row>
    <row r="6489" spans="1:6" x14ac:dyDescent="0.25">
      <c r="A6489" s="4" t="s">
        <v>83</v>
      </c>
      <c r="B6489" s="4" t="s">
        <v>23</v>
      </c>
      <c r="C6489" s="4" t="s">
        <v>35</v>
      </c>
      <c r="D6489" s="4">
        <v>2012</v>
      </c>
      <c r="E6489" s="4">
        <v>0</v>
      </c>
      <c r="F6489" s="4" t="s">
        <v>29</v>
      </c>
    </row>
    <row r="6490" spans="1:6" x14ac:dyDescent="0.25">
      <c r="A6490" s="4" t="s">
        <v>83</v>
      </c>
      <c r="B6490" s="4" t="s">
        <v>23</v>
      </c>
      <c r="C6490" s="4" t="s">
        <v>35</v>
      </c>
      <c r="D6490" s="4">
        <v>2013</v>
      </c>
      <c r="E6490" s="4">
        <v>0</v>
      </c>
      <c r="F6490" s="4" t="s">
        <v>29</v>
      </c>
    </row>
    <row r="6491" spans="1:6" x14ac:dyDescent="0.25">
      <c r="A6491" s="4" t="s">
        <v>83</v>
      </c>
      <c r="B6491" s="4" t="s">
        <v>23</v>
      </c>
      <c r="C6491" s="4" t="s">
        <v>35</v>
      </c>
      <c r="D6491" s="4">
        <v>2014</v>
      </c>
      <c r="E6491" s="4">
        <v>0</v>
      </c>
      <c r="F6491" s="4" t="s">
        <v>29</v>
      </c>
    </row>
    <row r="6492" spans="1:6" x14ac:dyDescent="0.25">
      <c r="A6492" s="4" t="s">
        <v>83</v>
      </c>
      <c r="B6492" s="4" t="s">
        <v>23</v>
      </c>
      <c r="C6492" s="4" t="s">
        <v>35</v>
      </c>
      <c r="D6492" s="4">
        <v>2015</v>
      </c>
      <c r="E6492" s="4">
        <v>0</v>
      </c>
      <c r="F6492" s="4" t="s">
        <v>29</v>
      </c>
    </row>
    <row r="6493" spans="1:6" x14ac:dyDescent="0.25">
      <c r="A6493" s="4" t="s">
        <v>83</v>
      </c>
      <c r="B6493" s="4" t="s">
        <v>23</v>
      </c>
      <c r="C6493" s="4" t="s">
        <v>35</v>
      </c>
      <c r="D6493" s="4">
        <v>2016</v>
      </c>
      <c r="E6493" s="4">
        <v>0</v>
      </c>
      <c r="F6493" s="4" t="s">
        <v>29</v>
      </c>
    </row>
    <row r="6494" spans="1:6" x14ac:dyDescent="0.25">
      <c r="A6494" s="4" t="s">
        <v>83</v>
      </c>
      <c r="B6494" s="4" t="s">
        <v>23</v>
      </c>
      <c r="C6494" s="4" t="s">
        <v>35</v>
      </c>
      <c r="D6494" s="4">
        <v>2017</v>
      </c>
      <c r="E6494" s="4">
        <v>0</v>
      </c>
      <c r="F6494" s="4" t="s">
        <v>29</v>
      </c>
    </row>
    <row r="6495" spans="1:6" x14ac:dyDescent="0.25">
      <c r="A6495" s="4" t="s">
        <v>83</v>
      </c>
      <c r="B6495" s="4" t="s">
        <v>23</v>
      </c>
      <c r="C6495" s="4" t="s">
        <v>35</v>
      </c>
      <c r="D6495" s="4">
        <v>2018</v>
      </c>
      <c r="E6495" s="4">
        <v>0</v>
      </c>
      <c r="F6495" s="4" t="s">
        <v>29</v>
      </c>
    </row>
    <row r="6496" spans="1:6" x14ac:dyDescent="0.25">
      <c r="A6496" s="4" t="s">
        <v>83</v>
      </c>
      <c r="B6496" s="4" t="s">
        <v>23</v>
      </c>
      <c r="C6496" s="4" t="s">
        <v>35</v>
      </c>
      <c r="D6496" s="4">
        <v>2019</v>
      </c>
      <c r="E6496" s="4">
        <v>0</v>
      </c>
      <c r="F6496" s="4" t="s">
        <v>29</v>
      </c>
    </row>
    <row r="6497" spans="1:6" x14ac:dyDescent="0.25">
      <c r="A6497" s="4" t="s">
        <v>83</v>
      </c>
      <c r="B6497" s="4" t="s">
        <v>23</v>
      </c>
      <c r="C6497" s="4" t="s">
        <v>35</v>
      </c>
      <c r="D6497" s="4">
        <v>2020</v>
      </c>
      <c r="E6497" s="4">
        <v>0</v>
      </c>
      <c r="F6497" s="4" t="s">
        <v>29</v>
      </c>
    </row>
    <row r="6498" spans="1:6" x14ac:dyDescent="0.25">
      <c r="A6498" s="4" t="s">
        <v>83</v>
      </c>
      <c r="B6498" s="4" t="s">
        <v>23</v>
      </c>
      <c r="C6498" s="4" t="s">
        <v>35</v>
      </c>
      <c r="D6498" s="4">
        <v>2021</v>
      </c>
      <c r="E6498" s="4">
        <v>0</v>
      </c>
      <c r="F6498" s="4" t="s">
        <v>29</v>
      </c>
    </row>
    <row r="6499" spans="1:6" x14ac:dyDescent="0.25">
      <c r="A6499" s="4" t="s">
        <v>83</v>
      </c>
      <c r="B6499" s="4" t="s">
        <v>23</v>
      </c>
      <c r="C6499" s="4" t="s">
        <v>35</v>
      </c>
      <c r="D6499" s="4">
        <v>2022</v>
      </c>
      <c r="E6499" s="4">
        <v>0</v>
      </c>
      <c r="F6499" s="4" t="s">
        <v>29</v>
      </c>
    </row>
    <row r="6500" spans="1:6" x14ac:dyDescent="0.25">
      <c r="A6500" s="4" t="s">
        <v>83</v>
      </c>
      <c r="B6500" s="4" t="s">
        <v>23</v>
      </c>
      <c r="C6500" s="4" t="s">
        <v>35</v>
      </c>
      <c r="D6500" s="4">
        <v>2023</v>
      </c>
      <c r="E6500" s="4">
        <v>0</v>
      </c>
      <c r="F6500" s="4" t="s">
        <v>29</v>
      </c>
    </row>
    <row r="6501" spans="1:6" x14ac:dyDescent="0.25">
      <c r="A6501" s="4" t="s">
        <v>83</v>
      </c>
      <c r="B6501" s="4" t="s">
        <v>23</v>
      </c>
      <c r="C6501" s="4" t="s">
        <v>35</v>
      </c>
      <c r="D6501" s="4">
        <v>2024</v>
      </c>
      <c r="E6501" s="4">
        <v>0</v>
      </c>
      <c r="F6501" s="4" t="s">
        <v>29</v>
      </c>
    </row>
    <row r="6502" spans="1:6" x14ac:dyDescent="0.25">
      <c r="A6502" s="4" t="s">
        <v>83</v>
      </c>
      <c r="B6502" s="4" t="s">
        <v>23</v>
      </c>
      <c r="C6502" s="4" t="s">
        <v>35</v>
      </c>
      <c r="D6502" s="4">
        <v>2025</v>
      </c>
      <c r="E6502" s="4">
        <v>0</v>
      </c>
      <c r="F6502" s="4" t="s">
        <v>29</v>
      </c>
    </row>
    <row r="6503" spans="1:6" x14ac:dyDescent="0.25">
      <c r="A6503" s="4" t="s">
        <v>83</v>
      </c>
      <c r="B6503" s="4" t="s">
        <v>23</v>
      </c>
      <c r="C6503" s="4" t="s">
        <v>35</v>
      </c>
      <c r="D6503" s="4">
        <v>2026</v>
      </c>
      <c r="E6503" s="4">
        <v>0</v>
      </c>
      <c r="F6503" s="4" t="s">
        <v>29</v>
      </c>
    </row>
    <row r="6504" spans="1:6" x14ac:dyDescent="0.25">
      <c r="A6504" s="4" t="s">
        <v>83</v>
      </c>
      <c r="B6504" s="4" t="s">
        <v>23</v>
      </c>
      <c r="C6504" s="4" t="s">
        <v>35</v>
      </c>
      <c r="D6504" s="4">
        <v>2027</v>
      </c>
      <c r="E6504" s="4">
        <v>0</v>
      </c>
      <c r="F6504" s="4" t="s">
        <v>29</v>
      </c>
    </row>
    <row r="6505" spans="1:6" x14ac:dyDescent="0.25">
      <c r="A6505" s="4" t="s">
        <v>83</v>
      </c>
      <c r="B6505" s="4" t="s">
        <v>23</v>
      </c>
      <c r="C6505" s="4" t="s">
        <v>35</v>
      </c>
      <c r="D6505" s="4">
        <v>2028</v>
      </c>
      <c r="E6505" s="4">
        <v>0</v>
      </c>
      <c r="F6505" s="4" t="s">
        <v>29</v>
      </c>
    </row>
    <row r="6506" spans="1:6" x14ac:dyDescent="0.25">
      <c r="A6506" s="4" t="s">
        <v>83</v>
      </c>
      <c r="B6506" s="4" t="s">
        <v>23</v>
      </c>
      <c r="C6506" s="4" t="s">
        <v>35</v>
      </c>
      <c r="D6506" s="4">
        <v>2029</v>
      </c>
      <c r="E6506" s="4">
        <v>0</v>
      </c>
      <c r="F6506" s="4" t="s">
        <v>29</v>
      </c>
    </row>
    <row r="6507" spans="1:6" x14ac:dyDescent="0.25">
      <c r="A6507" s="4" t="s">
        <v>83</v>
      </c>
      <c r="B6507" s="4" t="s">
        <v>23</v>
      </c>
      <c r="C6507" s="4" t="s">
        <v>35</v>
      </c>
      <c r="D6507" s="4">
        <v>2030</v>
      </c>
      <c r="E6507" s="4">
        <v>0</v>
      </c>
      <c r="F6507" s="4" t="s">
        <v>29</v>
      </c>
    </row>
    <row r="6508" spans="1:6" x14ac:dyDescent="0.25">
      <c r="A6508" s="4" t="s">
        <v>83</v>
      </c>
      <c r="B6508" s="4" t="s">
        <v>23</v>
      </c>
      <c r="C6508" s="4" t="s">
        <v>35</v>
      </c>
      <c r="D6508" s="4">
        <v>2031</v>
      </c>
      <c r="E6508" s="4">
        <v>0</v>
      </c>
      <c r="F6508" s="4" t="s">
        <v>29</v>
      </c>
    </row>
    <row r="6509" spans="1:6" x14ac:dyDescent="0.25">
      <c r="A6509" s="4" t="s">
        <v>83</v>
      </c>
      <c r="B6509" s="4" t="s">
        <v>23</v>
      </c>
      <c r="C6509" s="4" t="s">
        <v>35</v>
      </c>
      <c r="D6509" s="4">
        <v>2032</v>
      </c>
      <c r="E6509" s="4">
        <v>0</v>
      </c>
      <c r="F6509" s="4" t="s">
        <v>29</v>
      </c>
    </row>
    <row r="6510" spans="1:6" x14ac:dyDescent="0.25">
      <c r="A6510" s="4" t="s">
        <v>83</v>
      </c>
      <c r="B6510" s="4" t="s">
        <v>23</v>
      </c>
      <c r="C6510" s="4" t="s">
        <v>35</v>
      </c>
      <c r="D6510" s="4">
        <v>2033</v>
      </c>
      <c r="E6510" s="4">
        <v>0</v>
      </c>
      <c r="F6510" s="4" t="s">
        <v>29</v>
      </c>
    </row>
    <row r="6511" spans="1:6" x14ac:dyDescent="0.25">
      <c r="A6511" s="4" t="s">
        <v>83</v>
      </c>
      <c r="B6511" s="4" t="s">
        <v>23</v>
      </c>
      <c r="C6511" s="4" t="s">
        <v>35</v>
      </c>
      <c r="D6511" s="4">
        <v>2034</v>
      </c>
      <c r="E6511" s="4">
        <v>0</v>
      </c>
      <c r="F6511" s="4" t="s">
        <v>29</v>
      </c>
    </row>
    <row r="6512" spans="1:6" x14ac:dyDescent="0.25">
      <c r="A6512" s="4" t="s">
        <v>83</v>
      </c>
      <c r="B6512" s="4" t="s">
        <v>23</v>
      </c>
      <c r="C6512" s="4" t="s">
        <v>35</v>
      </c>
      <c r="D6512" s="4">
        <v>2035</v>
      </c>
      <c r="E6512" s="4">
        <v>0</v>
      </c>
      <c r="F6512" s="4" t="s">
        <v>29</v>
      </c>
    </row>
    <row r="6513" spans="1:6" x14ac:dyDescent="0.25">
      <c r="A6513" s="4" t="s">
        <v>83</v>
      </c>
      <c r="B6513" s="4" t="s">
        <v>23</v>
      </c>
      <c r="C6513" s="4" t="s">
        <v>35</v>
      </c>
      <c r="D6513" s="4">
        <v>2036</v>
      </c>
      <c r="E6513" s="4">
        <v>0</v>
      </c>
      <c r="F6513" s="4" t="s">
        <v>29</v>
      </c>
    </row>
    <row r="6514" spans="1:6" x14ac:dyDescent="0.25">
      <c r="A6514" s="4" t="s">
        <v>83</v>
      </c>
      <c r="B6514" s="4" t="s">
        <v>23</v>
      </c>
      <c r="C6514" s="4" t="s">
        <v>35</v>
      </c>
      <c r="D6514" s="4">
        <v>2037</v>
      </c>
      <c r="E6514" s="4">
        <v>0</v>
      </c>
      <c r="F6514" s="4" t="s">
        <v>29</v>
      </c>
    </row>
    <row r="6515" spans="1:6" x14ac:dyDescent="0.25">
      <c r="A6515" s="4" t="s">
        <v>83</v>
      </c>
      <c r="B6515" s="4" t="s">
        <v>23</v>
      </c>
      <c r="C6515" s="4" t="s">
        <v>35</v>
      </c>
      <c r="D6515" s="4">
        <v>2038</v>
      </c>
      <c r="E6515" s="4">
        <v>0</v>
      </c>
      <c r="F6515" s="4" t="s">
        <v>29</v>
      </c>
    </row>
    <row r="6516" spans="1:6" x14ac:dyDescent="0.25">
      <c r="A6516" s="4" t="s">
        <v>83</v>
      </c>
      <c r="B6516" s="4" t="s">
        <v>23</v>
      </c>
      <c r="C6516" s="4" t="s">
        <v>35</v>
      </c>
      <c r="D6516" s="4">
        <v>2039</v>
      </c>
      <c r="E6516" s="4">
        <v>0</v>
      </c>
      <c r="F6516" s="4" t="s">
        <v>29</v>
      </c>
    </row>
    <row r="6517" spans="1:6" x14ac:dyDescent="0.25">
      <c r="A6517" s="4" t="s">
        <v>83</v>
      </c>
      <c r="B6517" s="4" t="s">
        <v>23</v>
      </c>
      <c r="C6517" s="4" t="s">
        <v>35</v>
      </c>
      <c r="D6517" s="4">
        <v>2040</v>
      </c>
      <c r="E6517" s="4">
        <v>0</v>
      </c>
      <c r="F6517" s="4" t="s">
        <v>29</v>
      </c>
    </row>
    <row r="6518" spans="1:6" x14ac:dyDescent="0.25">
      <c r="A6518" s="4" t="s">
        <v>84</v>
      </c>
      <c r="B6518" s="4" t="s">
        <v>1</v>
      </c>
      <c r="C6518" s="4" t="s">
        <v>35</v>
      </c>
      <c r="D6518" s="4">
        <v>2005</v>
      </c>
      <c r="E6518" s="4">
        <v>0</v>
      </c>
      <c r="F6518" s="4" t="s">
        <v>29</v>
      </c>
    </row>
    <row r="6519" spans="1:6" x14ac:dyDescent="0.25">
      <c r="A6519" s="4" t="s">
        <v>84</v>
      </c>
      <c r="B6519" s="4" t="s">
        <v>1</v>
      </c>
      <c r="C6519" s="4" t="s">
        <v>35</v>
      </c>
      <c r="D6519" s="4">
        <v>2006</v>
      </c>
      <c r="E6519" s="4">
        <v>0</v>
      </c>
      <c r="F6519" s="4" t="s">
        <v>29</v>
      </c>
    </row>
    <row r="6520" spans="1:6" x14ac:dyDescent="0.25">
      <c r="A6520" s="4" t="s">
        <v>84</v>
      </c>
      <c r="B6520" s="4" t="s">
        <v>1</v>
      </c>
      <c r="C6520" s="4" t="s">
        <v>35</v>
      </c>
      <c r="D6520" s="4">
        <v>2007</v>
      </c>
      <c r="E6520" s="4">
        <v>0</v>
      </c>
      <c r="F6520" s="4" t="s">
        <v>29</v>
      </c>
    </row>
    <row r="6521" spans="1:6" x14ac:dyDescent="0.25">
      <c r="A6521" s="4" t="s">
        <v>84</v>
      </c>
      <c r="B6521" s="4" t="s">
        <v>1</v>
      </c>
      <c r="C6521" s="4" t="s">
        <v>35</v>
      </c>
      <c r="D6521" s="4">
        <v>2008</v>
      </c>
      <c r="E6521" s="4">
        <v>0</v>
      </c>
      <c r="F6521" s="4" t="s">
        <v>29</v>
      </c>
    </row>
    <row r="6522" spans="1:6" x14ac:dyDescent="0.25">
      <c r="A6522" s="4" t="s">
        <v>84</v>
      </c>
      <c r="B6522" s="4" t="s">
        <v>1</v>
      </c>
      <c r="C6522" s="4" t="s">
        <v>35</v>
      </c>
      <c r="D6522" s="4">
        <v>2009</v>
      </c>
      <c r="E6522" s="4">
        <v>0</v>
      </c>
      <c r="F6522" s="4" t="s">
        <v>29</v>
      </c>
    </row>
    <row r="6523" spans="1:6" x14ac:dyDescent="0.25">
      <c r="A6523" s="4" t="s">
        <v>84</v>
      </c>
      <c r="B6523" s="4" t="s">
        <v>1</v>
      </c>
      <c r="C6523" s="4" t="s">
        <v>35</v>
      </c>
      <c r="D6523" s="4">
        <v>2010</v>
      </c>
      <c r="E6523" s="4">
        <v>0</v>
      </c>
      <c r="F6523" s="4" t="s">
        <v>29</v>
      </c>
    </row>
    <row r="6524" spans="1:6" x14ac:dyDescent="0.25">
      <c r="A6524" s="4" t="s">
        <v>84</v>
      </c>
      <c r="B6524" s="4" t="s">
        <v>1</v>
      </c>
      <c r="C6524" s="4" t="s">
        <v>35</v>
      </c>
      <c r="D6524" s="4">
        <v>2011</v>
      </c>
      <c r="E6524" s="4">
        <v>0</v>
      </c>
      <c r="F6524" s="4" t="s">
        <v>29</v>
      </c>
    </row>
    <row r="6525" spans="1:6" x14ac:dyDescent="0.25">
      <c r="A6525" s="4" t="s">
        <v>84</v>
      </c>
      <c r="B6525" s="4" t="s">
        <v>1</v>
      </c>
      <c r="C6525" s="4" t="s">
        <v>35</v>
      </c>
      <c r="D6525" s="4">
        <v>2012</v>
      </c>
      <c r="E6525" s="4">
        <v>0</v>
      </c>
      <c r="F6525" s="4" t="s">
        <v>29</v>
      </c>
    </row>
    <row r="6526" spans="1:6" x14ac:dyDescent="0.25">
      <c r="A6526" s="4" t="s">
        <v>84</v>
      </c>
      <c r="B6526" s="4" t="s">
        <v>1</v>
      </c>
      <c r="C6526" s="4" t="s">
        <v>35</v>
      </c>
      <c r="D6526" s="4">
        <v>2013</v>
      </c>
      <c r="E6526" s="4">
        <v>0</v>
      </c>
      <c r="F6526" s="4" t="s">
        <v>29</v>
      </c>
    </row>
    <row r="6527" spans="1:6" x14ac:dyDescent="0.25">
      <c r="A6527" s="4" t="s">
        <v>84</v>
      </c>
      <c r="B6527" s="4" t="s">
        <v>1</v>
      </c>
      <c r="C6527" s="4" t="s">
        <v>35</v>
      </c>
      <c r="D6527" s="4">
        <v>2014</v>
      </c>
      <c r="E6527" s="4">
        <v>0</v>
      </c>
      <c r="F6527" s="4" t="s">
        <v>29</v>
      </c>
    </row>
    <row r="6528" spans="1:6" x14ac:dyDescent="0.25">
      <c r="A6528" s="4" t="s">
        <v>84</v>
      </c>
      <c r="B6528" s="4" t="s">
        <v>1</v>
      </c>
      <c r="C6528" s="4" t="s">
        <v>35</v>
      </c>
      <c r="D6528" s="4">
        <v>2015</v>
      </c>
      <c r="E6528" s="4">
        <v>0</v>
      </c>
      <c r="F6528" s="4" t="s">
        <v>29</v>
      </c>
    </row>
    <row r="6529" spans="1:6" x14ac:dyDescent="0.25">
      <c r="A6529" s="4" t="s">
        <v>84</v>
      </c>
      <c r="B6529" s="4" t="s">
        <v>1</v>
      </c>
      <c r="C6529" s="4" t="s">
        <v>35</v>
      </c>
      <c r="D6529" s="4">
        <v>2016</v>
      </c>
      <c r="E6529" s="4">
        <v>0</v>
      </c>
      <c r="F6529" s="4" t="s">
        <v>29</v>
      </c>
    </row>
    <row r="6530" spans="1:6" x14ac:dyDescent="0.25">
      <c r="A6530" s="4" t="s">
        <v>84</v>
      </c>
      <c r="B6530" s="4" t="s">
        <v>1</v>
      </c>
      <c r="C6530" s="4" t="s">
        <v>35</v>
      </c>
      <c r="D6530" s="4">
        <v>2017</v>
      </c>
      <c r="E6530" s="4">
        <v>0</v>
      </c>
      <c r="F6530" s="4" t="s">
        <v>29</v>
      </c>
    </row>
    <row r="6531" spans="1:6" x14ac:dyDescent="0.25">
      <c r="A6531" s="4" t="s">
        <v>84</v>
      </c>
      <c r="B6531" s="4" t="s">
        <v>1</v>
      </c>
      <c r="C6531" s="4" t="s">
        <v>35</v>
      </c>
      <c r="D6531" s="4">
        <v>2018</v>
      </c>
      <c r="E6531" s="4">
        <v>0</v>
      </c>
      <c r="F6531" s="4" t="s">
        <v>29</v>
      </c>
    </row>
    <row r="6532" spans="1:6" x14ac:dyDescent="0.25">
      <c r="A6532" s="4" t="s">
        <v>84</v>
      </c>
      <c r="B6532" s="4" t="s">
        <v>1</v>
      </c>
      <c r="C6532" s="4" t="s">
        <v>35</v>
      </c>
      <c r="D6532" s="4">
        <v>2019</v>
      </c>
      <c r="E6532" s="4">
        <v>0</v>
      </c>
      <c r="F6532" s="4" t="s">
        <v>29</v>
      </c>
    </row>
    <row r="6533" spans="1:6" x14ac:dyDescent="0.25">
      <c r="A6533" s="4" t="s">
        <v>84</v>
      </c>
      <c r="B6533" s="4" t="s">
        <v>1</v>
      </c>
      <c r="C6533" s="4" t="s">
        <v>35</v>
      </c>
      <c r="D6533" s="4">
        <v>2020</v>
      </c>
      <c r="E6533" s="4">
        <v>0</v>
      </c>
      <c r="F6533" s="4" t="s">
        <v>29</v>
      </c>
    </row>
    <row r="6534" spans="1:6" x14ac:dyDescent="0.25">
      <c r="A6534" s="4" t="s">
        <v>84</v>
      </c>
      <c r="B6534" s="4" t="s">
        <v>1</v>
      </c>
      <c r="C6534" s="4" t="s">
        <v>35</v>
      </c>
      <c r="D6534" s="4">
        <v>2021</v>
      </c>
      <c r="E6534" s="4">
        <v>0</v>
      </c>
      <c r="F6534" s="4" t="s">
        <v>29</v>
      </c>
    </row>
    <row r="6535" spans="1:6" x14ac:dyDescent="0.25">
      <c r="A6535" s="4" t="s">
        <v>84</v>
      </c>
      <c r="B6535" s="4" t="s">
        <v>1</v>
      </c>
      <c r="C6535" s="4" t="s">
        <v>35</v>
      </c>
      <c r="D6535" s="4">
        <v>2022</v>
      </c>
      <c r="E6535" s="4">
        <v>0</v>
      </c>
      <c r="F6535" s="4" t="s">
        <v>29</v>
      </c>
    </row>
    <row r="6536" spans="1:6" x14ac:dyDescent="0.25">
      <c r="A6536" s="4" t="s">
        <v>84</v>
      </c>
      <c r="B6536" s="4" t="s">
        <v>1</v>
      </c>
      <c r="C6536" s="4" t="s">
        <v>35</v>
      </c>
      <c r="D6536" s="4">
        <v>2023</v>
      </c>
      <c r="E6536" s="4">
        <v>0</v>
      </c>
      <c r="F6536" s="4" t="s">
        <v>29</v>
      </c>
    </row>
    <row r="6537" spans="1:6" x14ac:dyDescent="0.25">
      <c r="A6537" s="4" t="s">
        <v>84</v>
      </c>
      <c r="B6537" s="4" t="s">
        <v>1</v>
      </c>
      <c r="C6537" s="4" t="s">
        <v>35</v>
      </c>
      <c r="D6537" s="4">
        <v>2024</v>
      </c>
      <c r="E6537" s="4">
        <v>0</v>
      </c>
      <c r="F6537" s="4" t="s">
        <v>29</v>
      </c>
    </row>
    <row r="6538" spans="1:6" x14ac:dyDescent="0.25">
      <c r="A6538" s="4" t="s">
        <v>84</v>
      </c>
      <c r="B6538" s="4" t="s">
        <v>1</v>
      </c>
      <c r="C6538" s="4" t="s">
        <v>35</v>
      </c>
      <c r="D6538" s="4">
        <v>2025</v>
      </c>
      <c r="E6538" s="4">
        <v>0</v>
      </c>
      <c r="F6538" s="4" t="s">
        <v>29</v>
      </c>
    </row>
    <row r="6539" spans="1:6" x14ac:dyDescent="0.25">
      <c r="A6539" s="4" t="s">
        <v>84</v>
      </c>
      <c r="B6539" s="4" t="s">
        <v>1</v>
      </c>
      <c r="C6539" s="4" t="s">
        <v>35</v>
      </c>
      <c r="D6539" s="4">
        <v>2026</v>
      </c>
      <c r="E6539" s="4">
        <v>0</v>
      </c>
      <c r="F6539" s="4" t="s">
        <v>29</v>
      </c>
    </row>
    <row r="6540" spans="1:6" x14ac:dyDescent="0.25">
      <c r="A6540" s="4" t="s">
        <v>84</v>
      </c>
      <c r="B6540" s="4" t="s">
        <v>1</v>
      </c>
      <c r="C6540" s="4" t="s">
        <v>35</v>
      </c>
      <c r="D6540" s="4">
        <v>2027</v>
      </c>
      <c r="E6540" s="4">
        <v>0</v>
      </c>
      <c r="F6540" s="4" t="s">
        <v>29</v>
      </c>
    </row>
    <row r="6541" spans="1:6" x14ac:dyDescent="0.25">
      <c r="A6541" s="4" t="s">
        <v>84</v>
      </c>
      <c r="B6541" s="4" t="s">
        <v>1</v>
      </c>
      <c r="C6541" s="4" t="s">
        <v>35</v>
      </c>
      <c r="D6541" s="4">
        <v>2028</v>
      </c>
      <c r="E6541" s="4">
        <v>0</v>
      </c>
      <c r="F6541" s="4" t="s">
        <v>29</v>
      </c>
    </row>
    <row r="6542" spans="1:6" x14ac:dyDescent="0.25">
      <c r="A6542" s="4" t="s">
        <v>84</v>
      </c>
      <c r="B6542" s="4" t="s">
        <v>1</v>
      </c>
      <c r="C6542" s="4" t="s">
        <v>35</v>
      </c>
      <c r="D6542" s="4">
        <v>2029</v>
      </c>
      <c r="E6542" s="4">
        <v>0</v>
      </c>
      <c r="F6542" s="4" t="s">
        <v>29</v>
      </c>
    </row>
    <row r="6543" spans="1:6" x14ac:dyDescent="0.25">
      <c r="A6543" s="4" t="s">
        <v>84</v>
      </c>
      <c r="B6543" s="4" t="s">
        <v>1</v>
      </c>
      <c r="C6543" s="4" t="s">
        <v>35</v>
      </c>
      <c r="D6543" s="4">
        <v>2030</v>
      </c>
      <c r="E6543" s="4">
        <v>0</v>
      </c>
      <c r="F6543" s="4" t="s">
        <v>29</v>
      </c>
    </row>
    <row r="6544" spans="1:6" x14ac:dyDescent="0.25">
      <c r="A6544" s="4" t="s">
        <v>84</v>
      </c>
      <c r="B6544" s="4" t="s">
        <v>1</v>
      </c>
      <c r="C6544" s="4" t="s">
        <v>35</v>
      </c>
      <c r="D6544" s="4">
        <v>2031</v>
      </c>
      <c r="E6544" s="4">
        <v>0</v>
      </c>
      <c r="F6544" s="4" t="s">
        <v>29</v>
      </c>
    </row>
    <row r="6545" spans="1:6" x14ac:dyDescent="0.25">
      <c r="A6545" s="4" t="s">
        <v>84</v>
      </c>
      <c r="B6545" s="4" t="s">
        <v>1</v>
      </c>
      <c r="C6545" s="4" t="s">
        <v>35</v>
      </c>
      <c r="D6545" s="4">
        <v>2032</v>
      </c>
      <c r="E6545" s="4">
        <v>0</v>
      </c>
      <c r="F6545" s="4" t="s">
        <v>29</v>
      </c>
    </row>
    <row r="6546" spans="1:6" x14ac:dyDescent="0.25">
      <c r="A6546" s="4" t="s">
        <v>84</v>
      </c>
      <c r="B6546" s="4" t="s">
        <v>1</v>
      </c>
      <c r="C6546" s="4" t="s">
        <v>35</v>
      </c>
      <c r="D6546" s="4">
        <v>2033</v>
      </c>
      <c r="E6546" s="4">
        <v>0</v>
      </c>
      <c r="F6546" s="4" t="s">
        <v>29</v>
      </c>
    </row>
    <row r="6547" spans="1:6" x14ac:dyDescent="0.25">
      <c r="A6547" s="4" t="s">
        <v>84</v>
      </c>
      <c r="B6547" s="4" t="s">
        <v>1</v>
      </c>
      <c r="C6547" s="4" t="s">
        <v>35</v>
      </c>
      <c r="D6547" s="4">
        <v>2034</v>
      </c>
      <c r="E6547" s="4">
        <v>0</v>
      </c>
      <c r="F6547" s="4" t="s">
        <v>29</v>
      </c>
    </row>
    <row r="6548" spans="1:6" x14ac:dyDescent="0.25">
      <c r="A6548" s="4" t="s">
        <v>84</v>
      </c>
      <c r="B6548" s="4" t="s">
        <v>1</v>
      </c>
      <c r="C6548" s="4" t="s">
        <v>35</v>
      </c>
      <c r="D6548" s="4">
        <v>2035</v>
      </c>
      <c r="E6548" s="4">
        <v>0</v>
      </c>
      <c r="F6548" s="4" t="s">
        <v>29</v>
      </c>
    </row>
    <row r="6549" spans="1:6" x14ac:dyDescent="0.25">
      <c r="A6549" s="4" t="s">
        <v>84</v>
      </c>
      <c r="B6549" s="4" t="s">
        <v>1</v>
      </c>
      <c r="C6549" s="4" t="s">
        <v>35</v>
      </c>
      <c r="D6549" s="4">
        <v>2036</v>
      </c>
      <c r="E6549" s="4">
        <v>0</v>
      </c>
      <c r="F6549" s="4" t="s">
        <v>29</v>
      </c>
    </row>
    <row r="6550" spans="1:6" x14ac:dyDescent="0.25">
      <c r="A6550" s="4" t="s">
        <v>84</v>
      </c>
      <c r="B6550" s="4" t="s">
        <v>1</v>
      </c>
      <c r="C6550" s="4" t="s">
        <v>35</v>
      </c>
      <c r="D6550" s="4">
        <v>2037</v>
      </c>
      <c r="E6550" s="4">
        <v>0</v>
      </c>
      <c r="F6550" s="4" t="s">
        <v>29</v>
      </c>
    </row>
    <row r="6551" spans="1:6" x14ac:dyDescent="0.25">
      <c r="A6551" s="4" t="s">
        <v>84</v>
      </c>
      <c r="B6551" s="4" t="s">
        <v>1</v>
      </c>
      <c r="C6551" s="4" t="s">
        <v>35</v>
      </c>
      <c r="D6551" s="4">
        <v>2038</v>
      </c>
      <c r="E6551" s="4">
        <v>0</v>
      </c>
      <c r="F6551" s="4" t="s">
        <v>29</v>
      </c>
    </row>
    <row r="6552" spans="1:6" x14ac:dyDescent="0.25">
      <c r="A6552" s="4" t="s">
        <v>84</v>
      </c>
      <c r="B6552" s="4" t="s">
        <v>1</v>
      </c>
      <c r="C6552" s="4" t="s">
        <v>35</v>
      </c>
      <c r="D6552" s="4">
        <v>2039</v>
      </c>
      <c r="E6552" s="4">
        <v>0</v>
      </c>
      <c r="F6552" s="4" t="s">
        <v>29</v>
      </c>
    </row>
    <row r="6553" spans="1:6" x14ac:dyDescent="0.25">
      <c r="A6553" s="4" t="s">
        <v>84</v>
      </c>
      <c r="B6553" s="4" t="s">
        <v>1</v>
      </c>
      <c r="C6553" s="4" t="s">
        <v>35</v>
      </c>
      <c r="D6553" s="4">
        <v>2040</v>
      </c>
      <c r="E6553" s="4">
        <v>0</v>
      </c>
      <c r="F6553" s="4" t="s">
        <v>29</v>
      </c>
    </row>
    <row r="6554" spans="1:6" x14ac:dyDescent="0.25">
      <c r="A6554" s="4" t="s">
        <v>84</v>
      </c>
      <c r="B6554" s="4" t="s">
        <v>2</v>
      </c>
      <c r="C6554" s="4" t="s">
        <v>35</v>
      </c>
      <c r="D6554" s="4">
        <v>2005</v>
      </c>
      <c r="E6554" s="4">
        <v>0</v>
      </c>
      <c r="F6554" s="4" t="s">
        <v>29</v>
      </c>
    </row>
    <row r="6555" spans="1:6" x14ac:dyDescent="0.25">
      <c r="A6555" s="4" t="s">
        <v>84</v>
      </c>
      <c r="B6555" s="4" t="s">
        <v>2</v>
      </c>
      <c r="C6555" s="4" t="s">
        <v>35</v>
      </c>
      <c r="D6555" s="4">
        <v>2006</v>
      </c>
      <c r="E6555" s="4">
        <v>0</v>
      </c>
      <c r="F6555" s="4" t="s">
        <v>29</v>
      </c>
    </row>
    <row r="6556" spans="1:6" x14ac:dyDescent="0.25">
      <c r="A6556" s="4" t="s">
        <v>84</v>
      </c>
      <c r="B6556" s="4" t="s">
        <v>2</v>
      </c>
      <c r="C6556" s="4" t="s">
        <v>35</v>
      </c>
      <c r="D6556" s="4">
        <v>2007</v>
      </c>
      <c r="E6556" s="4">
        <v>0</v>
      </c>
      <c r="F6556" s="4" t="s">
        <v>29</v>
      </c>
    </row>
    <row r="6557" spans="1:6" x14ac:dyDescent="0.25">
      <c r="A6557" s="4" t="s">
        <v>84</v>
      </c>
      <c r="B6557" s="4" t="s">
        <v>2</v>
      </c>
      <c r="C6557" s="4" t="s">
        <v>35</v>
      </c>
      <c r="D6557" s="4">
        <v>2008</v>
      </c>
      <c r="E6557" s="4">
        <v>0</v>
      </c>
      <c r="F6557" s="4" t="s">
        <v>29</v>
      </c>
    </row>
    <row r="6558" spans="1:6" x14ac:dyDescent="0.25">
      <c r="A6558" s="4" t="s">
        <v>84</v>
      </c>
      <c r="B6558" s="4" t="s">
        <v>2</v>
      </c>
      <c r="C6558" s="4" t="s">
        <v>35</v>
      </c>
      <c r="D6558" s="4">
        <v>2009</v>
      </c>
      <c r="E6558" s="4">
        <v>0</v>
      </c>
      <c r="F6558" s="4" t="s">
        <v>29</v>
      </c>
    </row>
    <row r="6559" spans="1:6" x14ac:dyDescent="0.25">
      <c r="A6559" s="4" t="s">
        <v>84</v>
      </c>
      <c r="B6559" s="4" t="s">
        <v>2</v>
      </c>
      <c r="C6559" s="4" t="s">
        <v>35</v>
      </c>
      <c r="D6559" s="4">
        <v>2010</v>
      </c>
      <c r="E6559" s="4">
        <v>0</v>
      </c>
      <c r="F6559" s="4" t="s">
        <v>29</v>
      </c>
    </row>
    <row r="6560" spans="1:6" x14ac:dyDescent="0.25">
      <c r="A6560" s="4" t="s">
        <v>84</v>
      </c>
      <c r="B6560" s="4" t="s">
        <v>2</v>
      </c>
      <c r="C6560" s="4" t="s">
        <v>35</v>
      </c>
      <c r="D6560" s="4">
        <v>2011</v>
      </c>
      <c r="E6560" s="4">
        <v>0</v>
      </c>
      <c r="F6560" s="4" t="s">
        <v>29</v>
      </c>
    </row>
    <row r="6561" spans="1:6" x14ac:dyDescent="0.25">
      <c r="A6561" s="4" t="s">
        <v>84</v>
      </c>
      <c r="B6561" s="4" t="s">
        <v>2</v>
      </c>
      <c r="C6561" s="4" t="s">
        <v>35</v>
      </c>
      <c r="D6561" s="4">
        <v>2012</v>
      </c>
      <c r="E6561" s="4">
        <v>0</v>
      </c>
      <c r="F6561" s="4" t="s">
        <v>29</v>
      </c>
    </row>
    <row r="6562" spans="1:6" x14ac:dyDescent="0.25">
      <c r="A6562" s="4" t="s">
        <v>84</v>
      </c>
      <c r="B6562" s="4" t="s">
        <v>2</v>
      </c>
      <c r="C6562" s="4" t="s">
        <v>35</v>
      </c>
      <c r="D6562" s="4">
        <v>2013</v>
      </c>
      <c r="E6562" s="4">
        <v>0</v>
      </c>
      <c r="F6562" s="4" t="s">
        <v>29</v>
      </c>
    </row>
    <row r="6563" spans="1:6" x14ac:dyDescent="0.25">
      <c r="A6563" s="4" t="s">
        <v>84</v>
      </c>
      <c r="B6563" s="4" t="s">
        <v>2</v>
      </c>
      <c r="C6563" s="4" t="s">
        <v>35</v>
      </c>
      <c r="D6563" s="4">
        <v>2014</v>
      </c>
      <c r="E6563" s="4">
        <v>0</v>
      </c>
      <c r="F6563" s="4" t="s">
        <v>29</v>
      </c>
    </row>
    <row r="6564" spans="1:6" x14ac:dyDescent="0.25">
      <c r="A6564" s="4" t="s">
        <v>84</v>
      </c>
      <c r="B6564" s="4" t="s">
        <v>2</v>
      </c>
      <c r="C6564" s="4" t="s">
        <v>35</v>
      </c>
      <c r="D6564" s="4">
        <v>2015</v>
      </c>
      <c r="E6564" s="4">
        <v>0</v>
      </c>
      <c r="F6564" s="4" t="s">
        <v>29</v>
      </c>
    </row>
    <row r="6565" spans="1:6" x14ac:dyDescent="0.25">
      <c r="A6565" s="4" t="s">
        <v>84</v>
      </c>
      <c r="B6565" s="4" t="s">
        <v>2</v>
      </c>
      <c r="C6565" s="4" t="s">
        <v>35</v>
      </c>
      <c r="D6565" s="4">
        <v>2016</v>
      </c>
      <c r="E6565" s="4">
        <v>0</v>
      </c>
      <c r="F6565" s="4" t="s">
        <v>29</v>
      </c>
    </row>
    <row r="6566" spans="1:6" x14ac:dyDescent="0.25">
      <c r="A6566" s="4" t="s">
        <v>84</v>
      </c>
      <c r="B6566" s="4" t="s">
        <v>2</v>
      </c>
      <c r="C6566" s="4" t="s">
        <v>35</v>
      </c>
      <c r="D6566" s="4">
        <v>2017</v>
      </c>
      <c r="E6566" s="4">
        <v>0</v>
      </c>
      <c r="F6566" s="4" t="s">
        <v>29</v>
      </c>
    </row>
    <row r="6567" spans="1:6" x14ac:dyDescent="0.25">
      <c r="A6567" s="4" t="s">
        <v>84</v>
      </c>
      <c r="B6567" s="4" t="s">
        <v>2</v>
      </c>
      <c r="C6567" s="4" t="s">
        <v>35</v>
      </c>
      <c r="D6567" s="4">
        <v>2018</v>
      </c>
      <c r="E6567" s="4">
        <v>0</v>
      </c>
      <c r="F6567" s="4" t="s">
        <v>29</v>
      </c>
    </row>
    <row r="6568" spans="1:6" x14ac:dyDescent="0.25">
      <c r="A6568" s="4" t="s">
        <v>84</v>
      </c>
      <c r="B6568" s="4" t="s">
        <v>2</v>
      </c>
      <c r="C6568" s="4" t="s">
        <v>35</v>
      </c>
      <c r="D6568" s="4">
        <v>2019</v>
      </c>
      <c r="E6568" s="4">
        <v>0</v>
      </c>
      <c r="F6568" s="4" t="s">
        <v>29</v>
      </c>
    </row>
    <row r="6569" spans="1:6" x14ac:dyDescent="0.25">
      <c r="A6569" s="4" t="s">
        <v>84</v>
      </c>
      <c r="B6569" s="4" t="s">
        <v>2</v>
      </c>
      <c r="C6569" s="4" t="s">
        <v>35</v>
      </c>
      <c r="D6569" s="4">
        <v>2020</v>
      </c>
      <c r="E6569" s="4">
        <v>0</v>
      </c>
      <c r="F6569" s="4" t="s">
        <v>29</v>
      </c>
    </row>
    <row r="6570" spans="1:6" x14ac:dyDescent="0.25">
      <c r="A6570" s="4" t="s">
        <v>84</v>
      </c>
      <c r="B6570" s="4" t="s">
        <v>2</v>
      </c>
      <c r="C6570" s="4" t="s">
        <v>35</v>
      </c>
      <c r="D6570" s="4">
        <v>2021</v>
      </c>
      <c r="E6570" s="4">
        <v>0</v>
      </c>
      <c r="F6570" s="4" t="s">
        <v>29</v>
      </c>
    </row>
    <row r="6571" spans="1:6" x14ac:dyDescent="0.25">
      <c r="A6571" s="4" t="s">
        <v>84</v>
      </c>
      <c r="B6571" s="4" t="s">
        <v>2</v>
      </c>
      <c r="C6571" s="4" t="s">
        <v>35</v>
      </c>
      <c r="D6571" s="4">
        <v>2022</v>
      </c>
      <c r="E6571" s="4">
        <v>0</v>
      </c>
      <c r="F6571" s="4" t="s">
        <v>29</v>
      </c>
    </row>
    <row r="6572" spans="1:6" x14ac:dyDescent="0.25">
      <c r="A6572" s="4" t="s">
        <v>84</v>
      </c>
      <c r="B6572" s="4" t="s">
        <v>2</v>
      </c>
      <c r="C6572" s="4" t="s">
        <v>35</v>
      </c>
      <c r="D6572" s="4">
        <v>2023</v>
      </c>
      <c r="E6572" s="4">
        <v>0</v>
      </c>
      <c r="F6572" s="4" t="s">
        <v>29</v>
      </c>
    </row>
    <row r="6573" spans="1:6" x14ac:dyDescent="0.25">
      <c r="A6573" s="4" t="s">
        <v>84</v>
      </c>
      <c r="B6573" s="4" t="s">
        <v>2</v>
      </c>
      <c r="C6573" s="4" t="s">
        <v>35</v>
      </c>
      <c r="D6573" s="4">
        <v>2024</v>
      </c>
      <c r="E6573" s="4">
        <v>0</v>
      </c>
      <c r="F6573" s="4" t="s">
        <v>29</v>
      </c>
    </row>
    <row r="6574" spans="1:6" x14ac:dyDescent="0.25">
      <c r="A6574" s="4" t="s">
        <v>84</v>
      </c>
      <c r="B6574" s="4" t="s">
        <v>2</v>
      </c>
      <c r="C6574" s="4" t="s">
        <v>35</v>
      </c>
      <c r="D6574" s="4">
        <v>2025</v>
      </c>
      <c r="E6574" s="4">
        <v>0</v>
      </c>
      <c r="F6574" s="4" t="s">
        <v>29</v>
      </c>
    </row>
    <row r="6575" spans="1:6" x14ac:dyDescent="0.25">
      <c r="A6575" s="4" t="s">
        <v>84</v>
      </c>
      <c r="B6575" s="4" t="s">
        <v>2</v>
      </c>
      <c r="C6575" s="4" t="s">
        <v>35</v>
      </c>
      <c r="D6575" s="4">
        <v>2026</v>
      </c>
      <c r="E6575" s="4">
        <v>0</v>
      </c>
      <c r="F6575" s="4" t="s">
        <v>29</v>
      </c>
    </row>
    <row r="6576" spans="1:6" x14ac:dyDescent="0.25">
      <c r="A6576" s="4" t="s">
        <v>84</v>
      </c>
      <c r="B6576" s="4" t="s">
        <v>2</v>
      </c>
      <c r="C6576" s="4" t="s">
        <v>35</v>
      </c>
      <c r="D6576" s="4">
        <v>2027</v>
      </c>
      <c r="E6576" s="4">
        <v>0</v>
      </c>
      <c r="F6576" s="4" t="s">
        <v>29</v>
      </c>
    </row>
    <row r="6577" spans="1:6" x14ac:dyDescent="0.25">
      <c r="A6577" s="4" t="s">
        <v>84</v>
      </c>
      <c r="B6577" s="4" t="s">
        <v>2</v>
      </c>
      <c r="C6577" s="4" t="s">
        <v>35</v>
      </c>
      <c r="D6577" s="4">
        <v>2028</v>
      </c>
      <c r="E6577" s="4">
        <v>0</v>
      </c>
      <c r="F6577" s="4" t="s">
        <v>29</v>
      </c>
    </row>
    <row r="6578" spans="1:6" x14ac:dyDescent="0.25">
      <c r="A6578" s="4" t="s">
        <v>84</v>
      </c>
      <c r="B6578" s="4" t="s">
        <v>2</v>
      </c>
      <c r="C6578" s="4" t="s">
        <v>35</v>
      </c>
      <c r="D6578" s="4">
        <v>2029</v>
      </c>
      <c r="E6578" s="4">
        <v>0</v>
      </c>
      <c r="F6578" s="4" t="s">
        <v>29</v>
      </c>
    </row>
    <row r="6579" spans="1:6" x14ac:dyDescent="0.25">
      <c r="A6579" s="4" t="s">
        <v>84</v>
      </c>
      <c r="B6579" s="4" t="s">
        <v>2</v>
      </c>
      <c r="C6579" s="4" t="s">
        <v>35</v>
      </c>
      <c r="D6579" s="4">
        <v>2030</v>
      </c>
      <c r="E6579" s="4">
        <v>0</v>
      </c>
      <c r="F6579" s="4" t="s">
        <v>29</v>
      </c>
    </row>
    <row r="6580" spans="1:6" x14ac:dyDescent="0.25">
      <c r="A6580" s="4" t="s">
        <v>84</v>
      </c>
      <c r="B6580" s="4" t="s">
        <v>2</v>
      </c>
      <c r="C6580" s="4" t="s">
        <v>35</v>
      </c>
      <c r="D6580" s="4">
        <v>2031</v>
      </c>
      <c r="E6580" s="4">
        <v>0</v>
      </c>
      <c r="F6580" s="4" t="s">
        <v>29</v>
      </c>
    </row>
    <row r="6581" spans="1:6" x14ac:dyDescent="0.25">
      <c r="A6581" s="4" t="s">
        <v>84</v>
      </c>
      <c r="B6581" s="4" t="s">
        <v>2</v>
      </c>
      <c r="C6581" s="4" t="s">
        <v>35</v>
      </c>
      <c r="D6581" s="4">
        <v>2032</v>
      </c>
      <c r="E6581" s="4">
        <v>0</v>
      </c>
      <c r="F6581" s="4" t="s">
        <v>29</v>
      </c>
    </row>
    <row r="6582" spans="1:6" x14ac:dyDescent="0.25">
      <c r="A6582" s="4" t="s">
        <v>84</v>
      </c>
      <c r="B6582" s="4" t="s">
        <v>2</v>
      </c>
      <c r="C6582" s="4" t="s">
        <v>35</v>
      </c>
      <c r="D6582" s="4">
        <v>2033</v>
      </c>
      <c r="E6582" s="4">
        <v>0</v>
      </c>
      <c r="F6582" s="4" t="s">
        <v>29</v>
      </c>
    </row>
    <row r="6583" spans="1:6" x14ac:dyDescent="0.25">
      <c r="A6583" s="4" t="s">
        <v>84</v>
      </c>
      <c r="B6583" s="4" t="s">
        <v>2</v>
      </c>
      <c r="C6583" s="4" t="s">
        <v>35</v>
      </c>
      <c r="D6583" s="4">
        <v>2034</v>
      </c>
      <c r="E6583" s="4">
        <v>0</v>
      </c>
      <c r="F6583" s="4" t="s">
        <v>29</v>
      </c>
    </row>
    <row r="6584" spans="1:6" x14ac:dyDescent="0.25">
      <c r="A6584" s="4" t="s">
        <v>84</v>
      </c>
      <c r="B6584" s="4" t="s">
        <v>2</v>
      </c>
      <c r="C6584" s="4" t="s">
        <v>35</v>
      </c>
      <c r="D6584" s="4">
        <v>2035</v>
      </c>
      <c r="E6584" s="4">
        <v>0</v>
      </c>
      <c r="F6584" s="4" t="s">
        <v>29</v>
      </c>
    </row>
    <row r="6585" spans="1:6" x14ac:dyDescent="0.25">
      <c r="A6585" s="4" t="s">
        <v>84</v>
      </c>
      <c r="B6585" s="4" t="s">
        <v>2</v>
      </c>
      <c r="C6585" s="4" t="s">
        <v>35</v>
      </c>
      <c r="D6585" s="4">
        <v>2036</v>
      </c>
      <c r="E6585" s="4">
        <v>0</v>
      </c>
      <c r="F6585" s="4" t="s">
        <v>29</v>
      </c>
    </row>
    <row r="6586" spans="1:6" x14ac:dyDescent="0.25">
      <c r="A6586" s="4" t="s">
        <v>84</v>
      </c>
      <c r="B6586" s="4" t="s">
        <v>2</v>
      </c>
      <c r="C6586" s="4" t="s">
        <v>35</v>
      </c>
      <c r="D6586" s="4">
        <v>2037</v>
      </c>
      <c r="E6586" s="4">
        <v>0</v>
      </c>
      <c r="F6586" s="4" t="s">
        <v>29</v>
      </c>
    </row>
    <row r="6587" spans="1:6" x14ac:dyDescent="0.25">
      <c r="A6587" s="4" t="s">
        <v>84</v>
      </c>
      <c r="B6587" s="4" t="s">
        <v>2</v>
      </c>
      <c r="C6587" s="4" t="s">
        <v>35</v>
      </c>
      <c r="D6587" s="4">
        <v>2038</v>
      </c>
      <c r="E6587" s="4">
        <v>0</v>
      </c>
      <c r="F6587" s="4" t="s">
        <v>29</v>
      </c>
    </row>
    <row r="6588" spans="1:6" x14ac:dyDescent="0.25">
      <c r="A6588" s="4" t="s">
        <v>84</v>
      </c>
      <c r="B6588" s="4" t="s">
        <v>2</v>
      </c>
      <c r="C6588" s="4" t="s">
        <v>35</v>
      </c>
      <c r="D6588" s="4">
        <v>2039</v>
      </c>
      <c r="E6588" s="4">
        <v>0</v>
      </c>
      <c r="F6588" s="4" t="s">
        <v>29</v>
      </c>
    </row>
    <row r="6589" spans="1:6" x14ac:dyDescent="0.25">
      <c r="A6589" s="4" t="s">
        <v>84</v>
      </c>
      <c r="B6589" s="4" t="s">
        <v>2</v>
      </c>
      <c r="C6589" s="4" t="s">
        <v>35</v>
      </c>
      <c r="D6589" s="4">
        <v>2040</v>
      </c>
      <c r="E6589" s="4">
        <v>0</v>
      </c>
      <c r="F6589" s="4" t="s">
        <v>29</v>
      </c>
    </row>
    <row r="6590" spans="1:6" x14ac:dyDescent="0.25">
      <c r="A6590" s="4" t="s">
        <v>84</v>
      </c>
      <c r="B6590" s="4" t="s">
        <v>3</v>
      </c>
      <c r="C6590" s="4" t="s">
        <v>35</v>
      </c>
      <c r="D6590" s="4">
        <v>2005</v>
      </c>
      <c r="E6590" s="4">
        <v>0</v>
      </c>
      <c r="F6590" s="4" t="s">
        <v>29</v>
      </c>
    </row>
    <row r="6591" spans="1:6" x14ac:dyDescent="0.25">
      <c r="A6591" s="4" t="s">
        <v>84</v>
      </c>
      <c r="B6591" s="4" t="s">
        <v>3</v>
      </c>
      <c r="C6591" s="4" t="s">
        <v>35</v>
      </c>
      <c r="D6591" s="4">
        <v>2006</v>
      </c>
      <c r="E6591" s="4">
        <v>0</v>
      </c>
      <c r="F6591" s="4" t="s">
        <v>29</v>
      </c>
    </row>
    <row r="6592" spans="1:6" x14ac:dyDescent="0.25">
      <c r="A6592" s="4" t="s">
        <v>84</v>
      </c>
      <c r="B6592" s="4" t="s">
        <v>3</v>
      </c>
      <c r="C6592" s="4" t="s">
        <v>35</v>
      </c>
      <c r="D6592" s="4">
        <v>2007</v>
      </c>
      <c r="E6592" s="4">
        <v>0</v>
      </c>
      <c r="F6592" s="4" t="s">
        <v>29</v>
      </c>
    </row>
    <row r="6593" spans="1:6" x14ac:dyDescent="0.25">
      <c r="A6593" s="4" t="s">
        <v>84</v>
      </c>
      <c r="B6593" s="4" t="s">
        <v>3</v>
      </c>
      <c r="C6593" s="4" t="s">
        <v>35</v>
      </c>
      <c r="D6593" s="4">
        <v>2008</v>
      </c>
      <c r="E6593" s="4">
        <v>0</v>
      </c>
      <c r="F6593" s="4" t="s">
        <v>29</v>
      </c>
    </row>
    <row r="6594" spans="1:6" x14ac:dyDescent="0.25">
      <c r="A6594" s="4" t="s">
        <v>84</v>
      </c>
      <c r="B6594" s="4" t="s">
        <v>3</v>
      </c>
      <c r="C6594" s="4" t="s">
        <v>35</v>
      </c>
      <c r="D6594" s="4">
        <v>2009</v>
      </c>
      <c r="E6594" s="4">
        <v>0</v>
      </c>
      <c r="F6594" s="4" t="s">
        <v>29</v>
      </c>
    </row>
    <row r="6595" spans="1:6" x14ac:dyDescent="0.25">
      <c r="A6595" s="4" t="s">
        <v>84</v>
      </c>
      <c r="B6595" s="4" t="s">
        <v>3</v>
      </c>
      <c r="C6595" s="4" t="s">
        <v>35</v>
      </c>
      <c r="D6595" s="4">
        <v>2010</v>
      </c>
      <c r="E6595" s="4">
        <v>0</v>
      </c>
      <c r="F6595" s="4" t="s">
        <v>29</v>
      </c>
    </row>
    <row r="6596" spans="1:6" x14ac:dyDescent="0.25">
      <c r="A6596" s="4" t="s">
        <v>84</v>
      </c>
      <c r="B6596" s="4" t="s">
        <v>3</v>
      </c>
      <c r="C6596" s="4" t="s">
        <v>35</v>
      </c>
      <c r="D6596" s="4">
        <v>2011</v>
      </c>
      <c r="E6596" s="4">
        <v>0</v>
      </c>
      <c r="F6596" s="4" t="s">
        <v>29</v>
      </c>
    </row>
    <row r="6597" spans="1:6" x14ac:dyDescent="0.25">
      <c r="A6597" s="4" t="s">
        <v>84</v>
      </c>
      <c r="B6597" s="4" t="s">
        <v>3</v>
      </c>
      <c r="C6597" s="4" t="s">
        <v>35</v>
      </c>
      <c r="D6597" s="4">
        <v>2012</v>
      </c>
      <c r="E6597" s="4">
        <v>0</v>
      </c>
      <c r="F6597" s="4" t="s">
        <v>29</v>
      </c>
    </row>
    <row r="6598" spans="1:6" x14ac:dyDescent="0.25">
      <c r="A6598" s="4" t="s">
        <v>84</v>
      </c>
      <c r="B6598" s="4" t="s">
        <v>3</v>
      </c>
      <c r="C6598" s="4" t="s">
        <v>35</v>
      </c>
      <c r="D6598" s="4">
        <v>2013</v>
      </c>
      <c r="E6598" s="4">
        <v>0</v>
      </c>
      <c r="F6598" s="4" t="s">
        <v>29</v>
      </c>
    </row>
    <row r="6599" spans="1:6" x14ac:dyDescent="0.25">
      <c r="A6599" s="4" t="s">
        <v>84</v>
      </c>
      <c r="B6599" s="4" t="s">
        <v>3</v>
      </c>
      <c r="C6599" s="4" t="s">
        <v>35</v>
      </c>
      <c r="D6599" s="4">
        <v>2014</v>
      </c>
      <c r="E6599" s="4">
        <v>0</v>
      </c>
      <c r="F6599" s="4" t="s">
        <v>29</v>
      </c>
    </row>
    <row r="6600" spans="1:6" x14ac:dyDescent="0.25">
      <c r="A6600" s="4" t="s">
        <v>84</v>
      </c>
      <c r="B6600" s="4" t="s">
        <v>3</v>
      </c>
      <c r="C6600" s="4" t="s">
        <v>35</v>
      </c>
      <c r="D6600" s="4">
        <v>2015</v>
      </c>
      <c r="E6600" s="4">
        <v>0</v>
      </c>
      <c r="F6600" s="4" t="s">
        <v>29</v>
      </c>
    </row>
    <row r="6601" spans="1:6" x14ac:dyDescent="0.25">
      <c r="A6601" s="4" t="s">
        <v>84</v>
      </c>
      <c r="B6601" s="4" t="s">
        <v>3</v>
      </c>
      <c r="C6601" s="4" t="s">
        <v>35</v>
      </c>
      <c r="D6601" s="4">
        <v>2016</v>
      </c>
      <c r="E6601" s="4">
        <v>0</v>
      </c>
      <c r="F6601" s="4" t="s">
        <v>29</v>
      </c>
    </row>
    <row r="6602" spans="1:6" x14ac:dyDescent="0.25">
      <c r="A6602" s="4" t="s">
        <v>84</v>
      </c>
      <c r="B6602" s="4" t="s">
        <v>3</v>
      </c>
      <c r="C6602" s="4" t="s">
        <v>35</v>
      </c>
      <c r="D6602" s="4">
        <v>2017</v>
      </c>
      <c r="E6602" s="4">
        <v>0</v>
      </c>
      <c r="F6602" s="4" t="s">
        <v>29</v>
      </c>
    </row>
    <row r="6603" spans="1:6" x14ac:dyDescent="0.25">
      <c r="A6603" s="4" t="s">
        <v>84</v>
      </c>
      <c r="B6603" s="4" t="s">
        <v>3</v>
      </c>
      <c r="C6603" s="4" t="s">
        <v>35</v>
      </c>
      <c r="D6603" s="4">
        <v>2018</v>
      </c>
      <c r="E6603" s="4">
        <v>0</v>
      </c>
      <c r="F6603" s="4" t="s">
        <v>29</v>
      </c>
    </row>
    <row r="6604" spans="1:6" x14ac:dyDescent="0.25">
      <c r="A6604" s="4" t="s">
        <v>84</v>
      </c>
      <c r="B6604" s="4" t="s">
        <v>3</v>
      </c>
      <c r="C6604" s="4" t="s">
        <v>35</v>
      </c>
      <c r="D6604" s="4">
        <v>2019</v>
      </c>
      <c r="E6604" s="4">
        <v>0</v>
      </c>
      <c r="F6604" s="4" t="s">
        <v>29</v>
      </c>
    </row>
    <row r="6605" spans="1:6" x14ac:dyDescent="0.25">
      <c r="A6605" s="4" t="s">
        <v>84</v>
      </c>
      <c r="B6605" s="4" t="s">
        <v>3</v>
      </c>
      <c r="C6605" s="4" t="s">
        <v>35</v>
      </c>
      <c r="D6605" s="4">
        <v>2020</v>
      </c>
      <c r="E6605" s="4">
        <v>0</v>
      </c>
      <c r="F6605" s="4" t="s">
        <v>29</v>
      </c>
    </row>
    <row r="6606" spans="1:6" x14ac:dyDescent="0.25">
      <c r="A6606" s="4" t="s">
        <v>84</v>
      </c>
      <c r="B6606" s="4" t="s">
        <v>3</v>
      </c>
      <c r="C6606" s="4" t="s">
        <v>35</v>
      </c>
      <c r="D6606" s="4">
        <v>2021</v>
      </c>
      <c r="E6606" s="4">
        <v>0</v>
      </c>
      <c r="F6606" s="4" t="s">
        <v>29</v>
      </c>
    </row>
    <row r="6607" spans="1:6" x14ac:dyDescent="0.25">
      <c r="A6607" s="4" t="s">
        <v>84</v>
      </c>
      <c r="B6607" s="4" t="s">
        <v>3</v>
      </c>
      <c r="C6607" s="4" t="s">
        <v>35</v>
      </c>
      <c r="D6607" s="4">
        <v>2022</v>
      </c>
      <c r="E6607" s="4">
        <v>0</v>
      </c>
      <c r="F6607" s="4" t="s">
        <v>29</v>
      </c>
    </row>
    <row r="6608" spans="1:6" x14ac:dyDescent="0.25">
      <c r="A6608" s="4" t="s">
        <v>84</v>
      </c>
      <c r="B6608" s="4" t="s">
        <v>3</v>
      </c>
      <c r="C6608" s="4" t="s">
        <v>35</v>
      </c>
      <c r="D6608" s="4">
        <v>2023</v>
      </c>
      <c r="E6608" s="4">
        <v>0</v>
      </c>
      <c r="F6608" s="4" t="s">
        <v>29</v>
      </c>
    </row>
    <row r="6609" spans="1:6" x14ac:dyDescent="0.25">
      <c r="A6609" s="4" t="s">
        <v>84</v>
      </c>
      <c r="B6609" s="4" t="s">
        <v>3</v>
      </c>
      <c r="C6609" s="4" t="s">
        <v>35</v>
      </c>
      <c r="D6609" s="4">
        <v>2024</v>
      </c>
      <c r="E6609" s="4">
        <v>0</v>
      </c>
      <c r="F6609" s="4" t="s">
        <v>29</v>
      </c>
    </row>
    <row r="6610" spans="1:6" x14ac:dyDescent="0.25">
      <c r="A6610" s="4" t="s">
        <v>84</v>
      </c>
      <c r="B6610" s="4" t="s">
        <v>3</v>
      </c>
      <c r="C6610" s="4" t="s">
        <v>35</v>
      </c>
      <c r="D6610" s="4">
        <v>2025</v>
      </c>
      <c r="E6610" s="4">
        <v>0</v>
      </c>
      <c r="F6610" s="4" t="s">
        <v>29</v>
      </c>
    </row>
    <row r="6611" spans="1:6" x14ac:dyDescent="0.25">
      <c r="A6611" s="4" t="s">
        <v>84</v>
      </c>
      <c r="B6611" s="4" t="s">
        <v>3</v>
      </c>
      <c r="C6611" s="4" t="s">
        <v>35</v>
      </c>
      <c r="D6611" s="4">
        <v>2026</v>
      </c>
      <c r="E6611" s="4">
        <v>0</v>
      </c>
      <c r="F6611" s="4" t="s">
        <v>29</v>
      </c>
    </row>
    <row r="6612" spans="1:6" x14ac:dyDescent="0.25">
      <c r="A6612" s="4" t="s">
        <v>84</v>
      </c>
      <c r="B6612" s="4" t="s">
        <v>3</v>
      </c>
      <c r="C6612" s="4" t="s">
        <v>35</v>
      </c>
      <c r="D6612" s="4">
        <v>2027</v>
      </c>
      <c r="E6612" s="4">
        <v>0</v>
      </c>
      <c r="F6612" s="4" t="s">
        <v>29</v>
      </c>
    </row>
    <row r="6613" spans="1:6" x14ac:dyDescent="0.25">
      <c r="A6613" s="4" t="s">
        <v>84</v>
      </c>
      <c r="B6613" s="4" t="s">
        <v>3</v>
      </c>
      <c r="C6613" s="4" t="s">
        <v>35</v>
      </c>
      <c r="D6613" s="4">
        <v>2028</v>
      </c>
      <c r="E6613" s="4">
        <v>0</v>
      </c>
      <c r="F6613" s="4" t="s">
        <v>29</v>
      </c>
    </row>
    <row r="6614" spans="1:6" x14ac:dyDescent="0.25">
      <c r="A6614" s="4" t="s">
        <v>84</v>
      </c>
      <c r="B6614" s="4" t="s">
        <v>3</v>
      </c>
      <c r="C6614" s="4" t="s">
        <v>35</v>
      </c>
      <c r="D6614" s="4">
        <v>2029</v>
      </c>
      <c r="E6614" s="4">
        <v>0</v>
      </c>
      <c r="F6614" s="4" t="s">
        <v>29</v>
      </c>
    </row>
    <row r="6615" spans="1:6" x14ac:dyDescent="0.25">
      <c r="A6615" s="4" t="s">
        <v>84</v>
      </c>
      <c r="B6615" s="4" t="s">
        <v>3</v>
      </c>
      <c r="C6615" s="4" t="s">
        <v>35</v>
      </c>
      <c r="D6615" s="4">
        <v>2030</v>
      </c>
      <c r="E6615" s="4">
        <v>0</v>
      </c>
      <c r="F6615" s="4" t="s">
        <v>29</v>
      </c>
    </row>
    <row r="6616" spans="1:6" x14ac:dyDescent="0.25">
      <c r="A6616" s="4" t="s">
        <v>84</v>
      </c>
      <c r="B6616" s="4" t="s">
        <v>3</v>
      </c>
      <c r="C6616" s="4" t="s">
        <v>35</v>
      </c>
      <c r="D6616" s="4">
        <v>2031</v>
      </c>
      <c r="E6616" s="4">
        <v>0</v>
      </c>
      <c r="F6616" s="4" t="s">
        <v>29</v>
      </c>
    </row>
    <row r="6617" spans="1:6" x14ac:dyDescent="0.25">
      <c r="A6617" s="4" t="s">
        <v>84</v>
      </c>
      <c r="B6617" s="4" t="s">
        <v>3</v>
      </c>
      <c r="C6617" s="4" t="s">
        <v>35</v>
      </c>
      <c r="D6617" s="4">
        <v>2032</v>
      </c>
      <c r="E6617" s="4">
        <v>0</v>
      </c>
      <c r="F6617" s="4" t="s">
        <v>29</v>
      </c>
    </row>
    <row r="6618" spans="1:6" x14ac:dyDescent="0.25">
      <c r="A6618" s="4" t="s">
        <v>84</v>
      </c>
      <c r="B6618" s="4" t="s">
        <v>3</v>
      </c>
      <c r="C6618" s="4" t="s">
        <v>35</v>
      </c>
      <c r="D6618" s="4">
        <v>2033</v>
      </c>
      <c r="E6618" s="4">
        <v>0</v>
      </c>
      <c r="F6618" s="4" t="s">
        <v>29</v>
      </c>
    </row>
    <row r="6619" spans="1:6" x14ac:dyDescent="0.25">
      <c r="A6619" s="4" t="s">
        <v>84</v>
      </c>
      <c r="B6619" s="4" t="s">
        <v>3</v>
      </c>
      <c r="C6619" s="4" t="s">
        <v>35</v>
      </c>
      <c r="D6619" s="4">
        <v>2034</v>
      </c>
      <c r="E6619" s="4">
        <v>0</v>
      </c>
      <c r="F6619" s="4" t="s">
        <v>29</v>
      </c>
    </row>
    <row r="6620" spans="1:6" x14ac:dyDescent="0.25">
      <c r="A6620" s="4" t="s">
        <v>84</v>
      </c>
      <c r="B6620" s="4" t="s">
        <v>3</v>
      </c>
      <c r="C6620" s="4" t="s">
        <v>35</v>
      </c>
      <c r="D6620" s="4">
        <v>2035</v>
      </c>
      <c r="E6620" s="4">
        <v>0</v>
      </c>
      <c r="F6620" s="4" t="s">
        <v>29</v>
      </c>
    </row>
    <row r="6621" spans="1:6" x14ac:dyDescent="0.25">
      <c r="A6621" s="4" t="s">
        <v>84</v>
      </c>
      <c r="B6621" s="4" t="s">
        <v>3</v>
      </c>
      <c r="C6621" s="4" t="s">
        <v>35</v>
      </c>
      <c r="D6621" s="4">
        <v>2036</v>
      </c>
      <c r="E6621" s="4">
        <v>0</v>
      </c>
      <c r="F6621" s="4" t="s">
        <v>29</v>
      </c>
    </row>
    <row r="6622" spans="1:6" x14ac:dyDescent="0.25">
      <c r="A6622" s="4" t="s">
        <v>84</v>
      </c>
      <c r="B6622" s="4" t="s">
        <v>3</v>
      </c>
      <c r="C6622" s="4" t="s">
        <v>35</v>
      </c>
      <c r="D6622" s="4">
        <v>2037</v>
      </c>
      <c r="E6622" s="4">
        <v>0</v>
      </c>
      <c r="F6622" s="4" t="s">
        <v>29</v>
      </c>
    </row>
    <row r="6623" spans="1:6" x14ac:dyDescent="0.25">
      <c r="A6623" s="4" t="s">
        <v>84</v>
      </c>
      <c r="B6623" s="4" t="s">
        <v>3</v>
      </c>
      <c r="C6623" s="4" t="s">
        <v>35</v>
      </c>
      <c r="D6623" s="4">
        <v>2038</v>
      </c>
      <c r="E6623" s="4">
        <v>0</v>
      </c>
      <c r="F6623" s="4" t="s">
        <v>29</v>
      </c>
    </row>
    <row r="6624" spans="1:6" x14ac:dyDescent="0.25">
      <c r="A6624" s="4" t="s">
        <v>84</v>
      </c>
      <c r="B6624" s="4" t="s">
        <v>3</v>
      </c>
      <c r="C6624" s="4" t="s">
        <v>35</v>
      </c>
      <c r="D6624" s="4">
        <v>2039</v>
      </c>
      <c r="E6624" s="4">
        <v>0</v>
      </c>
      <c r="F6624" s="4" t="s">
        <v>29</v>
      </c>
    </row>
    <row r="6625" spans="1:6" x14ac:dyDescent="0.25">
      <c r="A6625" s="4" t="s">
        <v>84</v>
      </c>
      <c r="B6625" s="4" t="s">
        <v>3</v>
      </c>
      <c r="C6625" s="4" t="s">
        <v>35</v>
      </c>
      <c r="D6625" s="4">
        <v>2040</v>
      </c>
      <c r="E6625" s="4">
        <v>0</v>
      </c>
      <c r="F6625" s="4" t="s">
        <v>29</v>
      </c>
    </row>
    <row r="6626" spans="1:6" x14ac:dyDescent="0.25">
      <c r="A6626" s="4" t="s">
        <v>84</v>
      </c>
      <c r="B6626" s="4" t="s">
        <v>4</v>
      </c>
      <c r="C6626" s="4" t="s">
        <v>35</v>
      </c>
      <c r="D6626" s="4">
        <v>2005</v>
      </c>
      <c r="E6626" s="4">
        <v>0</v>
      </c>
      <c r="F6626" s="4" t="s">
        <v>29</v>
      </c>
    </row>
    <row r="6627" spans="1:6" x14ac:dyDescent="0.25">
      <c r="A6627" s="4" t="s">
        <v>84</v>
      </c>
      <c r="B6627" s="4" t="s">
        <v>4</v>
      </c>
      <c r="C6627" s="4" t="s">
        <v>35</v>
      </c>
      <c r="D6627" s="4">
        <v>2006</v>
      </c>
      <c r="E6627" s="4">
        <v>0</v>
      </c>
      <c r="F6627" s="4" t="s">
        <v>29</v>
      </c>
    </row>
    <row r="6628" spans="1:6" x14ac:dyDescent="0.25">
      <c r="A6628" s="4" t="s">
        <v>84</v>
      </c>
      <c r="B6628" s="4" t="s">
        <v>4</v>
      </c>
      <c r="C6628" s="4" t="s">
        <v>35</v>
      </c>
      <c r="D6628" s="4">
        <v>2007</v>
      </c>
      <c r="E6628" s="4">
        <v>0</v>
      </c>
      <c r="F6628" s="4" t="s">
        <v>29</v>
      </c>
    </row>
    <row r="6629" spans="1:6" x14ac:dyDescent="0.25">
      <c r="A6629" s="4" t="s">
        <v>84</v>
      </c>
      <c r="B6629" s="4" t="s">
        <v>4</v>
      </c>
      <c r="C6629" s="4" t="s">
        <v>35</v>
      </c>
      <c r="D6629" s="4">
        <v>2008</v>
      </c>
      <c r="E6629" s="4">
        <v>0</v>
      </c>
      <c r="F6629" s="4" t="s">
        <v>29</v>
      </c>
    </row>
    <row r="6630" spans="1:6" x14ac:dyDescent="0.25">
      <c r="A6630" s="4" t="s">
        <v>84</v>
      </c>
      <c r="B6630" s="4" t="s">
        <v>4</v>
      </c>
      <c r="C6630" s="4" t="s">
        <v>35</v>
      </c>
      <c r="D6630" s="4">
        <v>2009</v>
      </c>
      <c r="E6630" s="4">
        <v>0</v>
      </c>
      <c r="F6630" s="4" t="s">
        <v>29</v>
      </c>
    </row>
    <row r="6631" spans="1:6" x14ac:dyDescent="0.25">
      <c r="A6631" s="4" t="s">
        <v>84</v>
      </c>
      <c r="B6631" s="4" t="s">
        <v>4</v>
      </c>
      <c r="C6631" s="4" t="s">
        <v>35</v>
      </c>
      <c r="D6631" s="4">
        <v>2010</v>
      </c>
      <c r="E6631" s="4">
        <v>0</v>
      </c>
      <c r="F6631" s="4" t="s">
        <v>29</v>
      </c>
    </row>
    <row r="6632" spans="1:6" x14ac:dyDescent="0.25">
      <c r="A6632" s="4" t="s">
        <v>84</v>
      </c>
      <c r="B6632" s="4" t="s">
        <v>4</v>
      </c>
      <c r="C6632" s="4" t="s">
        <v>35</v>
      </c>
      <c r="D6632" s="4">
        <v>2011</v>
      </c>
      <c r="E6632" s="4">
        <v>0</v>
      </c>
      <c r="F6632" s="4" t="s">
        <v>29</v>
      </c>
    </row>
    <row r="6633" spans="1:6" x14ac:dyDescent="0.25">
      <c r="A6633" s="4" t="s">
        <v>84</v>
      </c>
      <c r="B6633" s="4" t="s">
        <v>4</v>
      </c>
      <c r="C6633" s="4" t="s">
        <v>35</v>
      </c>
      <c r="D6633" s="4">
        <v>2012</v>
      </c>
      <c r="E6633" s="4">
        <v>0</v>
      </c>
      <c r="F6633" s="4" t="s">
        <v>29</v>
      </c>
    </row>
    <row r="6634" spans="1:6" x14ac:dyDescent="0.25">
      <c r="A6634" s="4" t="s">
        <v>84</v>
      </c>
      <c r="B6634" s="4" t="s">
        <v>4</v>
      </c>
      <c r="C6634" s="4" t="s">
        <v>35</v>
      </c>
      <c r="D6634" s="4">
        <v>2013</v>
      </c>
      <c r="E6634" s="4">
        <v>0</v>
      </c>
      <c r="F6634" s="4" t="s">
        <v>29</v>
      </c>
    </row>
    <row r="6635" spans="1:6" x14ac:dyDescent="0.25">
      <c r="A6635" s="4" t="s">
        <v>84</v>
      </c>
      <c r="B6635" s="4" t="s">
        <v>4</v>
      </c>
      <c r="C6635" s="4" t="s">
        <v>35</v>
      </c>
      <c r="D6635" s="4">
        <v>2014</v>
      </c>
      <c r="E6635" s="4">
        <v>0</v>
      </c>
      <c r="F6635" s="4" t="s">
        <v>29</v>
      </c>
    </row>
    <row r="6636" spans="1:6" x14ac:dyDescent="0.25">
      <c r="A6636" s="4" t="s">
        <v>84</v>
      </c>
      <c r="B6636" s="4" t="s">
        <v>4</v>
      </c>
      <c r="C6636" s="4" t="s">
        <v>35</v>
      </c>
      <c r="D6636" s="4">
        <v>2015</v>
      </c>
      <c r="E6636" s="4">
        <v>0</v>
      </c>
      <c r="F6636" s="4" t="s">
        <v>29</v>
      </c>
    </row>
    <row r="6637" spans="1:6" x14ac:dyDescent="0.25">
      <c r="A6637" s="4" t="s">
        <v>84</v>
      </c>
      <c r="B6637" s="4" t="s">
        <v>4</v>
      </c>
      <c r="C6637" s="4" t="s">
        <v>35</v>
      </c>
      <c r="D6637" s="4">
        <v>2016</v>
      </c>
      <c r="E6637" s="4">
        <v>0</v>
      </c>
      <c r="F6637" s="4" t="s">
        <v>29</v>
      </c>
    </row>
    <row r="6638" spans="1:6" x14ac:dyDescent="0.25">
      <c r="A6638" s="4" t="s">
        <v>84</v>
      </c>
      <c r="B6638" s="4" t="s">
        <v>4</v>
      </c>
      <c r="C6638" s="4" t="s">
        <v>35</v>
      </c>
      <c r="D6638" s="4">
        <v>2017</v>
      </c>
      <c r="E6638" s="4">
        <v>0</v>
      </c>
      <c r="F6638" s="4" t="s">
        <v>29</v>
      </c>
    </row>
    <row r="6639" spans="1:6" x14ac:dyDescent="0.25">
      <c r="A6639" s="4" t="s">
        <v>84</v>
      </c>
      <c r="B6639" s="4" t="s">
        <v>4</v>
      </c>
      <c r="C6639" s="4" t="s">
        <v>35</v>
      </c>
      <c r="D6639" s="4">
        <v>2018</v>
      </c>
      <c r="E6639" s="4">
        <v>0</v>
      </c>
      <c r="F6639" s="4" t="s">
        <v>29</v>
      </c>
    </row>
    <row r="6640" spans="1:6" x14ac:dyDescent="0.25">
      <c r="A6640" s="4" t="s">
        <v>84</v>
      </c>
      <c r="B6640" s="4" t="s">
        <v>4</v>
      </c>
      <c r="C6640" s="4" t="s">
        <v>35</v>
      </c>
      <c r="D6640" s="4">
        <v>2019</v>
      </c>
      <c r="E6640" s="4">
        <v>0</v>
      </c>
      <c r="F6640" s="4" t="s">
        <v>29</v>
      </c>
    </row>
    <row r="6641" spans="1:6" x14ac:dyDescent="0.25">
      <c r="A6641" s="4" t="s">
        <v>84</v>
      </c>
      <c r="B6641" s="4" t="s">
        <v>4</v>
      </c>
      <c r="C6641" s="4" t="s">
        <v>35</v>
      </c>
      <c r="D6641" s="4">
        <v>2020</v>
      </c>
      <c r="E6641" s="4">
        <v>0</v>
      </c>
      <c r="F6641" s="4" t="s">
        <v>29</v>
      </c>
    </row>
    <row r="6642" spans="1:6" x14ac:dyDescent="0.25">
      <c r="A6642" s="4" t="s">
        <v>84</v>
      </c>
      <c r="B6642" s="4" t="s">
        <v>4</v>
      </c>
      <c r="C6642" s="4" t="s">
        <v>35</v>
      </c>
      <c r="D6642" s="4">
        <v>2021</v>
      </c>
      <c r="E6642" s="4">
        <v>0</v>
      </c>
      <c r="F6642" s="4" t="s">
        <v>29</v>
      </c>
    </row>
    <row r="6643" spans="1:6" x14ac:dyDescent="0.25">
      <c r="A6643" s="4" t="s">
        <v>84</v>
      </c>
      <c r="B6643" s="4" t="s">
        <v>4</v>
      </c>
      <c r="C6643" s="4" t="s">
        <v>35</v>
      </c>
      <c r="D6643" s="4">
        <v>2022</v>
      </c>
      <c r="E6643" s="4">
        <v>0</v>
      </c>
      <c r="F6643" s="4" t="s">
        <v>29</v>
      </c>
    </row>
    <row r="6644" spans="1:6" x14ac:dyDescent="0.25">
      <c r="A6644" s="4" t="s">
        <v>84</v>
      </c>
      <c r="B6644" s="4" t="s">
        <v>4</v>
      </c>
      <c r="C6644" s="4" t="s">
        <v>35</v>
      </c>
      <c r="D6644" s="4">
        <v>2023</v>
      </c>
      <c r="E6644" s="4">
        <v>0</v>
      </c>
      <c r="F6644" s="4" t="s">
        <v>29</v>
      </c>
    </row>
    <row r="6645" spans="1:6" x14ac:dyDescent="0.25">
      <c r="A6645" s="4" t="s">
        <v>84</v>
      </c>
      <c r="B6645" s="4" t="s">
        <v>4</v>
      </c>
      <c r="C6645" s="4" t="s">
        <v>35</v>
      </c>
      <c r="D6645" s="4">
        <v>2024</v>
      </c>
      <c r="E6645" s="4">
        <v>0</v>
      </c>
      <c r="F6645" s="4" t="s">
        <v>29</v>
      </c>
    </row>
    <row r="6646" spans="1:6" x14ac:dyDescent="0.25">
      <c r="A6646" s="4" t="s">
        <v>84</v>
      </c>
      <c r="B6646" s="4" t="s">
        <v>4</v>
      </c>
      <c r="C6646" s="4" t="s">
        <v>35</v>
      </c>
      <c r="D6646" s="4">
        <v>2025</v>
      </c>
      <c r="E6646" s="4">
        <v>0</v>
      </c>
      <c r="F6646" s="4" t="s">
        <v>29</v>
      </c>
    </row>
    <row r="6647" spans="1:6" x14ac:dyDescent="0.25">
      <c r="A6647" s="4" t="s">
        <v>84</v>
      </c>
      <c r="B6647" s="4" t="s">
        <v>4</v>
      </c>
      <c r="C6647" s="4" t="s">
        <v>35</v>
      </c>
      <c r="D6647" s="4">
        <v>2026</v>
      </c>
      <c r="E6647" s="4">
        <v>0</v>
      </c>
      <c r="F6647" s="4" t="s">
        <v>29</v>
      </c>
    </row>
    <row r="6648" spans="1:6" x14ac:dyDescent="0.25">
      <c r="A6648" s="4" t="s">
        <v>84</v>
      </c>
      <c r="B6648" s="4" t="s">
        <v>4</v>
      </c>
      <c r="C6648" s="4" t="s">
        <v>35</v>
      </c>
      <c r="D6648" s="4">
        <v>2027</v>
      </c>
      <c r="E6648" s="4">
        <v>0</v>
      </c>
      <c r="F6648" s="4" t="s">
        <v>29</v>
      </c>
    </row>
    <row r="6649" spans="1:6" x14ac:dyDescent="0.25">
      <c r="A6649" s="4" t="s">
        <v>84</v>
      </c>
      <c r="B6649" s="4" t="s">
        <v>4</v>
      </c>
      <c r="C6649" s="4" t="s">
        <v>35</v>
      </c>
      <c r="D6649" s="4">
        <v>2028</v>
      </c>
      <c r="E6649" s="4">
        <v>0</v>
      </c>
      <c r="F6649" s="4" t="s">
        <v>29</v>
      </c>
    </row>
    <row r="6650" spans="1:6" x14ac:dyDescent="0.25">
      <c r="A6650" s="4" t="s">
        <v>84</v>
      </c>
      <c r="B6650" s="4" t="s">
        <v>4</v>
      </c>
      <c r="C6650" s="4" t="s">
        <v>35</v>
      </c>
      <c r="D6650" s="4">
        <v>2029</v>
      </c>
      <c r="E6650" s="4">
        <v>0</v>
      </c>
      <c r="F6650" s="4" t="s">
        <v>29</v>
      </c>
    </row>
    <row r="6651" spans="1:6" x14ac:dyDescent="0.25">
      <c r="A6651" s="4" t="s">
        <v>84</v>
      </c>
      <c r="B6651" s="4" t="s">
        <v>4</v>
      </c>
      <c r="C6651" s="4" t="s">
        <v>35</v>
      </c>
      <c r="D6651" s="4">
        <v>2030</v>
      </c>
      <c r="E6651" s="4">
        <v>0</v>
      </c>
      <c r="F6651" s="4" t="s">
        <v>29</v>
      </c>
    </row>
    <row r="6652" spans="1:6" x14ac:dyDescent="0.25">
      <c r="A6652" s="4" t="s">
        <v>84</v>
      </c>
      <c r="B6652" s="4" t="s">
        <v>4</v>
      </c>
      <c r="C6652" s="4" t="s">
        <v>35</v>
      </c>
      <c r="D6652" s="4">
        <v>2031</v>
      </c>
      <c r="E6652" s="4">
        <v>0</v>
      </c>
      <c r="F6652" s="4" t="s">
        <v>29</v>
      </c>
    </row>
    <row r="6653" spans="1:6" x14ac:dyDescent="0.25">
      <c r="A6653" s="4" t="s">
        <v>84</v>
      </c>
      <c r="B6653" s="4" t="s">
        <v>4</v>
      </c>
      <c r="C6653" s="4" t="s">
        <v>35</v>
      </c>
      <c r="D6653" s="4">
        <v>2032</v>
      </c>
      <c r="E6653" s="4">
        <v>0</v>
      </c>
      <c r="F6653" s="4" t="s">
        <v>29</v>
      </c>
    </row>
    <row r="6654" spans="1:6" x14ac:dyDescent="0.25">
      <c r="A6654" s="4" t="s">
        <v>84</v>
      </c>
      <c r="B6654" s="4" t="s">
        <v>4</v>
      </c>
      <c r="C6654" s="4" t="s">
        <v>35</v>
      </c>
      <c r="D6654" s="4">
        <v>2033</v>
      </c>
      <c r="E6654" s="4">
        <v>0</v>
      </c>
      <c r="F6654" s="4" t="s">
        <v>29</v>
      </c>
    </row>
    <row r="6655" spans="1:6" x14ac:dyDescent="0.25">
      <c r="A6655" s="4" t="s">
        <v>84</v>
      </c>
      <c r="B6655" s="4" t="s">
        <v>4</v>
      </c>
      <c r="C6655" s="4" t="s">
        <v>35</v>
      </c>
      <c r="D6655" s="4">
        <v>2034</v>
      </c>
      <c r="E6655" s="4">
        <v>0</v>
      </c>
      <c r="F6655" s="4" t="s">
        <v>29</v>
      </c>
    </row>
    <row r="6656" spans="1:6" x14ac:dyDescent="0.25">
      <c r="A6656" s="4" t="s">
        <v>84</v>
      </c>
      <c r="B6656" s="4" t="s">
        <v>4</v>
      </c>
      <c r="C6656" s="4" t="s">
        <v>35</v>
      </c>
      <c r="D6656" s="4">
        <v>2035</v>
      </c>
      <c r="E6656" s="4">
        <v>0</v>
      </c>
      <c r="F6656" s="4" t="s">
        <v>29</v>
      </c>
    </row>
    <row r="6657" spans="1:6" x14ac:dyDescent="0.25">
      <c r="A6657" s="4" t="s">
        <v>84</v>
      </c>
      <c r="B6657" s="4" t="s">
        <v>4</v>
      </c>
      <c r="C6657" s="4" t="s">
        <v>35</v>
      </c>
      <c r="D6657" s="4">
        <v>2036</v>
      </c>
      <c r="E6657" s="4">
        <v>0</v>
      </c>
      <c r="F6657" s="4" t="s">
        <v>29</v>
      </c>
    </row>
    <row r="6658" spans="1:6" x14ac:dyDescent="0.25">
      <c r="A6658" s="4" t="s">
        <v>84</v>
      </c>
      <c r="B6658" s="4" t="s">
        <v>4</v>
      </c>
      <c r="C6658" s="4" t="s">
        <v>35</v>
      </c>
      <c r="D6658" s="4">
        <v>2037</v>
      </c>
      <c r="E6658" s="4">
        <v>0</v>
      </c>
      <c r="F6658" s="4" t="s">
        <v>29</v>
      </c>
    </row>
    <row r="6659" spans="1:6" x14ac:dyDescent="0.25">
      <c r="A6659" s="4" t="s">
        <v>84</v>
      </c>
      <c r="B6659" s="4" t="s">
        <v>4</v>
      </c>
      <c r="C6659" s="4" t="s">
        <v>35</v>
      </c>
      <c r="D6659" s="4">
        <v>2038</v>
      </c>
      <c r="E6659" s="4">
        <v>0</v>
      </c>
      <c r="F6659" s="4" t="s">
        <v>29</v>
      </c>
    </row>
    <row r="6660" spans="1:6" x14ac:dyDescent="0.25">
      <c r="A6660" s="4" t="s">
        <v>84</v>
      </c>
      <c r="B6660" s="4" t="s">
        <v>4</v>
      </c>
      <c r="C6660" s="4" t="s">
        <v>35</v>
      </c>
      <c r="D6660" s="4">
        <v>2039</v>
      </c>
      <c r="E6660" s="4">
        <v>0</v>
      </c>
      <c r="F6660" s="4" t="s">
        <v>29</v>
      </c>
    </row>
    <row r="6661" spans="1:6" x14ac:dyDescent="0.25">
      <c r="A6661" s="4" t="s">
        <v>84</v>
      </c>
      <c r="B6661" s="4" t="s">
        <v>4</v>
      </c>
      <c r="C6661" s="4" t="s">
        <v>35</v>
      </c>
      <c r="D6661" s="4">
        <v>2040</v>
      </c>
      <c r="E6661" s="4">
        <v>0</v>
      </c>
      <c r="F6661" s="4" t="s">
        <v>29</v>
      </c>
    </row>
    <row r="6662" spans="1:6" x14ac:dyDescent="0.25">
      <c r="A6662" s="4" t="s">
        <v>84</v>
      </c>
      <c r="B6662" s="4" t="s">
        <v>5</v>
      </c>
      <c r="C6662" s="4" t="s">
        <v>35</v>
      </c>
      <c r="D6662" s="4">
        <v>2005</v>
      </c>
      <c r="E6662" s="4">
        <v>0</v>
      </c>
      <c r="F6662" s="4" t="s">
        <v>29</v>
      </c>
    </row>
    <row r="6663" spans="1:6" x14ac:dyDescent="0.25">
      <c r="A6663" s="4" t="s">
        <v>84</v>
      </c>
      <c r="B6663" s="4" t="s">
        <v>5</v>
      </c>
      <c r="C6663" s="4" t="s">
        <v>35</v>
      </c>
      <c r="D6663" s="4">
        <v>2006</v>
      </c>
      <c r="E6663" s="4">
        <v>0</v>
      </c>
      <c r="F6663" s="4" t="s">
        <v>29</v>
      </c>
    </row>
    <row r="6664" spans="1:6" x14ac:dyDescent="0.25">
      <c r="A6664" s="4" t="s">
        <v>84</v>
      </c>
      <c r="B6664" s="4" t="s">
        <v>5</v>
      </c>
      <c r="C6664" s="4" t="s">
        <v>35</v>
      </c>
      <c r="D6664" s="4">
        <v>2007</v>
      </c>
      <c r="E6664" s="4">
        <v>0</v>
      </c>
      <c r="F6664" s="4" t="s">
        <v>29</v>
      </c>
    </row>
    <row r="6665" spans="1:6" x14ac:dyDescent="0.25">
      <c r="A6665" s="4" t="s">
        <v>84</v>
      </c>
      <c r="B6665" s="4" t="s">
        <v>5</v>
      </c>
      <c r="C6665" s="4" t="s">
        <v>35</v>
      </c>
      <c r="D6665" s="4">
        <v>2008</v>
      </c>
      <c r="E6665" s="4">
        <v>0</v>
      </c>
      <c r="F6665" s="4" t="s">
        <v>29</v>
      </c>
    </row>
    <row r="6666" spans="1:6" x14ac:dyDescent="0.25">
      <c r="A6666" s="4" t="s">
        <v>84</v>
      </c>
      <c r="B6666" s="4" t="s">
        <v>5</v>
      </c>
      <c r="C6666" s="4" t="s">
        <v>35</v>
      </c>
      <c r="D6666" s="4">
        <v>2009</v>
      </c>
      <c r="E6666" s="4">
        <v>0</v>
      </c>
      <c r="F6666" s="4" t="s">
        <v>29</v>
      </c>
    </row>
    <row r="6667" spans="1:6" x14ac:dyDescent="0.25">
      <c r="A6667" s="4" t="s">
        <v>84</v>
      </c>
      <c r="B6667" s="4" t="s">
        <v>5</v>
      </c>
      <c r="C6667" s="4" t="s">
        <v>35</v>
      </c>
      <c r="D6667" s="4">
        <v>2010</v>
      </c>
      <c r="E6667" s="4">
        <v>0</v>
      </c>
      <c r="F6667" s="4" t="s">
        <v>29</v>
      </c>
    </row>
    <row r="6668" spans="1:6" x14ac:dyDescent="0.25">
      <c r="A6668" s="4" t="s">
        <v>84</v>
      </c>
      <c r="B6668" s="4" t="s">
        <v>5</v>
      </c>
      <c r="C6668" s="4" t="s">
        <v>35</v>
      </c>
      <c r="D6668" s="4">
        <v>2011</v>
      </c>
      <c r="E6668" s="4">
        <v>0</v>
      </c>
      <c r="F6668" s="4" t="s">
        <v>29</v>
      </c>
    </row>
    <row r="6669" spans="1:6" x14ac:dyDescent="0.25">
      <c r="A6669" s="4" t="s">
        <v>84</v>
      </c>
      <c r="B6669" s="4" t="s">
        <v>5</v>
      </c>
      <c r="C6669" s="4" t="s">
        <v>35</v>
      </c>
      <c r="D6669" s="4">
        <v>2012</v>
      </c>
      <c r="E6669" s="4">
        <v>0</v>
      </c>
      <c r="F6669" s="4" t="s">
        <v>29</v>
      </c>
    </row>
    <row r="6670" spans="1:6" x14ac:dyDescent="0.25">
      <c r="A6670" s="4" t="s">
        <v>84</v>
      </c>
      <c r="B6670" s="4" t="s">
        <v>5</v>
      </c>
      <c r="C6670" s="4" t="s">
        <v>35</v>
      </c>
      <c r="D6670" s="4">
        <v>2013</v>
      </c>
      <c r="E6670" s="4">
        <v>0</v>
      </c>
      <c r="F6670" s="4" t="s">
        <v>29</v>
      </c>
    </row>
    <row r="6671" spans="1:6" x14ac:dyDescent="0.25">
      <c r="A6671" s="4" t="s">
        <v>84</v>
      </c>
      <c r="B6671" s="4" t="s">
        <v>5</v>
      </c>
      <c r="C6671" s="4" t="s">
        <v>35</v>
      </c>
      <c r="D6671" s="4">
        <v>2014</v>
      </c>
      <c r="E6671" s="4">
        <v>0</v>
      </c>
      <c r="F6671" s="4" t="s">
        <v>29</v>
      </c>
    </row>
    <row r="6672" spans="1:6" x14ac:dyDescent="0.25">
      <c r="A6672" s="4" t="s">
        <v>84</v>
      </c>
      <c r="B6672" s="4" t="s">
        <v>5</v>
      </c>
      <c r="C6672" s="4" t="s">
        <v>35</v>
      </c>
      <c r="D6672" s="4">
        <v>2015</v>
      </c>
      <c r="E6672" s="4">
        <v>0</v>
      </c>
      <c r="F6672" s="4" t="s">
        <v>29</v>
      </c>
    </row>
    <row r="6673" spans="1:6" x14ac:dyDescent="0.25">
      <c r="A6673" s="4" t="s">
        <v>84</v>
      </c>
      <c r="B6673" s="4" t="s">
        <v>5</v>
      </c>
      <c r="C6673" s="4" t="s">
        <v>35</v>
      </c>
      <c r="D6673" s="4">
        <v>2016</v>
      </c>
      <c r="E6673" s="4">
        <v>0</v>
      </c>
      <c r="F6673" s="4" t="s">
        <v>29</v>
      </c>
    </row>
    <row r="6674" spans="1:6" x14ac:dyDescent="0.25">
      <c r="A6674" s="4" t="s">
        <v>84</v>
      </c>
      <c r="B6674" s="4" t="s">
        <v>5</v>
      </c>
      <c r="C6674" s="4" t="s">
        <v>35</v>
      </c>
      <c r="D6674" s="4">
        <v>2017</v>
      </c>
      <c r="E6674" s="4">
        <v>0</v>
      </c>
      <c r="F6674" s="4" t="s">
        <v>29</v>
      </c>
    </row>
    <row r="6675" spans="1:6" x14ac:dyDescent="0.25">
      <c r="A6675" s="4" t="s">
        <v>84</v>
      </c>
      <c r="B6675" s="4" t="s">
        <v>5</v>
      </c>
      <c r="C6675" s="4" t="s">
        <v>35</v>
      </c>
      <c r="D6675" s="4">
        <v>2018</v>
      </c>
      <c r="E6675" s="4">
        <v>0</v>
      </c>
      <c r="F6675" s="4" t="s">
        <v>29</v>
      </c>
    </row>
    <row r="6676" spans="1:6" x14ac:dyDescent="0.25">
      <c r="A6676" s="4" t="s">
        <v>84</v>
      </c>
      <c r="B6676" s="4" t="s">
        <v>5</v>
      </c>
      <c r="C6676" s="4" t="s">
        <v>35</v>
      </c>
      <c r="D6676" s="4">
        <v>2019</v>
      </c>
      <c r="E6676" s="4">
        <v>0</v>
      </c>
      <c r="F6676" s="4" t="s">
        <v>29</v>
      </c>
    </row>
    <row r="6677" spans="1:6" x14ac:dyDescent="0.25">
      <c r="A6677" s="4" t="s">
        <v>84</v>
      </c>
      <c r="B6677" s="4" t="s">
        <v>5</v>
      </c>
      <c r="C6677" s="4" t="s">
        <v>35</v>
      </c>
      <c r="D6677" s="4">
        <v>2020</v>
      </c>
      <c r="E6677" s="4">
        <v>0</v>
      </c>
      <c r="F6677" s="4" t="s">
        <v>29</v>
      </c>
    </row>
    <row r="6678" spans="1:6" x14ac:dyDescent="0.25">
      <c r="A6678" s="4" t="s">
        <v>84</v>
      </c>
      <c r="B6678" s="4" t="s">
        <v>5</v>
      </c>
      <c r="C6678" s="4" t="s">
        <v>35</v>
      </c>
      <c r="D6678" s="4">
        <v>2021</v>
      </c>
      <c r="E6678" s="4">
        <v>0</v>
      </c>
      <c r="F6678" s="4" t="s">
        <v>29</v>
      </c>
    </row>
    <row r="6679" spans="1:6" x14ac:dyDescent="0.25">
      <c r="A6679" s="4" t="s">
        <v>84</v>
      </c>
      <c r="B6679" s="4" t="s">
        <v>5</v>
      </c>
      <c r="C6679" s="4" t="s">
        <v>35</v>
      </c>
      <c r="D6679" s="4">
        <v>2022</v>
      </c>
      <c r="E6679" s="4">
        <v>0</v>
      </c>
      <c r="F6679" s="4" t="s">
        <v>29</v>
      </c>
    </row>
    <row r="6680" spans="1:6" x14ac:dyDescent="0.25">
      <c r="A6680" s="4" t="s">
        <v>84</v>
      </c>
      <c r="B6680" s="4" t="s">
        <v>5</v>
      </c>
      <c r="C6680" s="4" t="s">
        <v>35</v>
      </c>
      <c r="D6680" s="4">
        <v>2023</v>
      </c>
      <c r="E6680" s="4">
        <v>0</v>
      </c>
      <c r="F6680" s="4" t="s">
        <v>29</v>
      </c>
    </row>
    <row r="6681" spans="1:6" x14ac:dyDescent="0.25">
      <c r="A6681" s="4" t="s">
        <v>84</v>
      </c>
      <c r="B6681" s="4" t="s">
        <v>5</v>
      </c>
      <c r="C6681" s="4" t="s">
        <v>35</v>
      </c>
      <c r="D6681" s="4">
        <v>2024</v>
      </c>
      <c r="E6681" s="4">
        <v>0</v>
      </c>
      <c r="F6681" s="4" t="s">
        <v>29</v>
      </c>
    </row>
    <row r="6682" spans="1:6" x14ac:dyDescent="0.25">
      <c r="A6682" s="4" t="s">
        <v>84</v>
      </c>
      <c r="B6682" s="4" t="s">
        <v>5</v>
      </c>
      <c r="C6682" s="4" t="s">
        <v>35</v>
      </c>
      <c r="D6682" s="4">
        <v>2025</v>
      </c>
      <c r="E6682" s="4">
        <v>0</v>
      </c>
      <c r="F6682" s="4" t="s">
        <v>29</v>
      </c>
    </row>
    <row r="6683" spans="1:6" x14ac:dyDescent="0.25">
      <c r="A6683" s="4" t="s">
        <v>84</v>
      </c>
      <c r="B6683" s="4" t="s">
        <v>5</v>
      </c>
      <c r="C6683" s="4" t="s">
        <v>35</v>
      </c>
      <c r="D6683" s="4">
        <v>2026</v>
      </c>
      <c r="E6683" s="4">
        <v>0</v>
      </c>
      <c r="F6683" s="4" t="s">
        <v>29</v>
      </c>
    </row>
    <row r="6684" spans="1:6" x14ac:dyDescent="0.25">
      <c r="A6684" s="4" t="s">
        <v>84</v>
      </c>
      <c r="B6684" s="4" t="s">
        <v>5</v>
      </c>
      <c r="C6684" s="4" t="s">
        <v>35</v>
      </c>
      <c r="D6684" s="4">
        <v>2027</v>
      </c>
      <c r="E6684" s="4">
        <v>0</v>
      </c>
      <c r="F6684" s="4" t="s">
        <v>29</v>
      </c>
    </row>
    <row r="6685" spans="1:6" x14ac:dyDescent="0.25">
      <c r="A6685" s="4" t="s">
        <v>84</v>
      </c>
      <c r="B6685" s="4" t="s">
        <v>5</v>
      </c>
      <c r="C6685" s="4" t="s">
        <v>35</v>
      </c>
      <c r="D6685" s="4">
        <v>2028</v>
      </c>
      <c r="E6685" s="4">
        <v>0</v>
      </c>
      <c r="F6685" s="4" t="s">
        <v>29</v>
      </c>
    </row>
    <row r="6686" spans="1:6" x14ac:dyDescent="0.25">
      <c r="A6686" s="4" t="s">
        <v>84</v>
      </c>
      <c r="B6686" s="4" t="s">
        <v>5</v>
      </c>
      <c r="C6686" s="4" t="s">
        <v>35</v>
      </c>
      <c r="D6686" s="4">
        <v>2029</v>
      </c>
      <c r="E6686" s="4">
        <v>0</v>
      </c>
      <c r="F6686" s="4" t="s">
        <v>29</v>
      </c>
    </row>
    <row r="6687" spans="1:6" x14ac:dyDescent="0.25">
      <c r="A6687" s="4" t="s">
        <v>84</v>
      </c>
      <c r="B6687" s="4" t="s">
        <v>5</v>
      </c>
      <c r="C6687" s="4" t="s">
        <v>35</v>
      </c>
      <c r="D6687" s="4">
        <v>2030</v>
      </c>
      <c r="E6687" s="4">
        <v>0</v>
      </c>
      <c r="F6687" s="4" t="s">
        <v>29</v>
      </c>
    </row>
    <row r="6688" spans="1:6" x14ac:dyDescent="0.25">
      <c r="A6688" s="4" t="s">
        <v>84</v>
      </c>
      <c r="B6688" s="4" t="s">
        <v>5</v>
      </c>
      <c r="C6688" s="4" t="s">
        <v>35</v>
      </c>
      <c r="D6688" s="4">
        <v>2031</v>
      </c>
      <c r="E6688" s="4">
        <v>0</v>
      </c>
      <c r="F6688" s="4" t="s">
        <v>29</v>
      </c>
    </row>
    <row r="6689" spans="1:6" x14ac:dyDescent="0.25">
      <c r="A6689" s="4" t="s">
        <v>84</v>
      </c>
      <c r="B6689" s="4" t="s">
        <v>5</v>
      </c>
      <c r="C6689" s="4" t="s">
        <v>35</v>
      </c>
      <c r="D6689" s="4">
        <v>2032</v>
      </c>
      <c r="E6689" s="4">
        <v>0</v>
      </c>
      <c r="F6689" s="4" t="s">
        <v>29</v>
      </c>
    </row>
    <row r="6690" spans="1:6" x14ac:dyDescent="0.25">
      <c r="A6690" s="4" t="s">
        <v>84</v>
      </c>
      <c r="B6690" s="4" t="s">
        <v>5</v>
      </c>
      <c r="C6690" s="4" t="s">
        <v>35</v>
      </c>
      <c r="D6690" s="4">
        <v>2033</v>
      </c>
      <c r="E6690" s="4">
        <v>0</v>
      </c>
      <c r="F6690" s="4" t="s">
        <v>29</v>
      </c>
    </row>
    <row r="6691" spans="1:6" x14ac:dyDescent="0.25">
      <c r="A6691" s="4" t="s">
        <v>84</v>
      </c>
      <c r="B6691" s="4" t="s">
        <v>5</v>
      </c>
      <c r="C6691" s="4" t="s">
        <v>35</v>
      </c>
      <c r="D6691" s="4">
        <v>2034</v>
      </c>
      <c r="E6691" s="4">
        <v>0</v>
      </c>
      <c r="F6691" s="4" t="s">
        <v>29</v>
      </c>
    </row>
    <row r="6692" spans="1:6" x14ac:dyDescent="0.25">
      <c r="A6692" s="4" t="s">
        <v>84</v>
      </c>
      <c r="B6692" s="4" t="s">
        <v>5</v>
      </c>
      <c r="C6692" s="4" t="s">
        <v>35</v>
      </c>
      <c r="D6692" s="4">
        <v>2035</v>
      </c>
      <c r="E6692" s="4">
        <v>0</v>
      </c>
      <c r="F6692" s="4" t="s">
        <v>29</v>
      </c>
    </row>
    <row r="6693" spans="1:6" x14ac:dyDescent="0.25">
      <c r="A6693" s="4" t="s">
        <v>84</v>
      </c>
      <c r="B6693" s="4" t="s">
        <v>5</v>
      </c>
      <c r="C6693" s="4" t="s">
        <v>35</v>
      </c>
      <c r="D6693" s="4">
        <v>2036</v>
      </c>
      <c r="E6693" s="4">
        <v>0</v>
      </c>
      <c r="F6693" s="4" t="s">
        <v>29</v>
      </c>
    </row>
    <row r="6694" spans="1:6" x14ac:dyDescent="0.25">
      <c r="A6694" s="4" t="s">
        <v>84</v>
      </c>
      <c r="B6694" s="4" t="s">
        <v>5</v>
      </c>
      <c r="C6694" s="4" t="s">
        <v>35</v>
      </c>
      <c r="D6694" s="4">
        <v>2037</v>
      </c>
      <c r="E6694" s="4">
        <v>0</v>
      </c>
      <c r="F6694" s="4" t="s">
        <v>29</v>
      </c>
    </row>
    <row r="6695" spans="1:6" x14ac:dyDescent="0.25">
      <c r="A6695" s="4" t="s">
        <v>84</v>
      </c>
      <c r="B6695" s="4" t="s">
        <v>5</v>
      </c>
      <c r="C6695" s="4" t="s">
        <v>35</v>
      </c>
      <c r="D6695" s="4">
        <v>2038</v>
      </c>
      <c r="E6695" s="4">
        <v>0</v>
      </c>
      <c r="F6695" s="4" t="s">
        <v>29</v>
      </c>
    </row>
    <row r="6696" spans="1:6" x14ac:dyDescent="0.25">
      <c r="A6696" s="4" t="s">
        <v>84</v>
      </c>
      <c r="B6696" s="4" t="s">
        <v>5</v>
      </c>
      <c r="C6696" s="4" t="s">
        <v>35</v>
      </c>
      <c r="D6696" s="4">
        <v>2039</v>
      </c>
      <c r="E6696" s="4">
        <v>0</v>
      </c>
      <c r="F6696" s="4" t="s">
        <v>29</v>
      </c>
    </row>
    <row r="6697" spans="1:6" x14ac:dyDescent="0.25">
      <c r="A6697" s="4" t="s">
        <v>84</v>
      </c>
      <c r="B6697" s="4" t="s">
        <v>5</v>
      </c>
      <c r="C6697" s="4" t="s">
        <v>35</v>
      </c>
      <c r="D6697" s="4">
        <v>2040</v>
      </c>
      <c r="E6697" s="4">
        <v>0</v>
      </c>
      <c r="F6697" s="4" t="s">
        <v>29</v>
      </c>
    </row>
    <row r="6698" spans="1:6" x14ac:dyDescent="0.25">
      <c r="A6698" s="4" t="s">
        <v>84</v>
      </c>
      <c r="B6698" s="4" t="s">
        <v>6</v>
      </c>
      <c r="C6698" s="4" t="s">
        <v>35</v>
      </c>
      <c r="D6698" s="4">
        <v>2005</v>
      </c>
      <c r="E6698" s="4">
        <v>0</v>
      </c>
      <c r="F6698" s="4" t="s">
        <v>29</v>
      </c>
    </row>
    <row r="6699" spans="1:6" x14ac:dyDescent="0.25">
      <c r="A6699" s="4" t="s">
        <v>84</v>
      </c>
      <c r="B6699" s="4" t="s">
        <v>6</v>
      </c>
      <c r="C6699" s="4" t="s">
        <v>35</v>
      </c>
      <c r="D6699" s="4">
        <v>2006</v>
      </c>
      <c r="E6699" s="4">
        <v>0</v>
      </c>
      <c r="F6699" s="4" t="s">
        <v>29</v>
      </c>
    </row>
    <row r="6700" spans="1:6" x14ac:dyDescent="0.25">
      <c r="A6700" s="4" t="s">
        <v>84</v>
      </c>
      <c r="B6700" s="4" t="s">
        <v>6</v>
      </c>
      <c r="C6700" s="4" t="s">
        <v>35</v>
      </c>
      <c r="D6700" s="4">
        <v>2007</v>
      </c>
      <c r="E6700" s="4">
        <v>0</v>
      </c>
      <c r="F6700" s="4" t="s">
        <v>29</v>
      </c>
    </row>
    <row r="6701" spans="1:6" x14ac:dyDescent="0.25">
      <c r="A6701" s="4" t="s">
        <v>84</v>
      </c>
      <c r="B6701" s="4" t="s">
        <v>6</v>
      </c>
      <c r="C6701" s="4" t="s">
        <v>35</v>
      </c>
      <c r="D6701" s="4">
        <v>2008</v>
      </c>
      <c r="E6701" s="4">
        <v>0</v>
      </c>
      <c r="F6701" s="4" t="s">
        <v>29</v>
      </c>
    </row>
    <row r="6702" spans="1:6" x14ac:dyDescent="0.25">
      <c r="A6702" s="4" t="s">
        <v>84</v>
      </c>
      <c r="B6702" s="4" t="s">
        <v>6</v>
      </c>
      <c r="C6702" s="4" t="s">
        <v>35</v>
      </c>
      <c r="D6702" s="4">
        <v>2009</v>
      </c>
      <c r="E6702" s="4">
        <v>0</v>
      </c>
      <c r="F6702" s="4" t="s">
        <v>29</v>
      </c>
    </row>
    <row r="6703" spans="1:6" x14ac:dyDescent="0.25">
      <c r="A6703" s="4" t="s">
        <v>84</v>
      </c>
      <c r="B6703" s="4" t="s">
        <v>6</v>
      </c>
      <c r="C6703" s="4" t="s">
        <v>35</v>
      </c>
      <c r="D6703" s="4">
        <v>2010</v>
      </c>
      <c r="E6703" s="4">
        <v>0</v>
      </c>
      <c r="F6703" s="4" t="s">
        <v>29</v>
      </c>
    </row>
    <row r="6704" spans="1:6" x14ac:dyDescent="0.25">
      <c r="A6704" s="4" t="s">
        <v>84</v>
      </c>
      <c r="B6704" s="4" t="s">
        <v>6</v>
      </c>
      <c r="C6704" s="4" t="s">
        <v>35</v>
      </c>
      <c r="D6704" s="4">
        <v>2011</v>
      </c>
      <c r="E6704" s="4">
        <v>0</v>
      </c>
      <c r="F6704" s="4" t="s">
        <v>29</v>
      </c>
    </row>
    <row r="6705" spans="1:6" x14ac:dyDescent="0.25">
      <c r="A6705" s="4" t="s">
        <v>84</v>
      </c>
      <c r="B6705" s="4" t="s">
        <v>6</v>
      </c>
      <c r="C6705" s="4" t="s">
        <v>35</v>
      </c>
      <c r="D6705" s="4">
        <v>2012</v>
      </c>
      <c r="E6705" s="4">
        <v>0</v>
      </c>
      <c r="F6705" s="4" t="s">
        <v>29</v>
      </c>
    </row>
    <row r="6706" spans="1:6" x14ac:dyDescent="0.25">
      <c r="A6706" s="4" t="s">
        <v>84</v>
      </c>
      <c r="B6706" s="4" t="s">
        <v>6</v>
      </c>
      <c r="C6706" s="4" t="s">
        <v>35</v>
      </c>
      <c r="D6706" s="4">
        <v>2013</v>
      </c>
      <c r="E6706" s="4">
        <v>0</v>
      </c>
      <c r="F6706" s="4" t="s">
        <v>29</v>
      </c>
    </row>
    <row r="6707" spans="1:6" x14ac:dyDescent="0.25">
      <c r="A6707" s="4" t="s">
        <v>84</v>
      </c>
      <c r="B6707" s="4" t="s">
        <v>6</v>
      </c>
      <c r="C6707" s="4" t="s">
        <v>35</v>
      </c>
      <c r="D6707" s="4">
        <v>2014</v>
      </c>
      <c r="E6707" s="4">
        <v>0</v>
      </c>
      <c r="F6707" s="4" t="s">
        <v>29</v>
      </c>
    </row>
    <row r="6708" spans="1:6" x14ac:dyDescent="0.25">
      <c r="A6708" s="4" t="s">
        <v>84</v>
      </c>
      <c r="B6708" s="4" t="s">
        <v>6</v>
      </c>
      <c r="C6708" s="4" t="s">
        <v>35</v>
      </c>
      <c r="D6708" s="4">
        <v>2015</v>
      </c>
      <c r="E6708" s="4">
        <v>0</v>
      </c>
      <c r="F6708" s="4" t="s">
        <v>29</v>
      </c>
    </row>
    <row r="6709" spans="1:6" x14ac:dyDescent="0.25">
      <c r="A6709" s="4" t="s">
        <v>84</v>
      </c>
      <c r="B6709" s="4" t="s">
        <v>6</v>
      </c>
      <c r="C6709" s="4" t="s">
        <v>35</v>
      </c>
      <c r="D6709" s="4">
        <v>2016</v>
      </c>
      <c r="E6709" s="4">
        <v>0</v>
      </c>
      <c r="F6709" s="4" t="s">
        <v>29</v>
      </c>
    </row>
    <row r="6710" spans="1:6" x14ac:dyDescent="0.25">
      <c r="A6710" s="4" t="s">
        <v>84</v>
      </c>
      <c r="B6710" s="4" t="s">
        <v>6</v>
      </c>
      <c r="C6710" s="4" t="s">
        <v>35</v>
      </c>
      <c r="D6710" s="4">
        <v>2017</v>
      </c>
      <c r="E6710" s="4">
        <v>0</v>
      </c>
      <c r="F6710" s="4" t="s">
        <v>29</v>
      </c>
    </row>
    <row r="6711" spans="1:6" x14ac:dyDescent="0.25">
      <c r="A6711" s="4" t="s">
        <v>84</v>
      </c>
      <c r="B6711" s="4" t="s">
        <v>6</v>
      </c>
      <c r="C6711" s="4" t="s">
        <v>35</v>
      </c>
      <c r="D6711" s="4">
        <v>2018</v>
      </c>
      <c r="E6711" s="4">
        <v>0</v>
      </c>
      <c r="F6711" s="4" t="s">
        <v>29</v>
      </c>
    </row>
    <row r="6712" spans="1:6" x14ac:dyDescent="0.25">
      <c r="A6712" s="4" t="s">
        <v>84</v>
      </c>
      <c r="B6712" s="4" t="s">
        <v>6</v>
      </c>
      <c r="C6712" s="4" t="s">
        <v>35</v>
      </c>
      <c r="D6712" s="4">
        <v>2019</v>
      </c>
      <c r="E6712" s="4">
        <v>0</v>
      </c>
      <c r="F6712" s="4" t="s">
        <v>29</v>
      </c>
    </row>
    <row r="6713" spans="1:6" x14ac:dyDescent="0.25">
      <c r="A6713" s="4" t="s">
        <v>84</v>
      </c>
      <c r="B6713" s="4" t="s">
        <v>6</v>
      </c>
      <c r="C6713" s="4" t="s">
        <v>35</v>
      </c>
      <c r="D6713" s="4">
        <v>2020</v>
      </c>
      <c r="E6713" s="4">
        <v>0</v>
      </c>
      <c r="F6713" s="4" t="s">
        <v>29</v>
      </c>
    </row>
    <row r="6714" spans="1:6" x14ac:dyDescent="0.25">
      <c r="A6714" s="4" t="s">
        <v>84</v>
      </c>
      <c r="B6714" s="4" t="s">
        <v>6</v>
      </c>
      <c r="C6714" s="4" t="s">
        <v>35</v>
      </c>
      <c r="D6714" s="4">
        <v>2021</v>
      </c>
      <c r="E6714" s="4">
        <v>0</v>
      </c>
      <c r="F6714" s="4" t="s">
        <v>29</v>
      </c>
    </row>
    <row r="6715" spans="1:6" x14ac:dyDescent="0.25">
      <c r="A6715" s="4" t="s">
        <v>84</v>
      </c>
      <c r="B6715" s="4" t="s">
        <v>6</v>
      </c>
      <c r="C6715" s="4" t="s">
        <v>35</v>
      </c>
      <c r="D6715" s="4">
        <v>2022</v>
      </c>
      <c r="E6715" s="4">
        <v>0</v>
      </c>
      <c r="F6715" s="4" t="s">
        <v>29</v>
      </c>
    </row>
    <row r="6716" spans="1:6" x14ac:dyDescent="0.25">
      <c r="A6716" s="4" t="s">
        <v>84</v>
      </c>
      <c r="B6716" s="4" t="s">
        <v>6</v>
      </c>
      <c r="C6716" s="4" t="s">
        <v>35</v>
      </c>
      <c r="D6716" s="4">
        <v>2023</v>
      </c>
      <c r="E6716" s="4">
        <v>0</v>
      </c>
      <c r="F6716" s="4" t="s">
        <v>29</v>
      </c>
    </row>
    <row r="6717" spans="1:6" x14ac:dyDescent="0.25">
      <c r="A6717" s="4" t="s">
        <v>84</v>
      </c>
      <c r="B6717" s="4" t="s">
        <v>6</v>
      </c>
      <c r="C6717" s="4" t="s">
        <v>35</v>
      </c>
      <c r="D6717" s="4">
        <v>2024</v>
      </c>
      <c r="E6717" s="4">
        <v>0</v>
      </c>
      <c r="F6717" s="4" t="s">
        <v>29</v>
      </c>
    </row>
    <row r="6718" spans="1:6" x14ac:dyDescent="0.25">
      <c r="A6718" s="4" t="s">
        <v>84</v>
      </c>
      <c r="B6718" s="4" t="s">
        <v>6</v>
      </c>
      <c r="C6718" s="4" t="s">
        <v>35</v>
      </c>
      <c r="D6718" s="4">
        <v>2025</v>
      </c>
      <c r="E6718" s="4">
        <v>0</v>
      </c>
      <c r="F6718" s="4" t="s">
        <v>29</v>
      </c>
    </row>
    <row r="6719" spans="1:6" x14ac:dyDescent="0.25">
      <c r="A6719" s="4" t="s">
        <v>84</v>
      </c>
      <c r="B6719" s="4" t="s">
        <v>6</v>
      </c>
      <c r="C6719" s="4" t="s">
        <v>35</v>
      </c>
      <c r="D6719" s="4">
        <v>2026</v>
      </c>
      <c r="E6719" s="4">
        <v>0</v>
      </c>
      <c r="F6719" s="4" t="s">
        <v>29</v>
      </c>
    </row>
    <row r="6720" spans="1:6" x14ac:dyDescent="0.25">
      <c r="A6720" s="4" t="s">
        <v>84</v>
      </c>
      <c r="B6720" s="4" t="s">
        <v>6</v>
      </c>
      <c r="C6720" s="4" t="s">
        <v>35</v>
      </c>
      <c r="D6720" s="4">
        <v>2027</v>
      </c>
      <c r="E6720" s="4">
        <v>0</v>
      </c>
      <c r="F6720" s="4" t="s">
        <v>29</v>
      </c>
    </row>
    <row r="6721" spans="1:6" x14ac:dyDescent="0.25">
      <c r="A6721" s="4" t="s">
        <v>84</v>
      </c>
      <c r="B6721" s="4" t="s">
        <v>6</v>
      </c>
      <c r="C6721" s="4" t="s">
        <v>35</v>
      </c>
      <c r="D6721" s="4">
        <v>2028</v>
      </c>
      <c r="E6721" s="4">
        <v>0</v>
      </c>
      <c r="F6721" s="4" t="s">
        <v>29</v>
      </c>
    </row>
    <row r="6722" spans="1:6" x14ac:dyDescent="0.25">
      <c r="A6722" s="4" t="s">
        <v>84</v>
      </c>
      <c r="B6722" s="4" t="s">
        <v>6</v>
      </c>
      <c r="C6722" s="4" t="s">
        <v>35</v>
      </c>
      <c r="D6722" s="4">
        <v>2029</v>
      </c>
      <c r="E6722" s="4">
        <v>0</v>
      </c>
      <c r="F6722" s="4" t="s">
        <v>29</v>
      </c>
    </row>
    <row r="6723" spans="1:6" x14ac:dyDescent="0.25">
      <c r="A6723" s="4" t="s">
        <v>84</v>
      </c>
      <c r="B6723" s="4" t="s">
        <v>6</v>
      </c>
      <c r="C6723" s="4" t="s">
        <v>35</v>
      </c>
      <c r="D6723" s="4">
        <v>2030</v>
      </c>
      <c r="E6723" s="4">
        <v>0</v>
      </c>
      <c r="F6723" s="4" t="s">
        <v>29</v>
      </c>
    </row>
    <row r="6724" spans="1:6" x14ac:dyDescent="0.25">
      <c r="A6724" s="4" t="s">
        <v>84</v>
      </c>
      <c r="B6724" s="4" t="s">
        <v>6</v>
      </c>
      <c r="C6724" s="4" t="s">
        <v>35</v>
      </c>
      <c r="D6724" s="4">
        <v>2031</v>
      </c>
      <c r="E6724" s="4">
        <v>0</v>
      </c>
      <c r="F6724" s="4" t="s">
        <v>29</v>
      </c>
    </row>
    <row r="6725" spans="1:6" x14ac:dyDescent="0.25">
      <c r="A6725" s="4" t="s">
        <v>84</v>
      </c>
      <c r="B6725" s="4" t="s">
        <v>6</v>
      </c>
      <c r="C6725" s="4" t="s">
        <v>35</v>
      </c>
      <c r="D6725" s="4">
        <v>2032</v>
      </c>
      <c r="E6725" s="4">
        <v>0</v>
      </c>
      <c r="F6725" s="4" t="s">
        <v>29</v>
      </c>
    </row>
    <row r="6726" spans="1:6" x14ac:dyDescent="0.25">
      <c r="A6726" s="4" t="s">
        <v>84</v>
      </c>
      <c r="B6726" s="4" t="s">
        <v>6</v>
      </c>
      <c r="C6726" s="4" t="s">
        <v>35</v>
      </c>
      <c r="D6726" s="4">
        <v>2033</v>
      </c>
      <c r="E6726" s="4">
        <v>0</v>
      </c>
      <c r="F6726" s="4" t="s">
        <v>29</v>
      </c>
    </row>
    <row r="6727" spans="1:6" x14ac:dyDescent="0.25">
      <c r="A6727" s="4" t="s">
        <v>84</v>
      </c>
      <c r="B6727" s="4" t="s">
        <v>6</v>
      </c>
      <c r="C6727" s="4" t="s">
        <v>35</v>
      </c>
      <c r="D6727" s="4">
        <v>2034</v>
      </c>
      <c r="E6727" s="4">
        <v>0</v>
      </c>
      <c r="F6727" s="4" t="s">
        <v>29</v>
      </c>
    </row>
    <row r="6728" spans="1:6" x14ac:dyDescent="0.25">
      <c r="A6728" s="4" t="s">
        <v>84</v>
      </c>
      <c r="B6728" s="4" t="s">
        <v>6</v>
      </c>
      <c r="C6728" s="4" t="s">
        <v>35</v>
      </c>
      <c r="D6728" s="4">
        <v>2035</v>
      </c>
      <c r="E6728" s="4">
        <v>0</v>
      </c>
      <c r="F6728" s="4" t="s">
        <v>29</v>
      </c>
    </row>
    <row r="6729" spans="1:6" x14ac:dyDescent="0.25">
      <c r="A6729" s="4" t="s">
        <v>84</v>
      </c>
      <c r="B6729" s="4" t="s">
        <v>6</v>
      </c>
      <c r="C6729" s="4" t="s">
        <v>35</v>
      </c>
      <c r="D6729" s="4">
        <v>2036</v>
      </c>
      <c r="E6729" s="4">
        <v>0</v>
      </c>
      <c r="F6729" s="4" t="s">
        <v>29</v>
      </c>
    </row>
    <row r="6730" spans="1:6" x14ac:dyDescent="0.25">
      <c r="A6730" s="4" t="s">
        <v>84</v>
      </c>
      <c r="B6730" s="4" t="s">
        <v>6</v>
      </c>
      <c r="C6730" s="4" t="s">
        <v>35</v>
      </c>
      <c r="D6730" s="4">
        <v>2037</v>
      </c>
      <c r="E6730" s="4">
        <v>0</v>
      </c>
      <c r="F6730" s="4" t="s">
        <v>29</v>
      </c>
    </row>
    <row r="6731" spans="1:6" x14ac:dyDescent="0.25">
      <c r="A6731" s="4" t="s">
        <v>84</v>
      </c>
      <c r="B6731" s="4" t="s">
        <v>6</v>
      </c>
      <c r="C6731" s="4" t="s">
        <v>35</v>
      </c>
      <c r="D6731" s="4">
        <v>2038</v>
      </c>
      <c r="E6731" s="4">
        <v>0</v>
      </c>
      <c r="F6731" s="4" t="s">
        <v>29</v>
      </c>
    </row>
    <row r="6732" spans="1:6" x14ac:dyDescent="0.25">
      <c r="A6732" s="4" t="s">
        <v>84</v>
      </c>
      <c r="B6732" s="4" t="s">
        <v>6</v>
      </c>
      <c r="C6732" s="4" t="s">
        <v>35</v>
      </c>
      <c r="D6732" s="4">
        <v>2039</v>
      </c>
      <c r="E6732" s="4">
        <v>0</v>
      </c>
      <c r="F6732" s="4" t="s">
        <v>29</v>
      </c>
    </row>
    <row r="6733" spans="1:6" x14ac:dyDescent="0.25">
      <c r="A6733" s="4" t="s">
        <v>84</v>
      </c>
      <c r="B6733" s="4" t="s">
        <v>6</v>
      </c>
      <c r="C6733" s="4" t="s">
        <v>35</v>
      </c>
      <c r="D6733" s="4">
        <v>2040</v>
      </c>
      <c r="E6733" s="4">
        <v>0</v>
      </c>
      <c r="F6733" s="4" t="s">
        <v>29</v>
      </c>
    </row>
    <row r="6734" spans="1:6" x14ac:dyDescent="0.25">
      <c r="A6734" s="4" t="s">
        <v>84</v>
      </c>
      <c r="B6734" s="4" t="s">
        <v>23</v>
      </c>
      <c r="C6734" s="4" t="s">
        <v>35</v>
      </c>
      <c r="D6734" s="4">
        <v>2005</v>
      </c>
      <c r="E6734" s="4">
        <v>0</v>
      </c>
      <c r="F6734" s="4" t="s">
        <v>29</v>
      </c>
    </row>
    <row r="6735" spans="1:6" x14ac:dyDescent="0.25">
      <c r="A6735" s="4" t="s">
        <v>84</v>
      </c>
      <c r="B6735" s="4" t="s">
        <v>23</v>
      </c>
      <c r="C6735" s="4" t="s">
        <v>35</v>
      </c>
      <c r="D6735" s="4">
        <v>2006</v>
      </c>
      <c r="E6735" s="4">
        <v>0</v>
      </c>
      <c r="F6735" s="4" t="s">
        <v>29</v>
      </c>
    </row>
    <row r="6736" spans="1:6" x14ac:dyDescent="0.25">
      <c r="A6736" s="4" t="s">
        <v>84</v>
      </c>
      <c r="B6736" s="4" t="s">
        <v>23</v>
      </c>
      <c r="C6736" s="4" t="s">
        <v>35</v>
      </c>
      <c r="D6736" s="4">
        <v>2007</v>
      </c>
      <c r="E6736" s="4">
        <v>0</v>
      </c>
      <c r="F6736" s="4" t="s">
        <v>29</v>
      </c>
    </row>
    <row r="6737" spans="1:6" x14ac:dyDescent="0.25">
      <c r="A6737" s="4" t="s">
        <v>84</v>
      </c>
      <c r="B6737" s="4" t="s">
        <v>23</v>
      </c>
      <c r="C6737" s="4" t="s">
        <v>35</v>
      </c>
      <c r="D6737" s="4">
        <v>2008</v>
      </c>
      <c r="E6737" s="4">
        <v>0</v>
      </c>
      <c r="F6737" s="4" t="s">
        <v>29</v>
      </c>
    </row>
    <row r="6738" spans="1:6" x14ac:dyDescent="0.25">
      <c r="A6738" s="4" t="s">
        <v>84</v>
      </c>
      <c r="B6738" s="4" t="s">
        <v>23</v>
      </c>
      <c r="C6738" s="4" t="s">
        <v>35</v>
      </c>
      <c r="D6738" s="4">
        <v>2009</v>
      </c>
      <c r="E6738" s="4">
        <v>0</v>
      </c>
      <c r="F6738" s="4" t="s">
        <v>29</v>
      </c>
    </row>
    <row r="6739" spans="1:6" x14ac:dyDescent="0.25">
      <c r="A6739" s="4" t="s">
        <v>84</v>
      </c>
      <c r="B6739" s="4" t="s">
        <v>23</v>
      </c>
      <c r="C6739" s="4" t="s">
        <v>35</v>
      </c>
      <c r="D6739" s="4">
        <v>2010</v>
      </c>
      <c r="E6739" s="4">
        <v>0</v>
      </c>
      <c r="F6739" s="4" t="s">
        <v>29</v>
      </c>
    </row>
    <row r="6740" spans="1:6" x14ac:dyDescent="0.25">
      <c r="A6740" s="4" t="s">
        <v>84</v>
      </c>
      <c r="B6740" s="4" t="s">
        <v>23</v>
      </c>
      <c r="C6740" s="4" t="s">
        <v>35</v>
      </c>
      <c r="D6740" s="4">
        <v>2011</v>
      </c>
      <c r="E6740" s="4">
        <v>0</v>
      </c>
      <c r="F6740" s="4" t="s">
        <v>29</v>
      </c>
    </row>
    <row r="6741" spans="1:6" x14ac:dyDescent="0.25">
      <c r="A6741" s="4" t="s">
        <v>84</v>
      </c>
      <c r="B6741" s="4" t="s">
        <v>23</v>
      </c>
      <c r="C6741" s="4" t="s">
        <v>35</v>
      </c>
      <c r="D6741" s="4">
        <v>2012</v>
      </c>
      <c r="E6741" s="4">
        <v>0</v>
      </c>
      <c r="F6741" s="4" t="s">
        <v>29</v>
      </c>
    </row>
    <row r="6742" spans="1:6" x14ac:dyDescent="0.25">
      <c r="A6742" s="4" t="s">
        <v>84</v>
      </c>
      <c r="B6742" s="4" t="s">
        <v>23</v>
      </c>
      <c r="C6742" s="4" t="s">
        <v>35</v>
      </c>
      <c r="D6742" s="4">
        <v>2013</v>
      </c>
      <c r="E6742" s="4">
        <v>0</v>
      </c>
      <c r="F6742" s="4" t="s">
        <v>29</v>
      </c>
    </row>
    <row r="6743" spans="1:6" x14ac:dyDescent="0.25">
      <c r="A6743" s="4" t="s">
        <v>84</v>
      </c>
      <c r="B6743" s="4" t="s">
        <v>23</v>
      </c>
      <c r="C6743" s="4" t="s">
        <v>35</v>
      </c>
      <c r="D6743" s="4">
        <v>2014</v>
      </c>
      <c r="E6743" s="4">
        <v>0</v>
      </c>
      <c r="F6743" s="4" t="s">
        <v>29</v>
      </c>
    </row>
    <row r="6744" spans="1:6" x14ac:dyDescent="0.25">
      <c r="A6744" s="4" t="s">
        <v>84</v>
      </c>
      <c r="B6744" s="4" t="s">
        <v>23</v>
      </c>
      <c r="C6744" s="4" t="s">
        <v>35</v>
      </c>
      <c r="D6744" s="4">
        <v>2015</v>
      </c>
      <c r="E6744" s="4">
        <v>0</v>
      </c>
      <c r="F6744" s="4" t="s">
        <v>29</v>
      </c>
    </row>
    <row r="6745" spans="1:6" x14ac:dyDescent="0.25">
      <c r="A6745" s="4" t="s">
        <v>84</v>
      </c>
      <c r="B6745" s="4" t="s">
        <v>23</v>
      </c>
      <c r="C6745" s="4" t="s">
        <v>35</v>
      </c>
      <c r="D6745" s="4">
        <v>2016</v>
      </c>
      <c r="E6745" s="4">
        <v>0</v>
      </c>
      <c r="F6745" s="4" t="s">
        <v>29</v>
      </c>
    </row>
    <row r="6746" spans="1:6" x14ac:dyDescent="0.25">
      <c r="A6746" s="4" t="s">
        <v>84</v>
      </c>
      <c r="B6746" s="4" t="s">
        <v>23</v>
      </c>
      <c r="C6746" s="4" t="s">
        <v>35</v>
      </c>
      <c r="D6746" s="4">
        <v>2017</v>
      </c>
      <c r="E6746" s="4">
        <v>0</v>
      </c>
      <c r="F6746" s="4" t="s">
        <v>29</v>
      </c>
    </row>
    <row r="6747" spans="1:6" x14ac:dyDescent="0.25">
      <c r="A6747" s="4" t="s">
        <v>84</v>
      </c>
      <c r="B6747" s="4" t="s">
        <v>23</v>
      </c>
      <c r="C6747" s="4" t="s">
        <v>35</v>
      </c>
      <c r="D6747" s="4">
        <v>2018</v>
      </c>
      <c r="E6747" s="4">
        <v>0</v>
      </c>
      <c r="F6747" s="4" t="s">
        <v>29</v>
      </c>
    </row>
    <row r="6748" spans="1:6" x14ac:dyDescent="0.25">
      <c r="A6748" s="4" t="s">
        <v>84</v>
      </c>
      <c r="B6748" s="4" t="s">
        <v>23</v>
      </c>
      <c r="C6748" s="4" t="s">
        <v>35</v>
      </c>
      <c r="D6748" s="4">
        <v>2019</v>
      </c>
      <c r="E6748" s="4">
        <v>0</v>
      </c>
      <c r="F6748" s="4" t="s">
        <v>29</v>
      </c>
    </row>
    <row r="6749" spans="1:6" x14ac:dyDescent="0.25">
      <c r="A6749" s="4" t="s">
        <v>84</v>
      </c>
      <c r="B6749" s="4" t="s">
        <v>23</v>
      </c>
      <c r="C6749" s="4" t="s">
        <v>35</v>
      </c>
      <c r="D6749" s="4">
        <v>2020</v>
      </c>
      <c r="E6749" s="4">
        <v>0</v>
      </c>
      <c r="F6749" s="4" t="s">
        <v>29</v>
      </c>
    </row>
    <row r="6750" spans="1:6" x14ac:dyDescent="0.25">
      <c r="A6750" s="4" t="s">
        <v>84</v>
      </c>
      <c r="B6750" s="4" t="s">
        <v>23</v>
      </c>
      <c r="C6750" s="4" t="s">
        <v>35</v>
      </c>
      <c r="D6750" s="4">
        <v>2021</v>
      </c>
      <c r="E6750" s="4">
        <v>0</v>
      </c>
      <c r="F6750" s="4" t="s">
        <v>29</v>
      </c>
    </row>
    <row r="6751" spans="1:6" x14ac:dyDescent="0.25">
      <c r="A6751" s="4" t="s">
        <v>84</v>
      </c>
      <c r="B6751" s="4" t="s">
        <v>23</v>
      </c>
      <c r="C6751" s="4" t="s">
        <v>35</v>
      </c>
      <c r="D6751" s="4">
        <v>2022</v>
      </c>
      <c r="E6751" s="4">
        <v>0</v>
      </c>
      <c r="F6751" s="4" t="s">
        <v>29</v>
      </c>
    </row>
    <row r="6752" spans="1:6" x14ac:dyDescent="0.25">
      <c r="A6752" s="4" t="s">
        <v>84</v>
      </c>
      <c r="B6752" s="4" t="s">
        <v>23</v>
      </c>
      <c r="C6752" s="4" t="s">
        <v>35</v>
      </c>
      <c r="D6752" s="4">
        <v>2023</v>
      </c>
      <c r="E6752" s="4">
        <v>0</v>
      </c>
      <c r="F6752" s="4" t="s">
        <v>29</v>
      </c>
    </row>
    <row r="6753" spans="1:6" x14ac:dyDescent="0.25">
      <c r="A6753" s="4" t="s">
        <v>84</v>
      </c>
      <c r="B6753" s="4" t="s">
        <v>23</v>
      </c>
      <c r="C6753" s="4" t="s">
        <v>35</v>
      </c>
      <c r="D6753" s="4">
        <v>2024</v>
      </c>
      <c r="E6753" s="4">
        <v>0</v>
      </c>
      <c r="F6753" s="4" t="s">
        <v>29</v>
      </c>
    </row>
    <row r="6754" spans="1:6" x14ac:dyDescent="0.25">
      <c r="A6754" s="4" t="s">
        <v>84</v>
      </c>
      <c r="B6754" s="4" t="s">
        <v>23</v>
      </c>
      <c r="C6754" s="4" t="s">
        <v>35</v>
      </c>
      <c r="D6754" s="4">
        <v>2025</v>
      </c>
      <c r="E6754" s="4">
        <v>0</v>
      </c>
      <c r="F6754" s="4" t="s">
        <v>29</v>
      </c>
    </row>
    <row r="6755" spans="1:6" x14ac:dyDescent="0.25">
      <c r="A6755" s="4" t="s">
        <v>84</v>
      </c>
      <c r="B6755" s="4" t="s">
        <v>23</v>
      </c>
      <c r="C6755" s="4" t="s">
        <v>35</v>
      </c>
      <c r="D6755" s="4">
        <v>2026</v>
      </c>
      <c r="E6755" s="4">
        <v>0</v>
      </c>
      <c r="F6755" s="4" t="s">
        <v>29</v>
      </c>
    </row>
    <row r="6756" spans="1:6" x14ac:dyDescent="0.25">
      <c r="A6756" s="4" t="s">
        <v>84</v>
      </c>
      <c r="B6756" s="4" t="s">
        <v>23</v>
      </c>
      <c r="C6756" s="4" t="s">
        <v>35</v>
      </c>
      <c r="D6756" s="4">
        <v>2027</v>
      </c>
      <c r="E6756" s="4">
        <v>0</v>
      </c>
      <c r="F6756" s="4" t="s">
        <v>29</v>
      </c>
    </row>
    <row r="6757" spans="1:6" x14ac:dyDescent="0.25">
      <c r="A6757" s="4" t="s">
        <v>84</v>
      </c>
      <c r="B6757" s="4" t="s">
        <v>23</v>
      </c>
      <c r="C6757" s="4" t="s">
        <v>35</v>
      </c>
      <c r="D6757" s="4">
        <v>2028</v>
      </c>
      <c r="E6757" s="4">
        <v>0</v>
      </c>
      <c r="F6757" s="4" t="s">
        <v>29</v>
      </c>
    </row>
    <row r="6758" spans="1:6" x14ac:dyDescent="0.25">
      <c r="A6758" s="4" t="s">
        <v>84</v>
      </c>
      <c r="B6758" s="4" t="s">
        <v>23</v>
      </c>
      <c r="C6758" s="4" t="s">
        <v>35</v>
      </c>
      <c r="D6758" s="4">
        <v>2029</v>
      </c>
      <c r="E6758" s="4">
        <v>0</v>
      </c>
      <c r="F6758" s="4" t="s">
        <v>29</v>
      </c>
    </row>
    <row r="6759" spans="1:6" x14ac:dyDescent="0.25">
      <c r="A6759" s="4" t="s">
        <v>84</v>
      </c>
      <c r="B6759" s="4" t="s">
        <v>23</v>
      </c>
      <c r="C6759" s="4" t="s">
        <v>35</v>
      </c>
      <c r="D6759" s="4">
        <v>2030</v>
      </c>
      <c r="E6759" s="4">
        <v>0</v>
      </c>
      <c r="F6759" s="4" t="s">
        <v>29</v>
      </c>
    </row>
    <row r="6760" spans="1:6" x14ac:dyDescent="0.25">
      <c r="A6760" s="4" t="s">
        <v>84</v>
      </c>
      <c r="B6760" s="4" t="s">
        <v>23</v>
      </c>
      <c r="C6760" s="4" t="s">
        <v>35</v>
      </c>
      <c r="D6760" s="4">
        <v>2031</v>
      </c>
      <c r="E6760" s="4">
        <v>0</v>
      </c>
      <c r="F6760" s="4" t="s">
        <v>29</v>
      </c>
    </row>
    <row r="6761" spans="1:6" x14ac:dyDescent="0.25">
      <c r="A6761" s="4" t="s">
        <v>84</v>
      </c>
      <c r="B6761" s="4" t="s">
        <v>23</v>
      </c>
      <c r="C6761" s="4" t="s">
        <v>35</v>
      </c>
      <c r="D6761" s="4">
        <v>2032</v>
      </c>
      <c r="E6761" s="4">
        <v>0</v>
      </c>
      <c r="F6761" s="4" t="s">
        <v>29</v>
      </c>
    </row>
    <row r="6762" spans="1:6" x14ac:dyDescent="0.25">
      <c r="A6762" s="4" t="s">
        <v>84</v>
      </c>
      <c r="B6762" s="4" t="s">
        <v>23</v>
      </c>
      <c r="C6762" s="4" t="s">
        <v>35</v>
      </c>
      <c r="D6762" s="4">
        <v>2033</v>
      </c>
      <c r="E6762" s="4">
        <v>0</v>
      </c>
      <c r="F6762" s="4" t="s">
        <v>29</v>
      </c>
    </row>
    <row r="6763" spans="1:6" x14ac:dyDescent="0.25">
      <c r="A6763" s="4" t="s">
        <v>84</v>
      </c>
      <c r="B6763" s="4" t="s">
        <v>23</v>
      </c>
      <c r="C6763" s="4" t="s">
        <v>35</v>
      </c>
      <c r="D6763" s="4">
        <v>2034</v>
      </c>
      <c r="E6763" s="4">
        <v>0</v>
      </c>
      <c r="F6763" s="4" t="s">
        <v>29</v>
      </c>
    </row>
    <row r="6764" spans="1:6" x14ac:dyDescent="0.25">
      <c r="A6764" s="4" t="s">
        <v>84</v>
      </c>
      <c r="B6764" s="4" t="s">
        <v>23</v>
      </c>
      <c r="C6764" s="4" t="s">
        <v>35</v>
      </c>
      <c r="D6764" s="4">
        <v>2035</v>
      </c>
      <c r="E6764" s="4">
        <v>0</v>
      </c>
      <c r="F6764" s="4" t="s">
        <v>29</v>
      </c>
    </row>
    <row r="6765" spans="1:6" x14ac:dyDescent="0.25">
      <c r="A6765" s="4" t="s">
        <v>84</v>
      </c>
      <c r="B6765" s="4" t="s">
        <v>23</v>
      </c>
      <c r="C6765" s="4" t="s">
        <v>35</v>
      </c>
      <c r="D6765" s="4">
        <v>2036</v>
      </c>
      <c r="E6765" s="4">
        <v>0</v>
      </c>
      <c r="F6765" s="4" t="s">
        <v>29</v>
      </c>
    </row>
    <row r="6766" spans="1:6" x14ac:dyDescent="0.25">
      <c r="A6766" s="4" t="s">
        <v>84</v>
      </c>
      <c r="B6766" s="4" t="s">
        <v>23</v>
      </c>
      <c r="C6766" s="4" t="s">
        <v>35</v>
      </c>
      <c r="D6766" s="4">
        <v>2037</v>
      </c>
      <c r="E6766" s="4">
        <v>0</v>
      </c>
      <c r="F6766" s="4" t="s">
        <v>29</v>
      </c>
    </row>
    <row r="6767" spans="1:6" x14ac:dyDescent="0.25">
      <c r="A6767" s="4" t="s">
        <v>84</v>
      </c>
      <c r="B6767" s="4" t="s">
        <v>23</v>
      </c>
      <c r="C6767" s="4" t="s">
        <v>35</v>
      </c>
      <c r="D6767" s="4">
        <v>2038</v>
      </c>
      <c r="E6767" s="4">
        <v>0</v>
      </c>
      <c r="F6767" s="4" t="s">
        <v>29</v>
      </c>
    </row>
    <row r="6768" spans="1:6" x14ac:dyDescent="0.25">
      <c r="A6768" s="4" t="s">
        <v>84</v>
      </c>
      <c r="B6768" s="4" t="s">
        <v>23</v>
      </c>
      <c r="C6768" s="4" t="s">
        <v>35</v>
      </c>
      <c r="D6768" s="4">
        <v>2039</v>
      </c>
      <c r="E6768" s="4">
        <v>0</v>
      </c>
      <c r="F6768" s="4" t="s">
        <v>29</v>
      </c>
    </row>
    <row r="6769" spans="1:6" x14ac:dyDescent="0.25">
      <c r="A6769" s="4" t="s">
        <v>84</v>
      </c>
      <c r="B6769" s="4" t="s">
        <v>23</v>
      </c>
      <c r="C6769" s="4" t="s">
        <v>35</v>
      </c>
      <c r="D6769" s="4">
        <v>2040</v>
      </c>
      <c r="E6769" s="4">
        <v>0</v>
      </c>
      <c r="F6769" s="4" t="s">
        <v>29</v>
      </c>
    </row>
    <row r="6770" spans="1:6" x14ac:dyDescent="0.25">
      <c r="A6770" s="4" t="s">
        <v>85</v>
      </c>
      <c r="B6770" s="4" t="s">
        <v>1</v>
      </c>
      <c r="C6770" s="4" t="s">
        <v>35</v>
      </c>
      <c r="D6770" s="4">
        <v>2005</v>
      </c>
      <c r="E6770" s="4">
        <v>0</v>
      </c>
      <c r="F6770" s="4" t="s">
        <v>29</v>
      </c>
    </row>
    <row r="6771" spans="1:6" x14ac:dyDescent="0.25">
      <c r="A6771" s="4" t="s">
        <v>85</v>
      </c>
      <c r="B6771" s="4" t="s">
        <v>1</v>
      </c>
      <c r="C6771" s="4" t="s">
        <v>35</v>
      </c>
      <c r="D6771" s="4">
        <v>2006</v>
      </c>
      <c r="E6771" s="4">
        <v>0</v>
      </c>
      <c r="F6771" s="4" t="s">
        <v>29</v>
      </c>
    </row>
    <row r="6772" spans="1:6" x14ac:dyDescent="0.25">
      <c r="A6772" s="4" t="s">
        <v>85</v>
      </c>
      <c r="B6772" s="4" t="s">
        <v>1</v>
      </c>
      <c r="C6772" s="4" t="s">
        <v>35</v>
      </c>
      <c r="D6772" s="4">
        <v>2007</v>
      </c>
      <c r="E6772" s="4">
        <v>0</v>
      </c>
      <c r="F6772" s="4" t="s">
        <v>29</v>
      </c>
    </row>
    <row r="6773" spans="1:6" x14ac:dyDescent="0.25">
      <c r="A6773" s="4" t="s">
        <v>85</v>
      </c>
      <c r="B6773" s="4" t="s">
        <v>1</v>
      </c>
      <c r="C6773" s="4" t="s">
        <v>35</v>
      </c>
      <c r="D6773" s="4">
        <v>2008</v>
      </c>
      <c r="E6773" s="4">
        <v>0</v>
      </c>
      <c r="F6773" s="4" t="s">
        <v>29</v>
      </c>
    </row>
    <row r="6774" spans="1:6" x14ac:dyDescent="0.25">
      <c r="A6774" s="4" t="s">
        <v>85</v>
      </c>
      <c r="B6774" s="4" t="s">
        <v>1</v>
      </c>
      <c r="C6774" s="4" t="s">
        <v>35</v>
      </c>
      <c r="D6774" s="4">
        <v>2009</v>
      </c>
      <c r="E6774" s="4">
        <v>0</v>
      </c>
      <c r="F6774" s="4" t="s">
        <v>29</v>
      </c>
    </row>
    <row r="6775" spans="1:6" x14ac:dyDescent="0.25">
      <c r="A6775" s="4" t="s">
        <v>85</v>
      </c>
      <c r="B6775" s="4" t="s">
        <v>1</v>
      </c>
      <c r="C6775" s="4" t="s">
        <v>35</v>
      </c>
      <c r="D6775" s="4">
        <v>2010</v>
      </c>
      <c r="E6775" s="4">
        <v>0</v>
      </c>
      <c r="F6775" s="4" t="s">
        <v>29</v>
      </c>
    </row>
    <row r="6776" spans="1:6" x14ac:dyDescent="0.25">
      <c r="A6776" s="4" t="s">
        <v>85</v>
      </c>
      <c r="B6776" s="4" t="s">
        <v>1</v>
      </c>
      <c r="C6776" s="4" t="s">
        <v>35</v>
      </c>
      <c r="D6776" s="4">
        <v>2011</v>
      </c>
      <c r="E6776" s="4">
        <v>0</v>
      </c>
      <c r="F6776" s="4" t="s">
        <v>29</v>
      </c>
    </row>
    <row r="6777" spans="1:6" x14ac:dyDescent="0.25">
      <c r="A6777" s="4" t="s">
        <v>85</v>
      </c>
      <c r="B6777" s="4" t="s">
        <v>1</v>
      </c>
      <c r="C6777" s="4" t="s">
        <v>35</v>
      </c>
      <c r="D6777" s="4">
        <v>2012</v>
      </c>
      <c r="E6777" s="4">
        <v>0</v>
      </c>
      <c r="F6777" s="4" t="s">
        <v>29</v>
      </c>
    </row>
    <row r="6778" spans="1:6" x14ac:dyDescent="0.25">
      <c r="A6778" s="4" t="s">
        <v>85</v>
      </c>
      <c r="B6778" s="4" t="s">
        <v>1</v>
      </c>
      <c r="C6778" s="4" t="s">
        <v>35</v>
      </c>
      <c r="D6778" s="4">
        <v>2013</v>
      </c>
      <c r="E6778" s="4">
        <v>0</v>
      </c>
      <c r="F6778" s="4" t="s">
        <v>29</v>
      </c>
    </row>
    <row r="6779" spans="1:6" x14ac:dyDescent="0.25">
      <c r="A6779" s="4" t="s">
        <v>85</v>
      </c>
      <c r="B6779" s="4" t="s">
        <v>1</v>
      </c>
      <c r="C6779" s="4" t="s">
        <v>35</v>
      </c>
      <c r="D6779" s="4">
        <v>2014</v>
      </c>
      <c r="E6779" s="4">
        <v>0</v>
      </c>
      <c r="F6779" s="4" t="s">
        <v>29</v>
      </c>
    </row>
    <row r="6780" spans="1:6" x14ac:dyDescent="0.25">
      <c r="A6780" s="4" t="s">
        <v>85</v>
      </c>
      <c r="B6780" s="4" t="s">
        <v>1</v>
      </c>
      <c r="C6780" s="4" t="s">
        <v>35</v>
      </c>
      <c r="D6780" s="4">
        <v>2015</v>
      </c>
      <c r="E6780" s="4">
        <v>0</v>
      </c>
      <c r="F6780" s="4" t="s">
        <v>29</v>
      </c>
    </row>
    <row r="6781" spans="1:6" x14ac:dyDescent="0.25">
      <c r="A6781" s="4" t="s">
        <v>85</v>
      </c>
      <c r="B6781" s="4" t="s">
        <v>1</v>
      </c>
      <c r="C6781" s="4" t="s">
        <v>35</v>
      </c>
      <c r="D6781" s="4">
        <v>2016</v>
      </c>
      <c r="E6781" s="4">
        <v>0</v>
      </c>
      <c r="F6781" s="4" t="s">
        <v>29</v>
      </c>
    </row>
    <row r="6782" spans="1:6" x14ac:dyDescent="0.25">
      <c r="A6782" s="4" t="s">
        <v>85</v>
      </c>
      <c r="B6782" s="4" t="s">
        <v>1</v>
      </c>
      <c r="C6782" s="4" t="s">
        <v>35</v>
      </c>
      <c r="D6782" s="4">
        <v>2017</v>
      </c>
      <c r="E6782" s="4">
        <v>0</v>
      </c>
      <c r="F6782" s="4" t="s">
        <v>29</v>
      </c>
    </row>
    <row r="6783" spans="1:6" x14ac:dyDescent="0.25">
      <c r="A6783" s="4" t="s">
        <v>85</v>
      </c>
      <c r="B6783" s="4" t="s">
        <v>1</v>
      </c>
      <c r="C6783" s="4" t="s">
        <v>35</v>
      </c>
      <c r="D6783" s="4">
        <v>2018</v>
      </c>
      <c r="E6783" s="4">
        <v>0</v>
      </c>
      <c r="F6783" s="4" t="s">
        <v>29</v>
      </c>
    </row>
    <row r="6784" spans="1:6" x14ac:dyDescent="0.25">
      <c r="A6784" s="4" t="s">
        <v>85</v>
      </c>
      <c r="B6784" s="4" t="s">
        <v>1</v>
      </c>
      <c r="C6784" s="4" t="s">
        <v>35</v>
      </c>
      <c r="D6784" s="4">
        <v>2019</v>
      </c>
      <c r="E6784" s="4">
        <v>0</v>
      </c>
      <c r="F6784" s="4" t="s">
        <v>29</v>
      </c>
    </row>
    <row r="6785" spans="1:6" x14ac:dyDescent="0.25">
      <c r="A6785" s="4" t="s">
        <v>85</v>
      </c>
      <c r="B6785" s="4" t="s">
        <v>1</v>
      </c>
      <c r="C6785" s="4" t="s">
        <v>35</v>
      </c>
      <c r="D6785" s="4">
        <v>2020</v>
      </c>
      <c r="E6785" s="4">
        <v>0</v>
      </c>
      <c r="F6785" s="4" t="s">
        <v>29</v>
      </c>
    </row>
    <row r="6786" spans="1:6" x14ac:dyDescent="0.25">
      <c r="A6786" s="4" t="s">
        <v>85</v>
      </c>
      <c r="B6786" s="4" t="s">
        <v>1</v>
      </c>
      <c r="C6786" s="4" t="s">
        <v>35</v>
      </c>
      <c r="D6786" s="4">
        <v>2021</v>
      </c>
      <c r="E6786" s="4">
        <v>0</v>
      </c>
      <c r="F6786" s="4" t="s">
        <v>29</v>
      </c>
    </row>
    <row r="6787" spans="1:6" x14ac:dyDescent="0.25">
      <c r="A6787" s="4" t="s">
        <v>85</v>
      </c>
      <c r="B6787" s="4" t="s">
        <v>1</v>
      </c>
      <c r="C6787" s="4" t="s">
        <v>35</v>
      </c>
      <c r="D6787" s="4">
        <v>2022</v>
      </c>
      <c r="E6787" s="4">
        <v>0</v>
      </c>
      <c r="F6787" s="4" t="s">
        <v>29</v>
      </c>
    </row>
    <row r="6788" spans="1:6" x14ac:dyDescent="0.25">
      <c r="A6788" s="4" t="s">
        <v>85</v>
      </c>
      <c r="B6788" s="4" t="s">
        <v>1</v>
      </c>
      <c r="C6788" s="4" t="s">
        <v>35</v>
      </c>
      <c r="D6788" s="4">
        <v>2023</v>
      </c>
      <c r="E6788" s="4">
        <v>0</v>
      </c>
      <c r="F6788" s="4" t="s">
        <v>29</v>
      </c>
    </row>
    <row r="6789" spans="1:6" x14ac:dyDescent="0.25">
      <c r="A6789" s="4" t="s">
        <v>85</v>
      </c>
      <c r="B6789" s="4" t="s">
        <v>1</v>
      </c>
      <c r="C6789" s="4" t="s">
        <v>35</v>
      </c>
      <c r="D6789" s="4">
        <v>2024</v>
      </c>
      <c r="E6789" s="4">
        <v>0</v>
      </c>
      <c r="F6789" s="4" t="s">
        <v>29</v>
      </c>
    </row>
    <row r="6790" spans="1:6" x14ac:dyDescent="0.25">
      <c r="A6790" s="4" t="s">
        <v>85</v>
      </c>
      <c r="B6790" s="4" t="s">
        <v>1</v>
      </c>
      <c r="C6790" s="4" t="s">
        <v>35</v>
      </c>
      <c r="D6790" s="4">
        <v>2025</v>
      </c>
      <c r="E6790" s="4">
        <v>0</v>
      </c>
      <c r="F6790" s="4" t="s">
        <v>29</v>
      </c>
    </row>
    <row r="6791" spans="1:6" x14ac:dyDescent="0.25">
      <c r="A6791" s="4" t="s">
        <v>85</v>
      </c>
      <c r="B6791" s="4" t="s">
        <v>1</v>
      </c>
      <c r="C6791" s="4" t="s">
        <v>35</v>
      </c>
      <c r="D6791" s="4">
        <v>2026</v>
      </c>
      <c r="E6791" s="4">
        <v>0</v>
      </c>
      <c r="F6791" s="4" t="s">
        <v>29</v>
      </c>
    </row>
    <row r="6792" spans="1:6" x14ac:dyDescent="0.25">
      <c r="A6792" s="4" t="s">
        <v>85</v>
      </c>
      <c r="B6792" s="4" t="s">
        <v>1</v>
      </c>
      <c r="C6792" s="4" t="s">
        <v>35</v>
      </c>
      <c r="D6792" s="4">
        <v>2027</v>
      </c>
      <c r="E6792" s="4">
        <v>0</v>
      </c>
      <c r="F6792" s="4" t="s">
        <v>29</v>
      </c>
    </row>
    <row r="6793" spans="1:6" x14ac:dyDescent="0.25">
      <c r="A6793" s="4" t="s">
        <v>85</v>
      </c>
      <c r="B6793" s="4" t="s">
        <v>1</v>
      </c>
      <c r="C6793" s="4" t="s">
        <v>35</v>
      </c>
      <c r="D6793" s="4">
        <v>2028</v>
      </c>
      <c r="E6793" s="4">
        <v>0</v>
      </c>
      <c r="F6793" s="4" t="s">
        <v>29</v>
      </c>
    </row>
    <row r="6794" spans="1:6" x14ac:dyDescent="0.25">
      <c r="A6794" s="4" t="s">
        <v>85</v>
      </c>
      <c r="B6794" s="4" t="s">
        <v>1</v>
      </c>
      <c r="C6794" s="4" t="s">
        <v>35</v>
      </c>
      <c r="D6794" s="4">
        <v>2029</v>
      </c>
      <c r="E6794" s="4">
        <v>0</v>
      </c>
      <c r="F6794" s="4" t="s">
        <v>29</v>
      </c>
    </row>
    <row r="6795" spans="1:6" x14ac:dyDescent="0.25">
      <c r="A6795" s="4" t="s">
        <v>85</v>
      </c>
      <c r="B6795" s="4" t="s">
        <v>1</v>
      </c>
      <c r="C6795" s="4" t="s">
        <v>35</v>
      </c>
      <c r="D6795" s="4">
        <v>2030</v>
      </c>
      <c r="E6795" s="4">
        <v>0</v>
      </c>
      <c r="F6795" s="4" t="s">
        <v>29</v>
      </c>
    </row>
    <row r="6796" spans="1:6" x14ac:dyDescent="0.25">
      <c r="A6796" s="4" t="s">
        <v>85</v>
      </c>
      <c r="B6796" s="4" t="s">
        <v>1</v>
      </c>
      <c r="C6796" s="4" t="s">
        <v>35</v>
      </c>
      <c r="D6796" s="4">
        <v>2031</v>
      </c>
      <c r="E6796" s="4">
        <v>0</v>
      </c>
      <c r="F6796" s="4" t="s">
        <v>29</v>
      </c>
    </row>
    <row r="6797" spans="1:6" x14ac:dyDescent="0.25">
      <c r="A6797" s="4" t="s">
        <v>85</v>
      </c>
      <c r="B6797" s="4" t="s">
        <v>1</v>
      </c>
      <c r="C6797" s="4" t="s">
        <v>35</v>
      </c>
      <c r="D6797" s="4">
        <v>2032</v>
      </c>
      <c r="E6797" s="4">
        <v>0</v>
      </c>
      <c r="F6797" s="4" t="s">
        <v>29</v>
      </c>
    </row>
    <row r="6798" spans="1:6" x14ac:dyDescent="0.25">
      <c r="A6798" s="4" t="s">
        <v>85</v>
      </c>
      <c r="B6798" s="4" t="s">
        <v>1</v>
      </c>
      <c r="C6798" s="4" t="s">
        <v>35</v>
      </c>
      <c r="D6798" s="4">
        <v>2033</v>
      </c>
      <c r="E6798" s="4">
        <v>0</v>
      </c>
      <c r="F6798" s="4" t="s">
        <v>29</v>
      </c>
    </row>
    <row r="6799" spans="1:6" x14ac:dyDescent="0.25">
      <c r="A6799" s="4" t="s">
        <v>85</v>
      </c>
      <c r="B6799" s="4" t="s">
        <v>1</v>
      </c>
      <c r="C6799" s="4" t="s">
        <v>35</v>
      </c>
      <c r="D6799" s="4">
        <v>2034</v>
      </c>
      <c r="E6799" s="4">
        <v>0</v>
      </c>
      <c r="F6799" s="4" t="s">
        <v>29</v>
      </c>
    </row>
    <row r="6800" spans="1:6" x14ac:dyDescent="0.25">
      <c r="A6800" s="4" t="s">
        <v>85</v>
      </c>
      <c r="B6800" s="4" t="s">
        <v>1</v>
      </c>
      <c r="C6800" s="4" t="s">
        <v>35</v>
      </c>
      <c r="D6800" s="4">
        <v>2035</v>
      </c>
      <c r="E6800" s="4">
        <v>0</v>
      </c>
      <c r="F6800" s="4" t="s">
        <v>29</v>
      </c>
    </row>
    <row r="6801" spans="1:6" x14ac:dyDescent="0.25">
      <c r="A6801" s="4" t="s">
        <v>85</v>
      </c>
      <c r="B6801" s="4" t="s">
        <v>1</v>
      </c>
      <c r="C6801" s="4" t="s">
        <v>35</v>
      </c>
      <c r="D6801" s="4">
        <v>2036</v>
      </c>
      <c r="E6801" s="4">
        <v>0</v>
      </c>
      <c r="F6801" s="4" t="s">
        <v>29</v>
      </c>
    </row>
    <row r="6802" spans="1:6" x14ac:dyDescent="0.25">
      <c r="A6802" s="4" t="s">
        <v>85</v>
      </c>
      <c r="B6802" s="4" t="s">
        <v>1</v>
      </c>
      <c r="C6802" s="4" t="s">
        <v>35</v>
      </c>
      <c r="D6802" s="4">
        <v>2037</v>
      </c>
      <c r="E6802" s="4">
        <v>0</v>
      </c>
      <c r="F6802" s="4" t="s">
        <v>29</v>
      </c>
    </row>
    <row r="6803" spans="1:6" x14ac:dyDescent="0.25">
      <c r="A6803" s="4" t="s">
        <v>85</v>
      </c>
      <c r="B6803" s="4" t="s">
        <v>1</v>
      </c>
      <c r="C6803" s="4" t="s">
        <v>35</v>
      </c>
      <c r="D6803" s="4">
        <v>2038</v>
      </c>
      <c r="E6803" s="4">
        <v>0</v>
      </c>
      <c r="F6803" s="4" t="s">
        <v>29</v>
      </c>
    </row>
    <row r="6804" spans="1:6" x14ac:dyDescent="0.25">
      <c r="A6804" s="4" t="s">
        <v>85</v>
      </c>
      <c r="B6804" s="4" t="s">
        <v>1</v>
      </c>
      <c r="C6804" s="4" t="s">
        <v>35</v>
      </c>
      <c r="D6804" s="4">
        <v>2039</v>
      </c>
      <c r="E6804" s="4">
        <v>0</v>
      </c>
      <c r="F6804" s="4" t="s">
        <v>29</v>
      </c>
    </row>
    <row r="6805" spans="1:6" x14ac:dyDescent="0.25">
      <c r="A6805" s="4" t="s">
        <v>85</v>
      </c>
      <c r="B6805" s="4" t="s">
        <v>1</v>
      </c>
      <c r="C6805" s="4" t="s">
        <v>35</v>
      </c>
      <c r="D6805" s="4">
        <v>2040</v>
      </c>
      <c r="E6805" s="4">
        <v>0</v>
      </c>
      <c r="F6805" s="4" t="s">
        <v>29</v>
      </c>
    </row>
    <row r="6806" spans="1:6" x14ac:dyDescent="0.25">
      <c r="A6806" s="4" t="s">
        <v>85</v>
      </c>
      <c r="B6806" s="4" t="s">
        <v>2</v>
      </c>
      <c r="C6806" s="4" t="s">
        <v>35</v>
      </c>
      <c r="D6806" s="4">
        <v>2005</v>
      </c>
      <c r="E6806" s="4">
        <v>0</v>
      </c>
      <c r="F6806" s="4" t="s">
        <v>29</v>
      </c>
    </row>
    <row r="6807" spans="1:6" x14ac:dyDescent="0.25">
      <c r="A6807" s="4" t="s">
        <v>85</v>
      </c>
      <c r="B6807" s="4" t="s">
        <v>2</v>
      </c>
      <c r="C6807" s="4" t="s">
        <v>35</v>
      </c>
      <c r="D6807" s="4">
        <v>2006</v>
      </c>
      <c r="E6807" s="4">
        <v>0</v>
      </c>
      <c r="F6807" s="4" t="s">
        <v>29</v>
      </c>
    </row>
    <row r="6808" spans="1:6" x14ac:dyDescent="0.25">
      <c r="A6808" s="4" t="s">
        <v>85</v>
      </c>
      <c r="B6808" s="4" t="s">
        <v>2</v>
      </c>
      <c r="C6808" s="4" t="s">
        <v>35</v>
      </c>
      <c r="D6808" s="4">
        <v>2007</v>
      </c>
      <c r="E6808" s="4">
        <v>0</v>
      </c>
      <c r="F6808" s="4" t="s">
        <v>29</v>
      </c>
    </row>
    <row r="6809" spans="1:6" x14ac:dyDescent="0.25">
      <c r="A6809" s="4" t="s">
        <v>85</v>
      </c>
      <c r="B6809" s="4" t="s">
        <v>2</v>
      </c>
      <c r="C6809" s="4" t="s">
        <v>35</v>
      </c>
      <c r="D6809" s="4">
        <v>2008</v>
      </c>
      <c r="E6809" s="4">
        <v>0</v>
      </c>
      <c r="F6809" s="4" t="s">
        <v>29</v>
      </c>
    </row>
    <row r="6810" spans="1:6" x14ac:dyDescent="0.25">
      <c r="A6810" s="4" t="s">
        <v>85</v>
      </c>
      <c r="B6810" s="4" t="s">
        <v>2</v>
      </c>
      <c r="C6810" s="4" t="s">
        <v>35</v>
      </c>
      <c r="D6810" s="4">
        <v>2009</v>
      </c>
      <c r="E6810" s="4">
        <v>0</v>
      </c>
      <c r="F6810" s="4" t="s">
        <v>29</v>
      </c>
    </row>
    <row r="6811" spans="1:6" x14ac:dyDescent="0.25">
      <c r="A6811" s="4" t="s">
        <v>85</v>
      </c>
      <c r="B6811" s="4" t="s">
        <v>2</v>
      </c>
      <c r="C6811" s="4" t="s">
        <v>35</v>
      </c>
      <c r="D6811" s="4">
        <v>2010</v>
      </c>
      <c r="E6811" s="4">
        <v>0</v>
      </c>
      <c r="F6811" s="4" t="s">
        <v>29</v>
      </c>
    </row>
    <row r="6812" spans="1:6" x14ac:dyDescent="0.25">
      <c r="A6812" s="4" t="s">
        <v>85</v>
      </c>
      <c r="B6812" s="4" t="s">
        <v>2</v>
      </c>
      <c r="C6812" s="4" t="s">
        <v>35</v>
      </c>
      <c r="D6812" s="4">
        <v>2011</v>
      </c>
      <c r="E6812" s="4">
        <v>0</v>
      </c>
      <c r="F6812" s="4" t="s">
        <v>29</v>
      </c>
    </row>
    <row r="6813" spans="1:6" x14ac:dyDescent="0.25">
      <c r="A6813" s="4" t="s">
        <v>85</v>
      </c>
      <c r="B6813" s="4" t="s">
        <v>2</v>
      </c>
      <c r="C6813" s="4" t="s">
        <v>35</v>
      </c>
      <c r="D6813" s="4">
        <v>2012</v>
      </c>
      <c r="E6813" s="4">
        <v>0</v>
      </c>
      <c r="F6813" s="4" t="s">
        <v>29</v>
      </c>
    </row>
    <row r="6814" spans="1:6" x14ac:dyDescent="0.25">
      <c r="A6814" s="4" t="s">
        <v>85</v>
      </c>
      <c r="B6814" s="4" t="s">
        <v>2</v>
      </c>
      <c r="C6814" s="4" t="s">
        <v>35</v>
      </c>
      <c r="D6814" s="4">
        <v>2013</v>
      </c>
      <c r="E6814" s="4">
        <v>0</v>
      </c>
      <c r="F6814" s="4" t="s">
        <v>29</v>
      </c>
    </row>
    <row r="6815" spans="1:6" x14ac:dyDescent="0.25">
      <c r="A6815" s="4" t="s">
        <v>85</v>
      </c>
      <c r="B6815" s="4" t="s">
        <v>2</v>
      </c>
      <c r="C6815" s="4" t="s">
        <v>35</v>
      </c>
      <c r="D6815" s="4">
        <v>2014</v>
      </c>
      <c r="E6815" s="4">
        <v>0</v>
      </c>
      <c r="F6815" s="4" t="s">
        <v>29</v>
      </c>
    </row>
    <row r="6816" spans="1:6" x14ac:dyDescent="0.25">
      <c r="A6816" s="4" t="s">
        <v>85</v>
      </c>
      <c r="B6816" s="4" t="s">
        <v>2</v>
      </c>
      <c r="C6816" s="4" t="s">
        <v>35</v>
      </c>
      <c r="D6816" s="4">
        <v>2015</v>
      </c>
      <c r="E6816" s="4">
        <v>0</v>
      </c>
      <c r="F6816" s="4" t="s">
        <v>29</v>
      </c>
    </row>
    <row r="6817" spans="1:6" x14ac:dyDescent="0.25">
      <c r="A6817" s="4" t="s">
        <v>85</v>
      </c>
      <c r="B6817" s="4" t="s">
        <v>2</v>
      </c>
      <c r="C6817" s="4" t="s">
        <v>35</v>
      </c>
      <c r="D6817" s="4">
        <v>2016</v>
      </c>
      <c r="E6817" s="4">
        <v>0</v>
      </c>
      <c r="F6817" s="4" t="s">
        <v>29</v>
      </c>
    </row>
    <row r="6818" spans="1:6" x14ac:dyDescent="0.25">
      <c r="A6818" s="4" t="s">
        <v>85</v>
      </c>
      <c r="B6818" s="4" t="s">
        <v>2</v>
      </c>
      <c r="C6818" s="4" t="s">
        <v>35</v>
      </c>
      <c r="D6818" s="4">
        <v>2017</v>
      </c>
      <c r="E6818" s="4">
        <v>0</v>
      </c>
      <c r="F6818" s="4" t="s">
        <v>29</v>
      </c>
    </row>
    <row r="6819" spans="1:6" x14ac:dyDescent="0.25">
      <c r="A6819" s="4" t="s">
        <v>85</v>
      </c>
      <c r="B6819" s="4" t="s">
        <v>2</v>
      </c>
      <c r="C6819" s="4" t="s">
        <v>35</v>
      </c>
      <c r="D6819" s="4">
        <v>2018</v>
      </c>
      <c r="E6819" s="4">
        <v>0</v>
      </c>
      <c r="F6819" s="4" t="s">
        <v>29</v>
      </c>
    </row>
    <row r="6820" spans="1:6" x14ac:dyDescent="0.25">
      <c r="A6820" s="4" t="s">
        <v>85</v>
      </c>
      <c r="B6820" s="4" t="s">
        <v>2</v>
      </c>
      <c r="C6820" s="4" t="s">
        <v>35</v>
      </c>
      <c r="D6820" s="4">
        <v>2019</v>
      </c>
      <c r="E6820" s="4">
        <v>0</v>
      </c>
      <c r="F6820" s="4" t="s">
        <v>29</v>
      </c>
    </row>
    <row r="6821" spans="1:6" x14ac:dyDescent="0.25">
      <c r="A6821" s="4" t="s">
        <v>85</v>
      </c>
      <c r="B6821" s="4" t="s">
        <v>2</v>
      </c>
      <c r="C6821" s="4" t="s">
        <v>35</v>
      </c>
      <c r="D6821" s="4">
        <v>2020</v>
      </c>
      <c r="E6821" s="4">
        <v>0</v>
      </c>
      <c r="F6821" s="4" t="s">
        <v>29</v>
      </c>
    </row>
    <row r="6822" spans="1:6" x14ac:dyDescent="0.25">
      <c r="A6822" s="4" t="s">
        <v>85</v>
      </c>
      <c r="B6822" s="4" t="s">
        <v>2</v>
      </c>
      <c r="C6822" s="4" t="s">
        <v>35</v>
      </c>
      <c r="D6822" s="4">
        <v>2021</v>
      </c>
      <c r="E6822" s="4">
        <v>0</v>
      </c>
      <c r="F6822" s="4" t="s">
        <v>29</v>
      </c>
    </row>
    <row r="6823" spans="1:6" x14ac:dyDescent="0.25">
      <c r="A6823" s="4" t="s">
        <v>85</v>
      </c>
      <c r="B6823" s="4" t="s">
        <v>2</v>
      </c>
      <c r="C6823" s="4" t="s">
        <v>35</v>
      </c>
      <c r="D6823" s="4">
        <v>2022</v>
      </c>
      <c r="E6823" s="4">
        <v>0</v>
      </c>
      <c r="F6823" s="4" t="s">
        <v>29</v>
      </c>
    </row>
    <row r="6824" spans="1:6" x14ac:dyDescent="0.25">
      <c r="A6824" s="4" t="s">
        <v>85</v>
      </c>
      <c r="B6824" s="4" t="s">
        <v>2</v>
      </c>
      <c r="C6824" s="4" t="s">
        <v>35</v>
      </c>
      <c r="D6824" s="4">
        <v>2023</v>
      </c>
      <c r="E6824" s="4">
        <v>0</v>
      </c>
      <c r="F6824" s="4" t="s">
        <v>29</v>
      </c>
    </row>
    <row r="6825" spans="1:6" x14ac:dyDescent="0.25">
      <c r="A6825" s="4" t="s">
        <v>85</v>
      </c>
      <c r="B6825" s="4" t="s">
        <v>2</v>
      </c>
      <c r="C6825" s="4" t="s">
        <v>35</v>
      </c>
      <c r="D6825" s="4">
        <v>2024</v>
      </c>
      <c r="E6825" s="4">
        <v>0</v>
      </c>
      <c r="F6825" s="4" t="s">
        <v>29</v>
      </c>
    </row>
    <row r="6826" spans="1:6" x14ac:dyDescent="0.25">
      <c r="A6826" s="4" t="s">
        <v>85</v>
      </c>
      <c r="B6826" s="4" t="s">
        <v>2</v>
      </c>
      <c r="C6826" s="4" t="s">
        <v>35</v>
      </c>
      <c r="D6826" s="4">
        <v>2025</v>
      </c>
      <c r="E6826" s="4">
        <v>0</v>
      </c>
      <c r="F6826" s="4" t="s">
        <v>29</v>
      </c>
    </row>
    <row r="6827" spans="1:6" x14ac:dyDescent="0.25">
      <c r="A6827" s="4" t="s">
        <v>85</v>
      </c>
      <c r="B6827" s="4" t="s">
        <v>2</v>
      </c>
      <c r="C6827" s="4" t="s">
        <v>35</v>
      </c>
      <c r="D6827" s="4">
        <v>2026</v>
      </c>
      <c r="E6827" s="4">
        <v>0</v>
      </c>
      <c r="F6827" s="4" t="s">
        <v>29</v>
      </c>
    </row>
    <row r="6828" spans="1:6" x14ac:dyDescent="0.25">
      <c r="A6828" s="4" t="s">
        <v>85</v>
      </c>
      <c r="B6828" s="4" t="s">
        <v>2</v>
      </c>
      <c r="C6828" s="4" t="s">
        <v>35</v>
      </c>
      <c r="D6828" s="4">
        <v>2027</v>
      </c>
      <c r="E6828" s="4">
        <v>0</v>
      </c>
      <c r="F6828" s="4" t="s">
        <v>29</v>
      </c>
    </row>
    <row r="6829" spans="1:6" x14ac:dyDescent="0.25">
      <c r="A6829" s="4" t="s">
        <v>85</v>
      </c>
      <c r="B6829" s="4" t="s">
        <v>2</v>
      </c>
      <c r="C6829" s="4" t="s">
        <v>35</v>
      </c>
      <c r="D6829" s="4">
        <v>2028</v>
      </c>
      <c r="E6829" s="4">
        <v>0</v>
      </c>
      <c r="F6829" s="4" t="s">
        <v>29</v>
      </c>
    </row>
    <row r="6830" spans="1:6" x14ac:dyDescent="0.25">
      <c r="A6830" s="4" t="s">
        <v>85</v>
      </c>
      <c r="B6830" s="4" t="s">
        <v>2</v>
      </c>
      <c r="C6830" s="4" t="s">
        <v>35</v>
      </c>
      <c r="D6830" s="4">
        <v>2029</v>
      </c>
      <c r="E6830" s="4">
        <v>0</v>
      </c>
      <c r="F6830" s="4" t="s">
        <v>29</v>
      </c>
    </row>
    <row r="6831" spans="1:6" x14ac:dyDescent="0.25">
      <c r="A6831" s="4" t="s">
        <v>85</v>
      </c>
      <c r="B6831" s="4" t="s">
        <v>2</v>
      </c>
      <c r="C6831" s="4" t="s">
        <v>35</v>
      </c>
      <c r="D6831" s="4">
        <v>2030</v>
      </c>
      <c r="E6831" s="4">
        <v>0</v>
      </c>
      <c r="F6831" s="4" t="s">
        <v>29</v>
      </c>
    </row>
    <row r="6832" spans="1:6" x14ac:dyDescent="0.25">
      <c r="A6832" s="4" t="s">
        <v>85</v>
      </c>
      <c r="B6832" s="4" t="s">
        <v>2</v>
      </c>
      <c r="C6832" s="4" t="s">
        <v>35</v>
      </c>
      <c r="D6832" s="4">
        <v>2031</v>
      </c>
      <c r="E6832" s="4">
        <v>0</v>
      </c>
      <c r="F6832" s="4" t="s">
        <v>29</v>
      </c>
    </row>
    <row r="6833" spans="1:6" x14ac:dyDescent="0.25">
      <c r="A6833" s="4" t="s">
        <v>85</v>
      </c>
      <c r="B6833" s="4" t="s">
        <v>2</v>
      </c>
      <c r="C6833" s="4" t="s">
        <v>35</v>
      </c>
      <c r="D6833" s="4">
        <v>2032</v>
      </c>
      <c r="E6833" s="4">
        <v>0</v>
      </c>
      <c r="F6833" s="4" t="s">
        <v>29</v>
      </c>
    </row>
    <row r="6834" spans="1:6" x14ac:dyDescent="0.25">
      <c r="A6834" s="4" t="s">
        <v>85</v>
      </c>
      <c r="B6834" s="4" t="s">
        <v>2</v>
      </c>
      <c r="C6834" s="4" t="s">
        <v>35</v>
      </c>
      <c r="D6834" s="4">
        <v>2033</v>
      </c>
      <c r="E6834" s="4">
        <v>0</v>
      </c>
      <c r="F6834" s="4" t="s">
        <v>29</v>
      </c>
    </row>
    <row r="6835" spans="1:6" x14ac:dyDescent="0.25">
      <c r="A6835" s="4" t="s">
        <v>85</v>
      </c>
      <c r="B6835" s="4" t="s">
        <v>2</v>
      </c>
      <c r="C6835" s="4" t="s">
        <v>35</v>
      </c>
      <c r="D6835" s="4">
        <v>2034</v>
      </c>
      <c r="E6835" s="4">
        <v>0</v>
      </c>
      <c r="F6835" s="4" t="s">
        <v>29</v>
      </c>
    </row>
    <row r="6836" spans="1:6" x14ac:dyDescent="0.25">
      <c r="A6836" s="4" t="s">
        <v>85</v>
      </c>
      <c r="B6836" s="4" t="s">
        <v>2</v>
      </c>
      <c r="C6836" s="4" t="s">
        <v>35</v>
      </c>
      <c r="D6836" s="4">
        <v>2035</v>
      </c>
      <c r="E6836" s="4">
        <v>0</v>
      </c>
      <c r="F6836" s="4" t="s">
        <v>29</v>
      </c>
    </row>
    <row r="6837" spans="1:6" x14ac:dyDescent="0.25">
      <c r="A6837" s="4" t="s">
        <v>85</v>
      </c>
      <c r="B6837" s="4" t="s">
        <v>2</v>
      </c>
      <c r="C6837" s="4" t="s">
        <v>35</v>
      </c>
      <c r="D6837" s="4">
        <v>2036</v>
      </c>
      <c r="E6837" s="4">
        <v>0</v>
      </c>
      <c r="F6837" s="4" t="s">
        <v>29</v>
      </c>
    </row>
    <row r="6838" spans="1:6" x14ac:dyDescent="0.25">
      <c r="A6838" s="4" t="s">
        <v>85</v>
      </c>
      <c r="B6838" s="4" t="s">
        <v>2</v>
      </c>
      <c r="C6838" s="4" t="s">
        <v>35</v>
      </c>
      <c r="D6838" s="4">
        <v>2037</v>
      </c>
      <c r="E6838" s="4">
        <v>0</v>
      </c>
      <c r="F6838" s="4" t="s">
        <v>29</v>
      </c>
    </row>
    <row r="6839" spans="1:6" x14ac:dyDescent="0.25">
      <c r="A6839" s="4" t="s">
        <v>85</v>
      </c>
      <c r="B6839" s="4" t="s">
        <v>2</v>
      </c>
      <c r="C6839" s="4" t="s">
        <v>35</v>
      </c>
      <c r="D6839" s="4">
        <v>2038</v>
      </c>
      <c r="E6839" s="4">
        <v>0</v>
      </c>
      <c r="F6839" s="4" t="s">
        <v>29</v>
      </c>
    </row>
    <row r="6840" spans="1:6" x14ac:dyDescent="0.25">
      <c r="A6840" s="4" t="s">
        <v>85</v>
      </c>
      <c r="B6840" s="4" t="s">
        <v>2</v>
      </c>
      <c r="C6840" s="4" t="s">
        <v>35</v>
      </c>
      <c r="D6840" s="4">
        <v>2039</v>
      </c>
      <c r="E6840" s="4">
        <v>0</v>
      </c>
      <c r="F6840" s="4" t="s">
        <v>29</v>
      </c>
    </row>
    <row r="6841" spans="1:6" x14ac:dyDescent="0.25">
      <c r="A6841" s="4" t="s">
        <v>85</v>
      </c>
      <c r="B6841" s="4" t="s">
        <v>2</v>
      </c>
      <c r="C6841" s="4" t="s">
        <v>35</v>
      </c>
      <c r="D6841" s="4">
        <v>2040</v>
      </c>
      <c r="E6841" s="4">
        <v>0</v>
      </c>
      <c r="F6841" s="4" t="s">
        <v>29</v>
      </c>
    </row>
    <row r="6842" spans="1:6" x14ac:dyDescent="0.25">
      <c r="A6842" s="4" t="s">
        <v>85</v>
      </c>
      <c r="B6842" s="4" t="s">
        <v>3</v>
      </c>
      <c r="C6842" s="4" t="s">
        <v>35</v>
      </c>
      <c r="D6842" s="4">
        <v>2005</v>
      </c>
      <c r="E6842" s="4">
        <v>0</v>
      </c>
      <c r="F6842" s="4" t="s">
        <v>29</v>
      </c>
    </row>
    <row r="6843" spans="1:6" x14ac:dyDescent="0.25">
      <c r="A6843" s="4" t="s">
        <v>85</v>
      </c>
      <c r="B6843" s="4" t="s">
        <v>3</v>
      </c>
      <c r="C6843" s="4" t="s">
        <v>35</v>
      </c>
      <c r="D6843" s="4">
        <v>2006</v>
      </c>
      <c r="E6843" s="4">
        <v>0</v>
      </c>
      <c r="F6843" s="4" t="s">
        <v>29</v>
      </c>
    </row>
    <row r="6844" spans="1:6" x14ac:dyDescent="0.25">
      <c r="A6844" s="4" t="s">
        <v>85</v>
      </c>
      <c r="B6844" s="4" t="s">
        <v>3</v>
      </c>
      <c r="C6844" s="4" t="s">
        <v>35</v>
      </c>
      <c r="D6844" s="4">
        <v>2007</v>
      </c>
      <c r="E6844" s="4">
        <v>0</v>
      </c>
      <c r="F6844" s="4" t="s">
        <v>29</v>
      </c>
    </row>
    <row r="6845" spans="1:6" x14ac:dyDescent="0.25">
      <c r="A6845" s="4" t="s">
        <v>85</v>
      </c>
      <c r="B6845" s="4" t="s">
        <v>3</v>
      </c>
      <c r="C6845" s="4" t="s">
        <v>35</v>
      </c>
      <c r="D6845" s="4">
        <v>2008</v>
      </c>
      <c r="E6845" s="4">
        <v>0</v>
      </c>
      <c r="F6845" s="4" t="s">
        <v>29</v>
      </c>
    </row>
    <row r="6846" spans="1:6" x14ac:dyDescent="0.25">
      <c r="A6846" s="4" t="s">
        <v>85</v>
      </c>
      <c r="B6846" s="4" t="s">
        <v>3</v>
      </c>
      <c r="C6846" s="4" t="s">
        <v>35</v>
      </c>
      <c r="D6846" s="4">
        <v>2009</v>
      </c>
      <c r="E6846" s="4">
        <v>0</v>
      </c>
      <c r="F6846" s="4" t="s">
        <v>29</v>
      </c>
    </row>
    <row r="6847" spans="1:6" x14ac:dyDescent="0.25">
      <c r="A6847" s="4" t="s">
        <v>85</v>
      </c>
      <c r="B6847" s="4" t="s">
        <v>3</v>
      </c>
      <c r="C6847" s="4" t="s">
        <v>35</v>
      </c>
      <c r="D6847" s="4">
        <v>2010</v>
      </c>
      <c r="E6847" s="4">
        <v>0</v>
      </c>
      <c r="F6847" s="4" t="s">
        <v>29</v>
      </c>
    </row>
    <row r="6848" spans="1:6" x14ac:dyDescent="0.25">
      <c r="A6848" s="4" t="s">
        <v>85</v>
      </c>
      <c r="B6848" s="4" t="s">
        <v>3</v>
      </c>
      <c r="C6848" s="4" t="s">
        <v>35</v>
      </c>
      <c r="D6848" s="4">
        <v>2011</v>
      </c>
      <c r="E6848" s="4">
        <v>0</v>
      </c>
      <c r="F6848" s="4" t="s">
        <v>29</v>
      </c>
    </row>
    <row r="6849" spans="1:6" x14ac:dyDescent="0.25">
      <c r="A6849" s="4" t="s">
        <v>85</v>
      </c>
      <c r="B6849" s="4" t="s">
        <v>3</v>
      </c>
      <c r="C6849" s="4" t="s">
        <v>35</v>
      </c>
      <c r="D6849" s="4">
        <v>2012</v>
      </c>
      <c r="E6849" s="4">
        <v>0</v>
      </c>
      <c r="F6849" s="4" t="s">
        <v>29</v>
      </c>
    </row>
    <row r="6850" spans="1:6" x14ac:dyDescent="0.25">
      <c r="A6850" s="4" t="s">
        <v>85</v>
      </c>
      <c r="B6850" s="4" t="s">
        <v>3</v>
      </c>
      <c r="C6850" s="4" t="s">
        <v>35</v>
      </c>
      <c r="D6850" s="4">
        <v>2013</v>
      </c>
      <c r="E6850" s="4">
        <v>0</v>
      </c>
      <c r="F6850" s="4" t="s">
        <v>29</v>
      </c>
    </row>
    <row r="6851" spans="1:6" x14ac:dyDescent="0.25">
      <c r="A6851" s="4" t="s">
        <v>85</v>
      </c>
      <c r="B6851" s="4" t="s">
        <v>3</v>
      </c>
      <c r="C6851" s="4" t="s">
        <v>35</v>
      </c>
      <c r="D6851" s="4">
        <v>2014</v>
      </c>
      <c r="E6851" s="4">
        <v>0</v>
      </c>
      <c r="F6851" s="4" t="s">
        <v>29</v>
      </c>
    </row>
    <row r="6852" spans="1:6" x14ac:dyDescent="0.25">
      <c r="A6852" s="4" t="s">
        <v>85</v>
      </c>
      <c r="B6852" s="4" t="s">
        <v>3</v>
      </c>
      <c r="C6852" s="4" t="s">
        <v>35</v>
      </c>
      <c r="D6852" s="4">
        <v>2015</v>
      </c>
      <c r="E6852" s="4">
        <v>0</v>
      </c>
      <c r="F6852" s="4" t="s">
        <v>29</v>
      </c>
    </row>
    <row r="6853" spans="1:6" x14ac:dyDescent="0.25">
      <c r="A6853" s="4" t="s">
        <v>85</v>
      </c>
      <c r="B6853" s="4" t="s">
        <v>3</v>
      </c>
      <c r="C6853" s="4" t="s">
        <v>35</v>
      </c>
      <c r="D6853" s="4">
        <v>2016</v>
      </c>
      <c r="E6853" s="4">
        <v>0</v>
      </c>
      <c r="F6853" s="4" t="s">
        <v>29</v>
      </c>
    </row>
    <row r="6854" spans="1:6" x14ac:dyDescent="0.25">
      <c r="A6854" s="4" t="s">
        <v>85</v>
      </c>
      <c r="B6854" s="4" t="s">
        <v>3</v>
      </c>
      <c r="C6854" s="4" t="s">
        <v>35</v>
      </c>
      <c r="D6854" s="4">
        <v>2017</v>
      </c>
      <c r="E6854" s="4">
        <v>0</v>
      </c>
      <c r="F6854" s="4" t="s">
        <v>29</v>
      </c>
    </row>
    <row r="6855" spans="1:6" x14ac:dyDescent="0.25">
      <c r="A6855" s="4" t="s">
        <v>85</v>
      </c>
      <c r="B6855" s="4" t="s">
        <v>3</v>
      </c>
      <c r="C6855" s="4" t="s">
        <v>35</v>
      </c>
      <c r="D6855" s="4">
        <v>2018</v>
      </c>
      <c r="E6855" s="4">
        <v>0</v>
      </c>
      <c r="F6855" s="4" t="s">
        <v>29</v>
      </c>
    </row>
    <row r="6856" spans="1:6" x14ac:dyDescent="0.25">
      <c r="A6856" s="4" t="s">
        <v>85</v>
      </c>
      <c r="B6856" s="4" t="s">
        <v>3</v>
      </c>
      <c r="C6856" s="4" t="s">
        <v>35</v>
      </c>
      <c r="D6856" s="4">
        <v>2019</v>
      </c>
      <c r="E6856" s="4">
        <v>0</v>
      </c>
      <c r="F6856" s="4" t="s">
        <v>29</v>
      </c>
    </row>
    <row r="6857" spans="1:6" x14ac:dyDescent="0.25">
      <c r="A6857" s="4" t="s">
        <v>85</v>
      </c>
      <c r="B6857" s="4" t="s">
        <v>3</v>
      </c>
      <c r="C6857" s="4" t="s">
        <v>35</v>
      </c>
      <c r="D6857" s="4">
        <v>2020</v>
      </c>
      <c r="E6857" s="4">
        <v>0</v>
      </c>
      <c r="F6857" s="4" t="s">
        <v>29</v>
      </c>
    </row>
    <row r="6858" spans="1:6" x14ac:dyDescent="0.25">
      <c r="A6858" s="4" t="s">
        <v>85</v>
      </c>
      <c r="B6858" s="4" t="s">
        <v>3</v>
      </c>
      <c r="C6858" s="4" t="s">
        <v>35</v>
      </c>
      <c r="D6858" s="4">
        <v>2021</v>
      </c>
      <c r="E6858" s="4">
        <v>0</v>
      </c>
      <c r="F6858" s="4" t="s">
        <v>29</v>
      </c>
    </row>
    <row r="6859" spans="1:6" x14ac:dyDescent="0.25">
      <c r="A6859" s="4" t="s">
        <v>85</v>
      </c>
      <c r="B6859" s="4" t="s">
        <v>3</v>
      </c>
      <c r="C6859" s="4" t="s">
        <v>35</v>
      </c>
      <c r="D6859" s="4">
        <v>2022</v>
      </c>
      <c r="E6859" s="4">
        <v>0</v>
      </c>
      <c r="F6859" s="4" t="s">
        <v>29</v>
      </c>
    </row>
    <row r="6860" spans="1:6" x14ac:dyDescent="0.25">
      <c r="A6860" s="4" t="s">
        <v>85</v>
      </c>
      <c r="B6860" s="4" t="s">
        <v>3</v>
      </c>
      <c r="C6860" s="4" t="s">
        <v>35</v>
      </c>
      <c r="D6860" s="4">
        <v>2023</v>
      </c>
      <c r="E6860" s="4">
        <v>0</v>
      </c>
      <c r="F6860" s="4" t="s">
        <v>29</v>
      </c>
    </row>
    <row r="6861" spans="1:6" x14ac:dyDescent="0.25">
      <c r="A6861" s="4" t="s">
        <v>85</v>
      </c>
      <c r="B6861" s="4" t="s">
        <v>3</v>
      </c>
      <c r="C6861" s="4" t="s">
        <v>35</v>
      </c>
      <c r="D6861" s="4">
        <v>2024</v>
      </c>
      <c r="E6861" s="4">
        <v>0</v>
      </c>
      <c r="F6861" s="4" t="s">
        <v>29</v>
      </c>
    </row>
    <row r="6862" spans="1:6" x14ac:dyDescent="0.25">
      <c r="A6862" s="4" t="s">
        <v>85</v>
      </c>
      <c r="B6862" s="4" t="s">
        <v>3</v>
      </c>
      <c r="C6862" s="4" t="s">
        <v>35</v>
      </c>
      <c r="D6862" s="4">
        <v>2025</v>
      </c>
      <c r="E6862" s="4">
        <v>0</v>
      </c>
      <c r="F6862" s="4" t="s">
        <v>29</v>
      </c>
    </row>
    <row r="6863" spans="1:6" x14ac:dyDescent="0.25">
      <c r="A6863" s="4" t="s">
        <v>85</v>
      </c>
      <c r="B6863" s="4" t="s">
        <v>3</v>
      </c>
      <c r="C6863" s="4" t="s">
        <v>35</v>
      </c>
      <c r="D6863" s="4">
        <v>2026</v>
      </c>
      <c r="E6863" s="4">
        <v>0</v>
      </c>
      <c r="F6863" s="4" t="s">
        <v>29</v>
      </c>
    </row>
    <row r="6864" spans="1:6" x14ac:dyDescent="0.25">
      <c r="A6864" s="4" t="s">
        <v>85</v>
      </c>
      <c r="B6864" s="4" t="s">
        <v>3</v>
      </c>
      <c r="C6864" s="4" t="s">
        <v>35</v>
      </c>
      <c r="D6864" s="4">
        <v>2027</v>
      </c>
      <c r="E6864" s="4">
        <v>0</v>
      </c>
      <c r="F6864" s="4" t="s">
        <v>29</v>
      </c>
    </row>
    <row r="6865" spans="1:6" x14ac:dyDescent="0.25">
      <c r="A6865" s="4" t="s">
        <v>85</v>
      </c>
      <c r="B6865" s="4" t="s">
        <v>3</v>
      </c>
      <c r="C6865" s="4" t="s">
        <v>35</v>
      </c>
      <c r="D6865" s="4">
        <v>2028</v>
      </c>
      <c r="E6865" s="4">
        <v>0</v>
      </c>
      <c r="F6865" s="4" t="s">
        <v>29</v>
      </c>
    </row>
    <row r="6866" spans="1:6" x14ac:dyDescent="0.25">
      <c r="A6866" s="4" t="s">
        <v>85</v>
      </c>
      <c r="B6866" s="4" t="s">
        <v>3</v>
      </c>
      <c r="C6866" s="4" t="s">
        <v>35</v>
      </c>
      <c r="D6866" s="4">
        <v>2029</v>
      </c>
      <c r="E6866" s="4">
        <v>0</v>
      </c>
      <c r="F6866" s="4" t="s">
        <v>29</v>
      </c>
    </row>
    <row r="6867" spans="1:6" x14ac:dyDescent="0.25">
      <c r="A6867" s="4" t="s">
        <v>85</v>
      </c>
      <c r="B6867" s="4" t="s">
        <v>3</v>
      </c>
      <c r="C6867" s="4" t="s">
        <v>35</v>
      </c>
      <c r="D6867" s="4">
        <v>2030</v>
      </c>
      <c r="E6867" s="4">
        <v>0</v>
      </c>
      <c r="F6867" s="4" t="s">
        <v>29</v>
      </c>
    </row>
    <row r="6868" spans="1:6" x14ac:dyDescent="0.25">
      <c r="A6868" s="4" t="s">
        <v>85</v>
      </c>
      <c r="B6868" s="4" t="s">
        <v>3</v>
      </c>
      <c r="C6868" s="4" t="s">
        <v>35</v>
      </c>
      <c r="D6868" s="4">
        <v>2031</v>
      </c>
      <c r="E6868" s="4">
        <v>0</v>
      </c>
      <c r="F6868" s="4" t="s">
        <v>29</v>
      </c>
    </row>
    <row r="6869" spans="1:6" x14ac:dyDescent="0.25">
      <c r="A6869" s="4" t="s">
        <v>85</v>
      </c>
      <c r="B6869" s="4" t="s">
        <v>3</v>
      </c>
      <c r="C6869" s="4" t="s">
        <v>35</v>
      </c>
      <c r="D6869" s="4">
        <v>2032</v>
      </c>
      <c r="E6869" s="4">
        <v>0</v>
      </c>
      <c r="F6869" s="4" t="s">
        <v>29</v>
      </c>
    </row>
    <row r="6870" spans="1:6" x14ac:dyDescent="0.25">
      <c r="A6870" s="4" t="s">
        <v>85</v>
      </c>
      <c r="B6870" s="4" t="s">
        <v>3</v>
      </c>
      <c r="C6870" s="4" t="s">
        <v>35</v>
      </c>
      <c r="D6870" s="4">
        <v>2033</v>
      </c>
      <c r="E6870" s="4">
        <v>0</v>
      </c>
      <c r="F6870" s="4" t="s">
        <v>29</v>
      </c>
    </row>
    <row r="6871" spans="1:6" x14ac:dyDescent="0.25">
      <c r="A6871" s="4" t="s">
        <v>85</v>
      </c>
      <c r="B6871" s="4" t="s">
        <v>3</v>
      </c>
      <c r="C6871" s="4" t="s">
        <v>35</v>
      </c>
      <c r="D6871" s="4">
        <v>2034</v>
      </c>
      <c r="E6871" s="4">
        <v>0</v>
      </c>
      <c r="F6871" s="4" t="s">
        <v>29</v>
      </c>
    </row>
    <row r="6872" spans="1:6" x14ac:dyDescent="0.25">
      <c r="A6872" s="4" t="s">
        <v>85</v>
      </c>
      <c r="B6872" s="4" t="s">
        <v>3</v>
      </c>
      <c r="C6872" s="4" t="s">
        <v>35</v>
      </c>
      <c r="D6872" s="4">
        <v>2035</v>
      </c>
      <c r="E6872" s="4">
        <v>0</v>
      </c>
      <c r="F6872" s="4" t="s">
        <v>29</v>
      </c>
    </row>
    <row r="6873" spans="1:6" x14ac:dyDescent="0.25">
      <c r="A6873" s="4" t="s">
        <v>85</v>
      </c>
      <c r="B6873" s="4" t="s">
        <v>3</v>
      </c>
      <c r="C6873" s="4" t="s">
        <v>35</v>
      </c>
      <c r="D6873" s="4">
        <v>2036</v>
      </c>
      <c r="E6873" s="4">
        <v>0</v>
      </c>
      <c r="F6873" s="4" t="s">
        <v>29</v>
      </c>
    </row>
    <row r="6874" spans="1:6" x14ac:dyDescent="0.25">
      <c r="A6874" s="4" t="s">
        <v>85</v>
      </c>
      <c r="B6874" s="4" t="s">
        <v>3</v>
      </c>
      <c r="C6874" s="4" t="s">
        <v>35</v>
      </c>
      <c r="D6874" s="4">
        <v>2037</v>
      </c>
      <c r="E6874" s="4">
        <v>0</v>
      </c>
      <c r="F6874" s="4" t="s">
        <v>29</v>
      </c>
    </row>
    <row r="6875" spans="1:6" x14ac:dyDescent="0.25">
      <c r="A6875" s="4" t="s">
        <v>85</v>
      </c>
      <c r="B6875" s="4" t="s">
        <v>3</v>
      </c>
      <c r="C6875" s="4" t="s">
        <v>35</v>
      </c>
      <c r="D6875" s="4">
        <v>2038</v>
      </c>
      <c r="E6875" s="4">
        <v>0</v>
      </c>
      <c r="F6875" s="4" t="s">
        <v>29</v>
      </c>
    </row>
    <row r="6876" spans="1:6" x14ac:dyDescent="0.25">
      <c r="A6876" s="4" t="s">
        <v>85</v>
      </c>
      <c r="B6876" s="4" t="s">
        <v>3</v>
      </c>
      <c r="C6876" s="4" t="s">
        <v>35</v>
      </c>
      <c r="D6876" s="4">
        <v>2039</v>
      </c>
      <c r="E6876" s="4">
        <v>0</v>
      </c>
      <c r="F6876" s="4" t="s">
        <v>29</v>
      </c>
    </row>
    <row r="6877" spans="1:6" x14ac:dyDescent="0.25">
      <c r="A6877" s="4" t="s">
        <v>85</v>
      </c>
      <c r="B6877" s="4" t="s">
        <v>3</v>
      </c>
      <c r="C6877" s="4" t="s">
        <v>35</v>
      </c>
      <c r="D6877" s="4">
        <v>2040</v>
      </c>
      <c r="E6877" s="4">
        <v>0</v>
      </c>
      <c r="F6877" s="4" t="s">
        <v>29</v>
      </c>
    </row>
    <row r="6878" spans="1:6" x14ac:dyDescent="0.25">
      <c r="A6878" s="4" t="s">
        <v>85</v>
      </c>
      <c r="B6878" s="4" t="s">
        <v>4</v>
      </c>
      <c r="C6878" s="4" t="s">
        <v>35</v>
      </c>
      <c r="D6878" s="4">
        <v>2005</v>
      </c>
      <c r="E6878" s="4">
        <v>0</v>
      </c>
      <c r="F6878" s="4" t="s">
        <v>29</v>
      </c>
    </row>
    <row r="6879" spans="1:6" x14ac:dyDescent="0.25">
      <c r="A6879" s="4" t="s">
        <v>85</v>
      </c>
      <c r="B6879" s="4" t="s">
        <v>4</v>
      </c>
      <c r="C6879" s="4" t="s">
        <v>35</v>
      </c>
      <c r="D6879" s="4">
        <v>2006</v>
      </c>
      <c r="E6879" s="4">
        <v>0</v>
      </c>
      <c r="F6879" s="4" t="s">
        <v>29</v>
      </c>
    </row>
    <row r="6880" spans="1:6" x14ac:dyDescent="0.25">
      <c r="A6880" s="4" t="s">
        <v>85</v>
      </c>
      <c r="B6880" s="4" t="s">
        <v>4</v>
      </c>
      <c r="C6880" s="4" t="s">
        <v>35</v>
      </c>
      <c r="D6880" s="4">
        <v>2007</v>
      </c>
      <c r="E6880" s="4">
        <v>0</v>
      </c>
      <c r="F6880" s="4" t="s">
        <v>29</v>
      </c>
    </row>
    <row r="6881" spans="1:6" x14ac:dyDescent="0.25">
      <c r="A6881" s="4" t="s">
        <v>85</v>
      </c>
      <c r="B6881" s="4" t="s">
        <v>4</v>
      </c>
      <c r="C6881" s="4" t="s">
        <v>35</v>
      </c>
      <c r="D6881" s="4">
        <v>2008</v>
      </c>
      <c r="E6881" s="4">
        <v>0</v>
      </c>
      <c r="F6881" s="4" t="s">
        <v>29</v>
      </c>
    </row>
    <row r="6882" spans="1:6" x14ac:dyDescent="0.25">
      <c r="A6882" s="4" t="s">
        <v>85</v>
      </c>
      <c r="B6882" s="4" t="s">
        <v>4</v>
      </c>
      <c r="C6882" s="4" t="s">
        <v>35</v>
      </c>
      <c r="D6882" s="4">
        <v>2009</v>
      </c>
      <c r="E6882" s="4">
        <v>0</v>
      </c>
      <c r="F6882" s="4" t="s">
        <v>29</v>
      </c>
    </row>
    <row r="6883" spans="1:6" x14ac:dyDescent="0.25">
      <c r="A6883" s="4" t="s">
        <v>85</v>
      </c>
      <c r="B6883" s="4" t="s">
        <v>4</v>
      </c>
      <c r="C6883" s="4" t="s">
        <v>35</v>
      </c>
      <c r="D6883" s="4">
        <v>2010</v>
      </c>
      <c r="E6883" s="4">
        <v>0</v>
      </c>
      <c r="F6883" s="4" t="s">
        <v>29</v>
      </c>
    </row>
    <row r="6884" spans="1:6" x14ac:dyDescent="0.25">
      <c r="A6884" s="4" t="s">
        <v>85</v>
      </c>
      <c r="B6884" s="4" t="s">
        <v>4</v>
      </c>
      <c r="C6884" s="4" t="s">
        <v>35</v>
      </c>
      <c r="D6884" s="4">
        <v>2011</v>
      </c>
      <c r="E6884" s="4">
        <v>0</v>
      </c>
      <c r="F6884" s="4" t="s">
        <v>29</v>
      </c>
    </row>
    <row r="6885" spans="1:6" x14ac:dyDescent="0.25">
      <c r="A6885" s="4" t="s">
        <v>85</v>
      </c>
      <c r="B6885" s="4" t="s">
        <v>4</v>
      </c>
      <c r="C6885" s="4" t="s">
        <v>35</v>
      </c>
      <c r="D6885" s="4">
        <v>2012</v>
      </c>
      <c r="E6885" s="4">
        <v>0</v>
      </c>
      <c r="F6885" s="4" t="s">
        <v>29</v>
      </c>
    </row>
    <row r="6886" spans="1:6" x14ac:dyDescent="0.25">
      <c r="A6886" s="4" t="s">
        <v>85</v>
      </c>
      <c r="B6886" s="4" t="s">
        <v>4</v>
      </c>
      <c r="C6886" s="4" t="s">
        <v>35</v>
      </c>
      <c r="D6886" s="4">
        <v>2013</v>
      </c>
      <c r="E6886" s="4">
        <v>0</v>
      </c>
      <c r="F6886" s="4" t="s">
        <v>29</v>
      </c>
    </row>
    <row r="6887" spans="1:6" x14ac:dyDescent="0.25">
      <c r="A6887" s="4" t="s">
        <v>85</v>
      </c>
      <c r="B6887" s="4" t="s">
        <v>4</v>
      </c>
      <c r="C6887" s="4" t="s">
        <v>35</v>
      </c>
      <c r="D6887" s="4">
        <v>2014</v>
      </c>
      <c r="E6887" s="4">
        <v>0</v>
      </c>
      <c r="F6887" s="4" t="s">
        <v>29</v>
      </c>
    </row>
    <row r="6888" spans="1:6" x14ac:dyDescent="0.25">
      <c r="A6888" s="4" t="s">
        <v>85</v>
      </c>
      <c r="B6888" s="4" t="s">
        <v>4</v>
      </c>
      <c r="C6888" s="4" t="s">
        <v>35</v>
      </c>
      <c r="D6888" s="4">
        <v>2015</v>
      </c>
      <c r="E6888" s="4">
        <v>0</v>
      </c>
      <c r="F6888" s="4" t="s">
        <v>29</v>
      </c>
    </row>
    <row r="6889" spans="1:6" x14ac:dyDescent="0.25">
      <c r="A6889" s="4" t="s">
        <v>85</v>
      </c>
      <c r="B6889" s="4" t="s">
        <v>4</v>
      </c>
      <c r="C6889" s="4" t="s">
        <v>35</v>
      </c>
      <c r="D6889" s="4">
        <v>2016</v>
      </c>
      <c r="E6889" s="4">
        <v>0</v>
      </c>
      <c r="F6889" s="4" t="s">
        <v>29</v>
      </c>
    </row>
    <row r="6890" spans="1:6" x14ac:dyDescent="0.25">
      <c r="A6890" s="4" t="s">
        <v>85</v>
      </c>
      <c r="B6890" s="4" t="s">
        <v>4</v>
      </c>
      <c r="C6890" s="4" t="s">
        <v>35</v>
      </c>
      <c r="D6890" s="4">
        <v>2017</v>
      </c>
      <c r="E6890" s="4">
        <v>0</v>
      </c>
      <c r="F6890" s="4" t="s">
        <v>29</v>
      </c>
    </row>
    <row r="6891" spans="1:6" x14ac:dyDescent="0.25">
      <c r="A6891" s="4" t="s">
        <v>85</v>
      </c>
      <c r="B6891" s="4" t="s">
        <v>4</v>
      </c>
      <c r="C6891" s="4" t="s">
        <v>35</v>
      </c>
      <c r="D6891" s="4">
        <v>2018</v>
      </c>
      <c r="E6891" s="4">
        <v>0</v>
      </c>
      <c r="F6891" s="4" t="s">
        <v>29</v>
      </c>
    </row>
    <row r="6892" spans="1:6" x14ac:dyDescent="0.25">
      <c r="A6892" s="4" t="s">
        <v>85</v>
      </c>
      <c r="B6892" s="4" t="s">
        <v>4</v>
      </c>
      <c r="C6892" s="4" t="s">
        <v>35</v>
      </c>
      <c r="D6892" s="4">
        <v>2019</v>
      </c>
      <c r="E6892" s="4">
        <v>0</v>
      </c>
      <c r="F6892" s="4" t="s">
        <v>29</v>
      </c>
    </row>
    <row r="6893" spans="1:6" x14ac:dyDescent="0.25">
      <c r="A6893" s="4" t="s">
        <v>85</v>
      </c>
      <c r="B6893" s="4" t="s">
        <v>4</v>
      </c>
      <c r="C6893" s="4" t="s">
        <v>35</v>
      </c>
      <c r="D6893" s="4">
        <v>2020</v>
      </c>
      <c r="E6893" s="4">
        <v>0</v>
      </c>
      <c r="F6893" s="4" t="s">
        <v>29</v>
      </c>
    </row>
    <row r="6894" spans="1:6" x14ac:dyDescent="0.25">
      <c r="A6894" s="4" t="s">
        <v>85</v>
      </c>
      <c r="B6894" s="4" t="s">
        <v>4</v>
      </c>
      <c r="C6894" s="4" t="s">
        <v>35</v>
      </c>
      <c r="D6894" s="4">
        <v>2021</v>
      </c>
      <c r="E6894" s="4">
        <v>0</v>
      </c>
      <c r="F6894" s="4" t="s">
        <v>29</v>
      </c>
    </row>
    <row r="6895" spans="1:6" x14ac:dyDescent="0.25">
      <c r="A6895" s="4" t="s">
        <v>85</v>
      </c>
      <c r="B6895" s="4" t="s">
        <v>4</v>
      </c>
      <c r="C6895" s="4" t="s">
        <v>35</v>
      </c>
      <c r="D6895" s="4">
        <v>2022</v>
      </c>
      <c r="E6895" s="4">
        <v>0</v>
      </c>
      <c r="F6895" s="4" t="s">
        <v>29</v>
      </c>
    </row>
    <row r="6896" spans="1:6" x14ac:dyDescent="0.25">
      <c r="A6896" s="4" t="s">
        <v>85</v>
      </c>
      <c r="B6896" s="4" t="s">
        <v>4</v>
      </c>
      <c r="C6896" s="4" t="s">
        <v>35</v>
      </c>
      <c r="D6896" s="4">
        <v>2023</v>
      </c>
      <c r="E6896" s="4">
        <v>0</v>
      </c>
      <c r="F6896" s="4" t="s">
        <v>29</v>
      </c>
    </row>
    <row r="6897" spans="1:6" x14ac:dyDescent="0.25">
      <c r="A6897" s="4" t="s">
        <v>85</v>
      </c>
      <c r="B6897" s="4" t="s">
        <v>4</v>
      </c>
      <c r="C6897" s="4" t="s">
        <v>35</v>
      </c>
      <c r="D6897" s="4">
        <v>2024</v>
      </c>
      <c r="E6897" s="4">
        <v>0</v>
      </c>
      <c r="F6897" s="4" t="s">
        <v>29</v>
      </c>
    </row>
    <row r="6898" spans="1:6" x14ac:dyDescent="0.25">
      <c r="A6898" s="4" t="s">
        <v>85</v>
      </c>
      <c r="B6898" s="4" t="s">
        <v>4</v>
      </c>
      <c r="C6898" s="4" t="s">
        <v>35</v>
      </c>
      <c r="D6898" s="4">
        <v>2025</v>
      </c>
      <c r="E6898" s="4">
        <v>0</v>
      </c>
      <c r="F6898" s="4" t="s">
        <v>29</v>
      </c>
    </row>
    <row r="6899" spans="1:6" x14ac:dyDescent="0.25">
      <c r="A6899" s="4" t="s">
        <v>85</v>
      </c>
      <c r="B6899" s="4" t="s">
        <v>4</v>
      </c>
      <c r="C6899" s="4" t="s">
        <v>35</v>
      </c>
      <c r="D6899" s="4">
        <v>2026</v>
      </c>
      <c r="E6899" s="4">
        <v>0</v>
      </c>
      <c r="F6899" s="4" t="s">
        <v>29</v>
      </c>
    </row>
    <row r="6900" spans="1:6" x14ac:dyDescent="0.25">
      <c r="A6900" s="4" t="s">
        <v>85</v>
      </c>
      <c r="B6900" s="4" t="s">
        <v>4</v>
      </c>
      <c r="C6900" s="4" t="s">
        <v>35</v>
      </c>
      <c r="D6900" s="4">
        <v>2027</v>
      </c>
      <c r="E6900" s="4">
        <v>0</v>
      </c>
      <c r="F6900" s="4" t="s">
        <v>29</v>
      </c>
    </row>
    <row r="6901" spans="1:6" x14ac:dyDescent="0.25">
      <c r="A6901" s="4" t="s">
        <v>85</v>
      </c>
      <c r="B6901" s="4" t="s">
        <v>4</v>
      </c>
      <c r="C6901" s="4" t="s">
        <v>35</v>
      </c>
      <c r="D6901" s="4">
        <v>2028</v>
      </c>
      <c r="E6901" s="4">
        <v>0</v>
      </c>
      <c r="F6901" s="4" t="s">
        <v>29</v>
      </c>
    </row>
    <row r="6902" spans="1:6" x14ac:dyDescent="0.25">
      <c r="A6902" s="4" t="s">
        <v>85</v>
      </c>
      <c r="B6902" s="4" t="s">
        <v>4</v>
      </c>
      <c r="C6902" s="4" t="s">
        <v>35</v>
      </c>
      <c r="D6902" s="4">
        <v>2029</v>
      </c>
      <c r="E6902" s="4">
        <v>0</v>
      </c>
      <c r="F6902" s="4" t="s">
        <v>29</v>
      </c>
    </row>
    <row r="6903" spans="1:6" x14ac:dyDescent="0.25">
      <c r="A6903" s="4" t="s">
        <v>85</v>
      </c>
      <c r="B6903" s="4" t="s">
        <v>4</v>
      </c>
      <c r="C6903" s="4" t="s">
        <v>35</v>
      </c>
      <c r="D6903" s="4">
        <v>2030</v>
      </c>
      <c r="E6903" s="4">
        <v>0</v>
      </c>
      <c r="F6903" s="4" t="s">
        <v>29</v>
      </c>
    </row>
    <row r="6904" spans="1:6" x14ac:dyDescent="0.25">
      <c r="A6904" s="4" t="s">
        <v>85</v>
      </c>
      <c r="B6904" s="4" t="s">
        <v>4</v>
      </c>
      <c r="C6904" s="4" t="s">
        <v>35</v>
      </c>
      <c r="D6904" s="4">
        <v>2031</v>
      </c>
      <c r="E6904" s="4">
        <v>0</v>
      </c>
      <c r="F6904" s="4" t="s">
        <v>29</v>
      </c>
    </row>
    <row r="6905" spans="1:6" x14ac:dyDescent="0.25">
      <c r="A6905" s="4" t="s">
        <v>85</v>
      </c>
      <c r="B6905" s="4" t="s">
        <v>4</v>
      </c>
      <c r="C6905" s="4" t="s">
        <v>35</v>
      </c>
      <c r="D6905" s="4">
        <v>2032</v>
      </c>
      <c r="E6905" s="4">
        <v>0</v>
      </c>
      <c r="F6905" s="4" t="s">
        <v>29</v>
      </c>
    </row>
    <row r="6906" spans="1:6" x14ac:dyDescent="0.25">
      <c r="A6906" s="4" t="s">
        <v>85</v>
      </c>
      <c r="B6906" s="4" t="s">
        <v>4</v>
      </c>
      <c r="C6906" s="4" t="s">
        <v>35</v>
      </c>
      <c r="D6906" s="4">
        <v>2033</v>
      </c>
      <c r="E6906" s="4">
        <v>0</v>
      </c>
      <c r="F6906" s="4" t="s">
        <v>29</v>
      </c>
    </row>
    <row r="6907" spans="1:6" x14ac:dyDescent="0.25">
      <c r="A6907" s="4" t="s">
        <v>85</v>
      </c>
      <c r="B6907" s="4" t="s">
        <v>4</v>
      </c>
      <c r="C6907" s="4" t="s">
        <v>35</v>
      </c>
      <c r="D6907" s="4">
        <v>2034</v>
      </c>
      <c r="E6907" s="4">
        <v>0</v>
      </c>
      <c r="F6907" s="4" t="s">
        <v>29</v>
      </c>
    </row>
    <row r="6908" spans="1:6" x14ac:dyDescent="0.25">
      <c r="A6908" s="4" t="s">
        <v>85</v>
      </c>
      <c r="B6908" s="4" t="s">
        <v>4</v>
      </c>
      <c r="C6908" s="4" t="s">
        <v>35</v>
      </c>
      <c r="D6908" s="4">
        <v>2035</v>
      </c>
      <c r="E6908" s="4">
        <v>0</v>
      </c>
      <c r="F6908" s="4" t="s">
        <v>29</v>
      </c>
    </row>
    <row r="6909" spans="1:6" x14ac:dyDescent="0.25">
      <c r="A6909" s="4" t="s">
        <v>85</v>
      </c>
      <c r="B6909" s="4" t="s">
        <v>4</v>
      </c>
      <c r="C6909" s="4" t="s">
        <v>35</v>
      </c>
      <c r="D6909" s="4">
        <v>2036</v>
      </c>
      <c r="E6909" s="4">
        <v>0</v>
      </c>
      <c r="F6909" s="4" t="s">
        <v>29</v>
      </c>
    </row>
    <row r="6910" spans="1:6" x14ac:dyDescent="0.25">
      <c r="A6910" s="4" t="s">
        <v>85</v>
      </c>
      <c r="B6910" s="4" t="s">
        <v>4</v>
      </c>
      <c r="C6910" s="4" t="s">
        <v>35</v>
      </c>
      <c r="D6910" s="4">
        <v>2037</v>
      </c>
      <c r="E6910" s="4">
        <v>0</v>
      </c>
      <c r="F6910" s="4" t="s">
        <v>29</v>
      </c>
    </row>
    <row r="6911" spans="1:6" x14ac:dyDescent="0.25">
      <c r="A6911" s="4" t="s">
        <v>85</v>
      </c>
      <c r="B6911" s="4" t="s">
        <v>4</v>
      </c>
      <c r="C6911" s="4" t="s">
        <v>35</v>
      </c>
      <c r="D6911" s="4">
        <v>2038</v>
      </c>
      <c r="E6911" s="4">
        <v>0</v>
      </c>
      <c r="F6911" s="4" t="s">
        <v>29</v>
      </c>
    </row>
    <row r="6912" spans="1:6" x14ac:dyDescent="0.25">
      <c r="A6912" s="4" t="s">
        <v>85</v>
      </c>
      <c r="B6912" s="4" t="s">
        <v>4</v>
      </c>
      <c r="C6912" s="4" t="s">
        <v>35</v>
      </c>
      <c r="D6912" s="4">
        <v>2039</v>
      </c>
      <c r="E6912" s="4">
        <v>0</v>
      </c>
      <c r="F6912" s="4" t="s">
        <v>29</v>
      </c>
    </row>
    <row r="6913" spans="1:6" x14ac:dyDescent="0.25">
      <c r="A6913" s="4" t="s">
        <v>85</v>
      </c>
      <c r="B6913" s="4" t="s">
        <v>4</v>
      </c>
      <c r="C6913" s="4" t="s">
        <v>35</v>
      </c>
      <c r="D6913" s="4">
        <v>2040</v>
      </c>
      <c r="E6913" s="4">
        <v>0</v>
      </c>
      <c r="F6913" s="4" t="s">
        <v>29</v>
      </c>
    </row>
    <row r="6914" spans="1:6" x14ac:dyDescent="0.25">
      <c r="A6914" s="4" t="s">
        <v>85</v>
      </c>
      <c r="B6914" s="4" t="s">
        <v>5</v>
      </c>
      <c r="C6914" s="4" t="s">
        <v>35</v>
      </c>
      <c r="D6914" s="4">
        <v>2005</v>
      </c>
      <c r="E6914" s="4">
        <v>0</v>
      </c>
      <c r="F6914" s="4" t="s">
        <v>29</v>
      </c>
    </row>
    <row r="6915" spans="1:6" x14ac:dyDescent="0.25">
      <c r="A6915" s="4" t="s">
        <v>85</v>
      </c>
      <c r="B6915" s="4" t="s">
        <v>5</v>
      </c>
      <c r="C6915" s="4" t="s">
        <v>35</v>
      </c>
      <c r="D6915" s="4">
        <v>2006</v>
      </c>
      <c r="E6915" s="4">
        <v>0</v>
      </c>
      <c r="F6915" s="4" t="s">
        <v>29</v>
      </c>
    </row>
    <row r="6916" spans="1:6" x14ac:dyDescent="0.25">
      <c r="A6916" s="4" t="s">
        <v>85</v>
      </c>
      <c r="B6916" s="4" t="s">
        <v>5</v>
      </c>
      <c r="C6916" s="4" t="s">
        <v>35</v>
      </c>
      <c r="D6916" s="4">
        <v>2007</v>
      </c>
      <c r="E6916" s="4">
        <v>0</v>
      </c>
      <c r="F6916" s="4" t="s">
        <v>29</v>
      </c>
    </row>
    <row r="6917" spans="1:6" x14ac:dyDescent="0.25">
      <c r="A6917" s="4" t="s">
        <v>85</v>
      </c>
      <c r="B6917" s="4" t="s">
        <v>5</v>
      </c>
      <c r="C6917" s="4" t="s">
        <v>35</v>
      </c>
      <c r="D6917" s="4">
        <v>2008</v>
      </c>
      <c r="E6917" s="4">
        <v>0</v>
      </c>
      <c r="F6917" s="4" t="s">
        <v>29</v>
      </c>
    </row>
    <row r="6918" spans="1:6" x14ac:dyDescent="0.25">
      <c r="A6918" s="4" t="s">
        <v>85</v>
      </c>
      <c r="B6918" s="4" t="s">
        <v>5</v>
      </c>
      <c r="C6918" s="4" t="s">
        <v>35</v>
      </c>
      <c r="D6918" s="4">
        <v>2009</v>
      </c>
      <c r="E6918" s="4">
        <v>0</v>
      </c>
      <c r="F6918" s="4" t="s">
        <v>29</v>
      </c>
    </row>
    <row r="6919" spans="1:6" x14ac:dyDescent="0.25">
      <c r="A6919" s="4" t="s">
        <v>85</v>
      </c>
      <c r="B6919" s="4" t="s">
        <v>5</v>
      </c>
      <c r="C6919" s="4" t="s">
        <v>35</v>
      </c>
      <c r="D6919" s="4">
        <v>2010</v>
      </c>
      <c r="E6919" s="4">
        <v>0</v>
      </c>
      <c r="F6919" s="4" t="s">
        <v>29</v>
      </c>
    </row>
    <row r="6920" spans="1:6" x14ac:dyDescent="0.25">
      <c r="A6920" s="4" t="s">
        <v>85</v>
      </c>
      <c r="B6920" s="4" t="s">
        <v>5</v>
      </c>
      <c r="C6920" s="4" t="s">
        <v>35</v>
      </c>
      <c r="D6920" s="4">
        <v>2011</v>
      </c>
      <c r="E6920" s="4">
        <v>0</v>
      </c>
      <c r="F6920" s="4" t="s">
        <v>29</v>
      </c>
    </row>
    <row r="6921" spans="1:6" x14ac:dyDescent="0.25">
      <c r="A6921" s="4" t="s">
        <v>85</v>
      </c>
      <c r="B6921" s="4" t="s">
        <v>5</v>
      </c>
      <c r="C6921" s="4" t="s">
        <v>35</v>
      </c>
      <c r="D6921" s="4">
        <v>2012</v>
      </c>
      <c r="E6921" s="4">
        <v>0</v>
      </c>
      <c r="F6921" s="4" t="s">
        <v>29</v>
      </c>
    </row>
    <row r="6922" spans="1:6" x14ac:dyDescent="0.25">
      <c r="A6922" s="4" t="s">
        <v>85</v>
      </c>
      <c r="B6922" s="4" t="s">
        <v>5</v>
      </c>
      <c r="C6922" s="4" t="s">
        <v>35</v>
      </c>
      <c r="D6922" s="4">
        <v>2013</v>
      </c>
      <c r="E6922" s="4">
        <v>0</v>
      </c>
      <c r="F6922" s="4" t="s">
        <v>29</v>
      </c>
    </row>
    <row r="6923" spans="1:6" x14ac:dyDescent="0.25">
      <c r="A6923" s="4" t="s">
        <v>85</v>
      </c>
      <c r="B6923" s="4" t="s">
        <v>5</v>
      </c>
      <c r="C6923" s="4" t="s">
        <v>35</v>
      </c>
      <c r="D6923" s="4">
        <v>2014</v>
      </c>
      <c r="E6923" s="4">
        <v>0</v>
      </c>
      <c r="F6923" s="4" t="s">
        <v>29</v>
      </c>
    </row>
    <row r="6924" spans="1:6" x14ac:dyDescent="0.25">
      <c r="A6924" s="4" t="s">
        <v>85</v>
      </c>
      <c r="B6924" s="4" t="s">
        <v>5</v>
      </c>
      <c r="C6924" s="4" t="s">
        <v>35</v>
      </c>
      <c r="D6924" s="4">
        <v>2015</v>
      </c>
      <c r="E6924" s="4">
        <v>0</v>
      </c>
      <c r="F6924" s="4" t="s">
        <v>29</v>
      </c>
    </row>
    <row r="6925" spans="1:6" x14ac:dyDescent="0.25">
      <c r="A6925" s="4" t="s">
        <v>85</v>
      </c>
      <c r="B6925" s="4" t="s">
        <v>5</v>
      </c>
      <c r="C6925" s="4" t="s">
        <v>35</v>
      </c>
      <c r="D6925" s="4">
        <v>2016</v>
      </c>
      <c r="E6925" s="4">
        <v>0</v>
      </c>
      <c r="F6925" s="4" t="s">
        <v>29</v>
      </c>
    </row>
    <row r="6926" spans="1:6" x14ac:dyDescent="0.25">
      <c r="A6926" s="4" t="s">
        <v>85</v>
      </c>
      <c r="B6926" s="4" t="s">
        <v>5</v>
      </c>
      <c r="C6926" s="4" t="s">
        <v>35</v>
      </c>
      <c r="D6926" s="4">
        <v>2017</v>
      </c>
      <c r="E6926" s="4">
        <v>0</v>
      </c>
      <c r="F6926" s="4" t="s">
        <v>29</v>
      </c>
    </row>
    <row r="6927" spans="1:6" x14ac:dyDescent="0.25">
      <c r="A6927" s="4" t="s">
        <v>85</v>
      </c>
      <c r="B6927" s="4" t="s">
        <v>5</v>
      </c>
      <c r="C6927" s="4" t="s">
        <v>35</v>
      </c>
      <c r="D6927" s="4">
        <v>2018</v>
      </c>
      <c r="E6927" s="4">
        <v>0</v>
      </c>
      <c r="F6927" s="4" t="s">
        <v>29</v>
      </c>
    </row>
    <row r="6928" spans="1:6" x14ac:dyDescent="0.25">
      <c r="A6928" s="4" t="s">
        <v>85</v>
      </c>
      <c r="B6928" s="4" t="s">
        <v>5</v>
      </c>
      <c r="C6928" s="4" t="s">
        <v>35</v>
      </c>
      <c r="D6928" s="4">
        <v>2019</v>
      </c>
      <c r="E6928" s="4">
        <v>0</v>
      </c>
      <c r="F6928" s="4" t="s">
        <v>29</v>
      </c>
    </row>
    <row r="6929" spans="1:6" x14ac:dyDescent="0.25">
      <c r="A6929" s="4" t="s">
        <v>85</v>
      </c>
      <c r="B6929" s="4" t="s">
        <v>5</v>
      </c>
      <c r="C6929" s="4" t="s">
        <v>35</v>
      </c>
      <c r="D6929" s="4">
        <v>2020</v>
      </c>
      <c r="E6929" s="4">
        <v>0</v>
      </c>
      <c r="F6929" s="4" t="s">
        <v>29</v>
      </c>
    </row>
    <row r="6930" spans="1:6" x14ac:dyDescent="0.25">
      <c r="A6930" s="4" t="s">
        <v>85</v>
      </c>
      <c r="B6930" s="4" t="s">
        <v>5</v>
      </c>
      <c r="C6930" s="4" t="s">
        <v>35</v>
      </c>
      <c r="D6930" s="4">
        <v>2021</v>
      </c>
      <c r="E6930" s="4">
        <v>0</v>
      </c>
      <c r="F6930" s="4" t="s">
        <v>29</v>
      </c>
    </row>
    <row r="6931" spans="1:6" x14ac:dyDescent="0.25">
      <c r="A6931" s="4" t="s">
        <v>85</v>
      </c>
      <c r="B6931" s="4" t="s">
        <v>5</v>
      </c>
      <c r="C6931" s="4" t="s">
        <v>35</v>
      </c>
      <c r="D6931" s="4">
        <v>2022</v>
      </c>
      <c r="E6931" s="4">
        <v>0</v>
      </c>
      <c r="F6931" s="4" t="s">
        <v>29</v>
      </c>
    </row>
    <row r="6932" spans="1:6" x14ac:dyDescent="0.25">
      <c r="A6932" s="4" t="s">
        <v>85</v>
      </c>
      <c r="B6932" s="4" t="s">
        <v>5</v>
      </c>
      <c r="C6932" s="4" t="s">
        <v>35</v>
      </c>
      <c r="D6932" s="4">
        <v>2023</v>
      </c>
      <c r="E6932" s="4">
        <v>0</v>
      </c>
      <c r="F6932" s="4" t="s">
        <v>29</v>
      </c>
    </row>
    <row r="6933" spans="1:6" x14ac:dyDescent="0.25">
      <c r="A6933" s="4" t="s">
        <v>85</v>
      </c>
      <c r="B6933" s="4" t="s">
        <v>5</v>
      </c>
      <c r="C6933" s="4" t="s">
        <v>35</v>
      </c>
      <c r="D6933" s="4">
        <v>2024</v>
      </c>
      <c r="E6933" s="4">
        <v>0</v>
      </c>
      <c r="F6933" s="4" t="s">
        <v>29</v>
      </c>
    </row>
    <row r="6934" spans="1:6" x14ac:dyDescent="0.25">
      <c r="A6934" s="4" t="s">
        <v>85</v>
      </c>
      <c r="B6934" s="4" t="s">
        <v>5</v>
      </c>
      <c r="C6934" s="4" t="s">
        <v>35</v>
      </c>
      <c r="D6934" s="4">
        <v>2025</v>
      </c>
      <c r="E6934" s="4">
        <v>0</v>
      </c>
      <c r="F6934" s="4" t="s">
        <v>29</v>
      </c>
    </row>
    <row r="6935" spans="1:6" x14ac:dyDescent="0.25">
      <c r="A6935" s="4" t="s">
        <v>85</v>
      </c>
      <c r="B6935" s="4" t="s">
        <v>5</v>
      </c>
      <c r="C6935" s="4" t="s">
        <v>35</v>
      </c>
      <c r="D6935" s="4">
        <v>2026</v>
      </c>
      <c r="E6935" s="4">
        <v>0</v>
      </c>
      <c r="F6935" s="4" t="s">
        <v>29</v>
      </c>
    </row>
    <row r="6936" spans="1:6" x14ac:dyDescent="0.25">
      <c r="A6936" s="4" t="s">
        <v>85</v>
      </c>
      <c r="B6936" s="4" t="s">
        <v>5</v>
      </c>
      <c r="C6936" s="4" t="s">
        <v>35</v>
      </c>
      <c r="D6936" s="4">
        <v>2027</v>
      </c>
      <c r="E6936" s="4">
        <v>0</v>
      </c>
      <c r="F6936" s="4" t="s">
        <v>29</v>
      </c>
    </row>
    <row r="6937" spans="1:6" x14ac:dyDescent="0.25">
      <c r="A6937" s="4" t="s">
        <v>85</v>
      </c>
      <c r="B6937" s="4" t="s">
        <v>5</v>
      </c>
      <c r="C6937" s="4" t="s">
        <v>35</v>
      </c>
      <c r="D6937" s="4">
        <v>2028</v>
      </c>
      <c r="E6937" s="4">
        <v>0</v>
      </c>
      <c r="F6937" s="4" t="s">
        <v>29</v>
      </c>
    </row>
    <row r="6938" spans="1:6" x14ac:dyDescent="0.25">
      <c r="A6938" s="4" t="s">
        <v>85</v>
      </c>
      <c r="B6938" s="4" t="s">
        <v>5</v>
      </c>
      <c r="C6938" s="4" t="s">
        <v>35</v>
      </c>
      <c r="D6938" s="4">
        <v>2029</v>
      </c>
      <c r="E6938" s="4">
        <v>0</v>
      </c>
      <c r="F6938" s="4" t="s">
        <v>29</v>
      </c>
    </row>
    <row r="6939" spans="1:6" x14ac:dyDescent="0.25">
      <c r="A6939" s="4" t="s">
        <v>85</v>
      </c>
      <c r="B6939" s="4" t="s">
        <v>5</v>
      </c>
      <c r="C6939" s="4" t="s">
        <v>35</v>
      </c>
      <c r="D6939" s="4">
        <v>2030</v>
      </c>
      <c r="E6939" s="4">
        <v>0</v>
      </c>
      <c r="F6939" s="4" t="s">
        <v>29</v>
      </c>
    </row>
    <row r="6940" spans="1:6" x14ac:dyDescent="0.25">
      <c r="A6940" s="4" t="s">
        <v>85</v>
      </c>
      <c r="B6940" s="4" t="s">
        <v>5</v>
      </c>
      <c r="C6940" s="4" t="s">
        <v>35</v>
      </c>
      <c r="D6940" s="4">
        <v>2031</v>
      </c>
      <c r="E6940" s="4">
        <v>0</v>
      </c>
      <c r="F6940" s="4" t="s">
        <v>29</v>
      </c>
    </row>
    <row r="6941" spans="1:6" x14ac:dyDescent="0.25">
      <c r="A6941" s="4" t="s">
        <v>85</v>
      </c>
      <c r="B6941" s="4" t="s">
        <v>5</v>
      </c>
      <c r="C6941" s="4" t="s">
        <v>35</v>
      </c>
      <c r="D6941" s="4">
        <v>2032</v>
      </c>
      <c r="E6941" s="4">
        <v>0</v>
      </c>
      <c r="F6941" s="4" t="s">
        <v>29</v>
      </c>
    </row>
    <row r="6942" spans="1:6" x14ac:dyDescent="0.25">
      <c r="A6942" s="4" t="s">
        <v>85</v>
      </c>
      <c r="B6942" s="4" t="s">
        <v>5</v>
      </c>
      <c r="C6942" s="4" t="s">
        <v>35</v>
      </c>
      <c r="D6942" s="4">
        <v>2033</v>
      </c>
      <c r="E6942" s="4">
        <v>0</v>
      </c>
      <c r="F6942" s="4" t="s">
        <v>29</v>
      </c>
    </row>
    <row r="6943" spans="1:6" x14ac:dyDescent="0.25">
      <c r="A6943" s="4" t="s">
        <v>85</v>
      </c>
      <c r="B6943" s="4" t="s">
        <v>5</v>
      </c>
      <c r="C6943" s="4" t="s">
        <v>35</v>
      </c>
      <c r="D6943" s="4">
        <v>2034</v>
      </c>
      <c r="E6943" s="4">
        <v>0</v>
      </c>
      <c r="F6943" s="4" t="s">
        <v>29</v>
      </c>
    </row>
    <row r="6944" spans="1:6" x14ac:dyDescent="0.25">
      <c r="A6944" s="4" t="s">
        <v>85</v>
      </c>
      <c r="B6944" s="4" t="s">
        <v>5</v>
      </c>
      <c r="C6944" s="4" t="s">
        <v>35</v>
      </c>
      <c r="D6944" s="4">
        <v>2035</v>
      </c>
      <c r="E6944" s="4">
        <v>0</v>
      </c>
      <c r="F6944" s="4" t="s">
        <v>29</v>
      </c>
    </row>
    <row r="6945" spans="1:6" x14ac:dyDescent="0.25">
      <c r="A6945" s="4" t="s">
        <v>85</v>
      </c>
      <c r="B6945" s="4" t="s">
        <v>5</v>
      </c>
      <c r="C6945" s="4" t="s">
        <v>35</v>
      </c>
      <c r="D6945" s="4">
        <v>2036</v>
      </c>
      <c r="E6945" s="4">
        <v>0</v>
      </c>
      <c r="F6945" s="4" t="s">
        <v>29</v>
      </c>
    </row>
    <row r="6946" spans="1:6" x14ac:dyDescent="0.25">
      <c r="A6946" s="4" t="s">
        <v>85</v>
      </c>
      <c r="B6946" s="4" t="s">
        <v>5</v>
      </c>
      <c r="C6946" s="4" t="s">
        <v>35</v>
      </c>
      <c r="D6946" s="4">
        <v>2037</v>
      </c>
      <c r="E6946" s="4">
        <v>0</v>
      </c>
      <c r="F6946" s="4" t="s">
        <v>29</v>
      </c>
    </row>
    <row r="6947" spans="1:6" x14ac:dyDescent="0.25">
      <c r="A6947" s="4" t="s">
        <v>85</v>
      </c>
      <c r="B6947" s="4" t="s">
        <v>5</v>
      </c>
      <c r="C6947" s="4" t="s">
        <v>35</v>
      </c>
      <c r="D6947" s="4">
        <v>2038</v>
      </c>
      <c r="E6947" s="4">
        <v>0</v>
      </c>
      <c r="F6947" s="4" t="s">
        <v>29</v>
      </c>
    </row>
    <row r="6948" spans="1:6" x14ac:dyDescent="0.25">
      <c r="A6948" s="4" t="s">
        <v>85</v>
      </c>
      <c r="B6948" s="4" t="s">
        <v>5</v>
      </c>
      <c r="C6948" s="4" t="s">
        <v>35</v>
      </c>
      <c r="D6948" s="4">
        <v>2039</v>
      </c>
      <c r="E6948" s="4">
        <v>0</v>
      </c>
      <c r="F6948" s="4" t="s">
        <v>29</v>
      </c>
    </row>
    <row r="6949" spans="1:6" x14ac:dyDescent="0.25">
      <c r="A6949" s="4" t="s">
        <v>85</v>
      </c>
      <c r="B6949" s="4" t="s">
        <v>5</v>
      </c>
      <c r="C6949" s="4" t="s">
        <v>35</v>
      </c>
      <c r="D6949" s="4">
        <v>2040</v>
      </c>
      <c r="E6949" s="4">
        <v>0</v>
      </c>
      <c r="F6949" s="4" t="s">
        <v>29</v>
      </c>
    </row>
    <row r="6950" spans="1:6" x14ac:dyDescent="0.25">
      <c r="A6950" s="4" t="s">
        <v>85</v>
      </c>
      <c r="B6950" s="4" t="s">
        <v>6</v>
      </c>
      <c r="C6950" s="4" t="s">
        <v>35</v>
      </c>
      <c r="D6950" s="4">
        <v>2005</v>
      </c>
      <c r="E6950" s="4">
        <v>0</v>
      </c>
      <c r="F6950" s="4" t="s">
        <v>29</v>
      </c>
    </row>
    <row r="6951" spans="1:6" x14ac:dyDescent="0.25">
      <c r="A6951" s="4" t="s">
        <v>85</v>
      </c>
      <c r="B6951" s="4" t="s">
        <v>6</v>
      </c>
      <c r="C6951" s="4" t="s">
        <v>35</v>
      </c>
      <c r="D6951" s="4">
        <v>2006</v>
      </c>
      <c r="E6951" s="4">
        <v>0</v>
      </c>
      <c r="F6951" s="4" t="s">
        <v>29</v>
      </c>
    </row>
    <row r="6952" spans="1:6" x14ac:dyDescent="0.25">
      <c r="A6952" s="4" t="s">
        <v>85</v>
      </c>
      <c r="B6952" s="4" t="s">
        <v>6</v>
      </c>
      <c r="C6952" s="4" t="s">
        <v>35</v>
      </c>
      <c r="D6952" s="4">
        <v>2007</v>
      </c>
      <c r="E6952" s="4">
        <v>0</v>
      </c>
      <c r="F6952" s="4" t="s">
        <v>29</v>
      </c>
    </row>
    <row r="6953" spans="1:6" x14ac:dyDescent="0.25">
      <c r="A6953" s="4" t="s">
        <v>85</v>
      </c>
      <c r="B6953" s="4" t="s">
        <v>6</v>
      </c>
      <c r="C6953" s="4" t="s">
        <v>35</v>
      </c>
      <c r="D6953" s="4">
        <v>2008</v>
      </c>
      <c r="E6953" s="4">
        <v>0</v>
      </c>
      <c r="F6953" s="4" t="s">
        <v>29</v>
      </c>
    </row>
    <row r="6954" spans="1:6" x14ac:dyDescent="0.25">
      <c r="A6954" s="4" t="s">
        <v>85</v>
      </c>
      <c r="B6954" s="4" t="s">
        <v>6</v>
      </c>
      <c r="C6954" s="4" t="s">
        <v>35</v>
      </c>
      <c r="D6954" s="4">
        <v>2009</v>
      </c>
      <c r="E6954" s="4">
        <v>0</v>
      </c>
      <c r="F6954" s="4" t="s">
        <v>29</v>
      </c>
    </row>
    <row r="6955" spans="1:6" x14ac:dyDescent="0.25">
      <c r="A6955" s="4" t="s">
        <v>85</v>
      </c>
      <c r="B6955" s="4" t="s">
        <v>6</v>
      </c>
      <c r="C6955" s="4" t="s">
        <v>35</v>
      </c>
      <c r="D6955" s="4">
        <v>2010</v>
      </c>
      <c r="E6955" s="4">
        <v>0</v>
      </c>
      <c r="F6955" s="4" t="s">
        <v>29</v>
      </c>
    </row>
    <row r="6956" spans="1:6" x14ac:dyDescent="0.25">
      <c r="A6956" s="4" t="s">
        <v>85</v>
      </c>
      <c r="B6956" s="4" t="s">
        <v>6</v>
      </c>
      <c r="C6956" s="4" t="s">
        <v>35</v>
      </c>
      <c r="D6956" s="4">
        <v>2011</v>
      </c>
      <c r="E6956" s="4">
        <v>0</v>
      </c>
      <c r="F6956" s="4" t="s">
        <v>29</v>
      </c>
    </row>
    <row r="6957" spans="1:6" x14ac:dyDescent="0.25">
      <c r="A6957" s="4" t="s">
        <v>85</v>
      </c>
      <c r="B6957" s="4" t="s">
        <v>6</v>
      </c>
      <c r="C6957" s="4" t="s">
        <v>35</v>
      </c>
      <c r="D6957" s="4">
        <v>2012</v>
      </c>
      <c r="E6957" s="4">
        <v>0</v>
      </c>
      <c r="F6957" s="4" t="s">
        <v>29</v>
      </c>
    </row>
    <row r="6958" spans="1:6" x14ac:dyDescent="0.25">
      <c r="A6958" s="4" t="s">
        <v>85</v>
      </c>
      <c r="B6958" s="4" t="s">
        <v>6</v>
      </c>
      <c r="C6958" s="4" t="s">
        <v>35</v>
      </c>
      <c r="D6958" s="4">
        <v>2013</v>
      </c>
      <c r="E6958" s="4">
        <v>0</v>
      </c>
      <c r="F6958" s="4" t="s">
        <v>29</v>
      </c>
    </row>
    <row r="6959" spans="1:6" x14ac:dyDescent="0.25">
      <c r="A6959" s="4" t="s">
        <v>85</v>
      </c>
      <c r="B6959" s="4" t="s">
        <v>6</v>
      </c>
      <c r="C6959" s="4" t="s">
        <v>35</v>
      </c>
      <c r="D6959" s="4">
        <v>2014</v>
      </c>
      <c r="E6959" s="4">
        <v>0</v>
      </c>
      <c r="F6959" s="4" t="s">
        <v>29</v>
      </c>
    </row>
    <row r="6960" spans="1:6" x14ac:dyDescent="0.25">
      <c r="A6960" s="4" t="s">
        <v>85</v>
      </c>
      <c r="B6960" s="4" t="s">
        <v>6</v>
      </c>
      <c r="C6960" s="4" t="s">
        <v>35</v>
      </c>
      <c r="D6960" s="4">
        <v>2015</v>
      </c>
      <c r="E6960" s="4">
        <v>0</v>
      </c>
      <c r="F6960" s="4" t="s">
        <v>29</v>
      </c>
    </row>
    <row r="6961" spans="1:6" x14ac:dyDescent="0.25">
      <c r="A6961" s="4" t="s">
        <v>85</v>
      </c>
      <c r="B6961" s="4" t="s">
        <v>6</v>
      </c>
      <c r="C6961" s="4" t="s">
        <v>35</v>
      </c>
      <c r="D6961" s="4">
        <v>2016</v>
      </c>
      <c r="E6961" s="4">
        <v>0</v>
      </c>
      <c r="F6961" s="4" t="s">
        <v>29</v>
      </c>
    </row>
    <row r="6962" spans="1:6" x14ac:dyDescent="0.25">
      <c r="A6962" s="4" t="s">
        <v>85</v>
      </c>
      <c r="B6962" s="4" t="s">
        <v>6</v>
      </c>
      <c r="C6962" s="4" t="s">
        <v>35</v>
      </c>
      <c r="D6962" s="4">
        <v>2017</v>
      </c>
      <c r="E6962" s="4">
        <v>0</v>
      </c>
      <c r="F6962" s="4" t="s">
        <v>29</v>
      </c>
    </row>
    <row r="6963" spans="1:6" x14ac:dyDescent="0.25">
      <c r="A6963" s="4" t="s">
        <v>85</v>
      </c>
      <c r="B6963" s="4" t="s">
        <v>6</v>
      </c>
      <c r="C6963" s="4" t="s">
        <v>35</v>
      </c>
      <c r="D6963" s="4">
        <v>2018</v>
      </c>
      <c r="E6963" s="4">
        <v>0</v>
      </c>
      <c r="F6963" s="4" t="s">
        <v>29</v>
      </c>
    </row>
    <row r="6964" spans="1:6" x14ac:dyDescent="0.25">
      <c r="A6964" s="4" t="s">
        <v>85</v>
      </c>
      <c r="B6964" s="4" t="s">
        <v>6</v>
      </c>
      <c r="C6964" s="4" t="s">
        <v>35</v>
      </c>
      <c r="D6964" s="4">
        <v>2019</v>
      </c>
      <c r="E6964" s="4">
        <v>0</v>
      </c>
      <c r="F6964" s="4" t="s">
        <v>29</v>
      </c>
    </row>
    <row r="6965" spans="1:6" x14ac:dyDescent="0.25">
      <c r="A6965" s="4" t="s">
        <v>85</v>
      </c>
      <c r="B6965" s="4" t="s">
        <v>6</v>
      </c>
      <c r="C6965" s="4" t="s">
        <v>35</v>
      </c>
      <c r="D6965" s="4">
        <v>2020</v>
      </c>
      <c r="E6965" s="4">
        <v>0</v>
      </c>
      <c r="F6965" s="4" t="s">
        <v>29</v>
      </c>
    </row>
    <row r="6966" spans="1:6" x14ac:dyDescent="0.25">
      <c r="A6966" s="4" t="s">
        <v>85</v>
      </c>
      <c r="B6966" s="4" t="s">
        <v>6</v>
      </c>
      <c r="C6966" s="4" t="s">
        <v>35</v>
      </c>
      <c r="D6966" s="4">
        <v>2021</v>
      </c>
      <c r="E6966" s="4">
        <v>0</v>
      </c>
      <c r="F6966" s="4" t="s">
        <v>29</v>
      </c>
    </row>
    <row r="6967" spans="1:6" x14ac:dyDescent="0.25">
      <c r="A6967" s="4" t="s">
        <v>85</v>
      </c>
      <c r="B6967" s="4" t="s">
        <v>6</v>
      </c>
      <c r="C6967" s="4" t="s">
        <v>35</v>
      </c>
      <c r="D6967" s="4">
        <v>2022</v>
      </c>
      <c r="E6967" s="4">
        <v>0</v>
      </c>
      <c r="F6967" s="4" t="s">
        <v>29</v>
      </c>
    </row>
    <row r="6968" spans="1:6" x14ac:dyDescent="0.25">
      <c r="A6968" s="4" t="s">
        <v>85</v>
      </c>
      <c r="B6968" s="4" t="s">
        <v>6</v>
      </c>
      <c r="C6968" s="4" t="s">
        <v>35</v>
      </c>
      <c r="D6968" s="4">
        <v>2023</v>
      </c>
      <c r="E6968" s="4">
        <v>0</v>
      </c>
      <c r="F6968" s="4" t="s">
        <v>29</v>
      </c>
    </row>
    <row r="6969" spans="1:6" x14ac:dyDescent="0.25">
      <c r="A6969" s="4" t="s">
        <v>85</v>
      </c>
      <c r="B6969" s="4" t="s">
        <v>6</v>
      </c>
      <c r="C6969" s="4" t="s">
        <v>35</v>
      </c>
      <c r="D6969" s="4">
        <v>2024</v>
      </c>
      <c r="E6969" s="4">
        <v>0</v>
      </c>
      <c r="F6969" s="4" t="s">
        <v>29</v>
      </c>
    </row>
    <row r="6970" spans="1:6" x14ac:dyDescent="0.25">
      <c r="A6970" s="4" t="s">
        <v>85</v>
      </c>
      <c r="B6970" s="4" t="s">
        <v>6</v>
      </c>
      <c r="C6970" s="4" t="s">
        <v>35</v>
      </c>
      <c r="D6970" s="4">
        <v>2025</v>
      </c>
      <c r="E6970" s="4">
        <v>0</v>
      </c>
      <c r="F6970" s="4" t="s">
        <v>29</v>
      </c>
    </row>
    <row r="6971" spans="1:6" x14ac:dyDescent="0.25">
      <c r="A6971" s="4" t="s">
        <v>85</v>
      </c>
      <c r="B6971" s="4" t="s">
        <v>6</v>
      </c>
      <c r="C6971" s="4" t="s">
        <v>35</v>
      </c>
      <c r="D6971" s="4">
        <v>2026</v>
      </c>
      <c r="E6971" s="4">
        <v>0</v>
      </c>
      <c r="F6971" s="4" t="s">
        <v>29</v>
      </c>
    </row>
    <row r="6972" spans="1:6" x14ac:dyDescent="0.25">
      <c r="A6972" s="4" t="s">
        <v>85</v>
      </c>
      <c r="B6972" s="4" t="s">
        <v>6</v>
      </c>
      <c r="C6972" s="4" t="s">
        <v>35</v>
      </c>
      <c r="D6972" s="4">
        <v>2027</v>
      </c>
      <c r="E6972" s="4">
        <v>0</v>
      </c>
      <c r="F6972" s="4" t="s">
        <v>29</v>
      </c>
    </row>
    <row r="6973" spans="1:6" x14ac:dyDescent="0.25">
      <c r="A6973" s="4" t="s">
        <v>85</v>
      </c>
      <c r="B6973" s="4" t="s">
        <v>6</v>
      </c>
      <c r="C6973" s="4" t="s">
        <v>35</v>
      </c>
      <c r="D6973" s="4">
        <v>2028</v>
      </c>
      <c r="E6973" s="4">
        <v>0</v>
      </c>
      <c r="F6973" s="4" t="s">
        <v>29</v>
      </c>
    </row>
    <row r="6974" spans="1:6" x14ac:dyDescent="0.25">
      <c r="A6974" s="4" t="s">
        <v>85</v>
      </c>
      <c r="B6974" s="4" t="s">
        <v>6</v>
      </c>
      <c r="C6974" s="4" t="s">
        <v>35</v>
      </c>
      <c r="D6974" s="4">
        <v>2029</v>
      </c>
      <c r="E6974" s="4">
        <v>0</v>
      </c>
      <c r="F6974" s="4" t="s">
        <v>29</v>
      </c>
    </row>
    <row r="6975" spans="1:6" x14ac:dyDescent="0.25">
      <c r="A6975" s="4" t="s">
        <v>85</v>
      </c>
      <c r="B6975" s="4" t="s">
        <v>6</v>
      </c>
      <c r="C6975" s="4" t="s">
        <v>35</v>
      </c>
      <c r="D6975" s="4">
        <v>2030</v>
      </c>
      <c r="E6975" s="4">
        <v>0</v>
      </c>
      <c r="F6975" s="4" t="s">
        <v>29</v>
      </c>
    </row>
    <row r="6976" spans="1:6" x14ac:dyDescent="0.25">
      <c r="A6976" s="4" t="s">
        <v>85</v>
      </c>
      <c r="B6976" s="4" t="s">
        <v>6</v>
      </c>
      <c r="C6976" s="4" t="s">
        <v>35</v>
      </c>
      <c r="D6976" s="4">
        <v>2031</v>
      </c>
      <c r="E6976" s="4">
        <v>0</v>
      </c>
      <c r="F6976" s="4" t="s">
        <v>29</v>
      </c>
    </row>
    <row r="6977" spans="1:6" x14ac:dyDescent="0.25">
      <c r="A6977" s="4" t="s">
        <v>85</v>
      </c>
      <c r="B6977" s="4" t="s">
        <v>6</v>
      </c>
      <c r="C6977" s="4" t="s">
        <v>35</v>
      </c>
      <c r="D6977" s="4">
        <v>2032</v>
      </c>
      <c r="E6977" s="4">
        <v>0</v>
      </c>
      <c r="F6977" s="4" t="s">
        <v>29</v>
      </c>
    </row>
    <row r="6978" spans="1:6" x14ac:dyDescent="0.25">
      <c r="A6978" s="4" t="s">
        <v>85</v>
      </c>
      <c r="B6978" s="4" t="s">
        <v>6</v>
      </c>
      <c r="C6978" s="4" t="s">
        <v>35</v>
      </c>
      <c r="D6978" s="4">
        <v>2033</v>
      </c>
      <c r="E6978" s="4">
        <v>0</v>
      </c>
      <c r="F6978" s="4" t="s">
        <v>29</v>
      </c>
    </row>
    <row r="6979" spans="1:6" x14ac:dyDescent="0.25">
      <c r="A6979" s="4" t="s">
        <v>85</v>
      </c>
      <c r="B6979" s="4" t="s">
        <v>6</v>
      </c>
      <c r="C6979" s="4" t="s">
        <v>35</v>
      </c>
      <c r="D6979" s="4">
        <v>2034</v>
      </c>
      <c r="E6979" s="4">
        <v>0</v>
      </c>
      <c r="F6979" s="4" t="s">
        <v>29</v>
      </c>
    </row>
    <row r="6980" spans="1:6" x14ac:dyDescent="0.25">
      <c r="A6980" s="4" t="s">
        <v>85</v>
      </c>
      <c r="B6980" s="4" t="s">
        <v>6</v>
      </c>
      <c r="C6980" s="4" t="s">
        <v>35</v>
      </c>
      <c r="D6980" s="4">
        <v>2035</v>
      </c>
      <c r="E6980" s="4">
        <v>0</v>
      </c>
      <c r="F6980" s="4" t="s">
        <v>29</v>
      </c>
    </row>
    <row r="6981" spans="1:6" x14ac:dyDescent="0.25">
      <c r="A6981" s="4" t="s">
        <v>85</v>
      </c>
      <c r="B6981" s="4" t="s">
        <v>6</v>
      </c>
      <c r="C6981" s="4" t="s">
        <v>35</v>
      </c>
      <c r="D6981" s="4">
        <v>2036</v>
      </c>
      <c r="E6981" s="4">
        <v>0</v>
      </c>
      <c r="F6981" s="4" t="s">
        <v>29</v>
      </c>
    </row>
    <row r="6982" spans="1:6" x14ac:dyDescent="0.25">
      <c r="A6982" s="4" t="s">
        <v>85</v>
      </c>
      <c r="B6982" s="4" t="s">
        <v>6</v>
      </c>
      <c r="C6982" s="4" t="s">
        <v>35</v>
      </c>
      <c r="D6982" s="4">
        <v>2037</v>
      </c>
      <c r="E6982" s="4">
        <v>0</v>
      </c>
      <c r="F6982" s="4" t="s">
        <v>29</v>
      </c>
    </row>
    <row r="6983" spans="1:6" x14ac:dyDescent="0.25">
      <c r="A6983" s="4" t="s">
        <v>85</v>
      </c>
      <c r="B6983" s="4" t="s">
        <v>6</v>
      </c>
      <c r="C6983" s="4" t="s">
        <v>35</v>
      </c>
      <c r="D6983" s="4">
        <v>2038</v>
      </c>
      <c r="E6983" s="4">
        <v>0</v>
      </c>
      <c r="F6983" s="4" t="s">
        <v>29</v>
      </c>
    </row>
    <row r="6984" spans="1:6" x14ac:dyDescent="0.25">
      <c r="A6984" s="4" t="s">
        <v>85</v>
      </c>
      <c r="B6984" s="4" t="s">
        <v>6</v>
      </c>
      <c r="C6984" s="4" t="s">
        <v>35</v>
      </c>
      <c r="D6984" s="4">
        <v>2039</v>
      </c>
      <c r="E6984" s="4">
        <v>0</v>
      </c>
      <c r="F6984" s="4" t="s">
        <v>29</v>
      </c>
    </row>
    <row r="6985" spans="1:6" x14ac:dyDescent="0.25">
      <c r="A6985" s="4" t="s">
        <v>85</v>
      </c>
      <c r="B6985" s="4" t="s">
        <v>6</v>
      </c>
      <c r="C6985" s="4" t="s">
        <v>35</v>
      </c>
      <c r="D6985" s="4">
        <v>2040</v>
      </c>
      <c r="E6985" s="4">
        <v>0</v>
      </c>
      <c r="F6985" s="4" t="s">
        <v>29</v>
      </c>
    </row>
    <row r="6986" spans="1:6" x14ac:dyDescent="0.25">
      <c r="A6986" s="4" t="s">
        <v>85</v>
      </c>
      <c r="B6986" s="4" t="s">
        <v>23</v>
      </c>
      <c r="C6986" s="4" t="s">
        <v>35</v>
      </c>
      <c r="D6986" s="4">
        <v>2005</v>
      </c>
      <c r="E6986" s="4">
        <v>0</v>
      </c>
      <c r="F6986" s="4" t="s">
        <v>29</v>
      </c>
    </row>
    <row r="6987" spans="1:6" x14ac:dyDescent="0.25">
      <c r="A6987" s="4" t="s">
        <v>85</v>
      </c>
      <c r="B6987" s="4" t="s">
        <v>23</v>
      </c>
      <c r="C6987" s="4" t="s">
        <v>35</v>
      </c>
      <c r="D6987" s="4">
        <v>2006</v>
      </c>
      <c r="E6987" s="4">
        <v>0</v>
      </c>
      <c r="F6987" s="4" t="s">
        <v>29</v>
      </c>
    </row>
    <row r="6988" spans="1:6" x14ac:dyDescent="0.25">
      <c r="A6988" s="4" t="s">
        <v>85</v>
      </c>
      <c r="B6988" s="4" t="s">
        <v>23</v>
      </c>
      <c r="C6988" s="4" t="s">
        <v>35</v>
      </c>
      <c r="D6988" s="4">
        <v>2007</v>
      </c>
      <c r="E6988" s="4">
        <v>0</v>
      </c>
      <c r="F6988" s="4" t="s">
        <v>29</v>
      </c>
    </row>
    <row r="6989" spans="1:6" x14ac:dyDescent="0.25">
      <c r="A6989" s="4" t="s">
        <v>85</v>
      </c>
      <c r="B6989" s="4" t="s">
        <v>23</v>
      </c>
      <c r="C6989" s="4" t="s">
        <v>35</v>
      </c>
      <c r="D6989" s="4">
        <v>2008</v>
      </c>
      <c r="E6989" s="4">
        <v>0</v>
      </c>
      <c r="F6989" s="4" t="s">
        <v>29</v>
      </c>
    </row>
    <row r="6990" spans="1:6" x14ac:dyDescent="0.25">
      <c r="A6990" s="4" t="s">
        <v>85</v>
      </c>
      <c r="B6990" s="4" t="s">
        <v>23</v>
      </c>
      <c r="C6990" s="4" t="s">
        <v>35</v>
      </c>
      <c r="D6990" s="4">
        <v>2009</v>
      </c>
      <c r="E6990" s="4">
        <v>0</v>
      </c>
      <c r="F6990" s="4" t="s">
        <v>29</v>
      </c>
    </row>
    <row r="6991" spans="1:6" x14ac:dyDescent="0.25">
      <c r="A6991" s="4" t="s">
        <v>85</v>
      </c>
      <c r="B6991" s="4" t="s">
        <v>23</v>
      </c>
      <c r="C6991" s="4" t="s">
        <v>35</v>
      </c>
      <c r="D6991" s="4">
        <v>2010</v>
      </c>
      <c r="E6991" s="4">
        <v>0</v>
      </c>
      <c r="F6991" s="4" t="s">
        <v>29</v>
      </c>
    </row>
    <row r="6992" spans="1:6" x14ac:dyDescent="0.25">
      <c r="A6992" s="4" t="s">
        <v>85</v>
      </c>
      <c r="B6992" s="4" t="s">
        <v>23</v>
      </c>
      <c r="C6992" s="4" t="s">
        <v>35</v>
      </c>
      <c r="D6992" s="4">
        <v>2011</v>
      </c>
      <c r="E6992" s="4">
        <v>0</v>
      </c>
      <c r="F6992" s="4" t="s">
        <v>29</v>
      </c>
    </row>
    <row r="6993" spans="1:6" x14ac:dyDescent="0.25">
      <c r="A6993" s="4" t="s">
        <v>85</v>
      </c>
      <c r="B6993" s="4" t="s">
        <v>23</v>
      </c>
      <c r="C6993" s="4" t="s">
        <v>35</v>
      </c>
      <c r="D6993" s="4">
        <v>2012</v>
      </c>
      <c r="E6993" s="4">
        <v>0</v>
      </c>
      <c r="F6993" s="4" t="s">
        <v>29</v>
      </c>
    </row>
    <row r="6994" spans="1:6" x14ac:dyDescent="0.25">
      <c r="A6994" s="4" t="s">
        <v>85</v>
      </c>
      <c r="B6994" s="4" t="s">
        <v>23</v>
      </c>
      <c r="C6994" s="4" t="s">
        <v>35</v>
      </c>
      <c r="D6994" s="4">
        <v>2013</v>
      </c>
      <c r="E6994" s="4">
        <v>0</v>
      </c>
      <c r="F6994" s="4" t="s">
        <v>29</v>
      </c>
    </row>
    <row r="6995" spans="1:6" x14ac:dyDescent="0.25">
      <c r="A6995" s="4" t="s">
        <v>85</v>
      </c>
      <c r="B6995" s="4" t="s">
        <v>23</v>
      </c>
      <c r="C6995" s="4" t="s">
        <v>35</v>
      </c>
      <c r="D6995" s="4">
        <v>2014</v>
      </c>
      <c r="E6995" s="4">
        <v>0</v>
      </c>
      <c r="F6995" s="4" t="s">
        <v>29</v>
      </c>
    </row>
    <row r="6996" spans="1:6" x14ac:dyDescent="0.25">
      <c r="A6996" s="4" t="s">
        <v>85</v>
      </c>
      <c r="B6996" s="4" t="s">
        <v>23</v>
      </c>
      <c r="C6996" s="4" t="s">
        <v>35</v>
      </c>
      <c r="D6996" s="4">
        <v>2015</v>
      </c>
      <c r="E6996" s="4">
        <v>0</v>
      </c>
      <c r="F6996" s="4" t="s">
        <v>29</v>
      </c>
    </row>
    <row r="6997" spans="1:6" x14ac:dyDescent="0.25">
      <c r="A6997" s="4" t="s">
        <v>85</v>
      </c>
      <c r="B6997" s="4" t="s">
        <v>23</v>
      </c>
      <c r="C6997" s="4" t="s">
        <v>35</v>
      </c>
      <c r="D6997" s="4">
        <v>2016</v>
      </c>
      <c r="E6997" s="4">
        <v>0</v>
      </c>
      <c r="F6997" s="4" t="s">
        <v>29</v>
      </c>
    </row>
    <row r="6998" spans="1:6" x14ac:dyDescent="0.25">
      <c r="A6998" s="4" t="s">
        <v>85</v>
      </c>
      <c r="B6998" s="4" t="s">
        <v>23</v>
      </c>
      <c r="C6998" s="4" t="s">
        <v>35</v>
      </c>
      <c r="D6998" s="4">
        <v>2017</v>
      </c>
      <c r="E6998" s="4">
        <v>0</v>
      </c>
      <c r="F6998" s="4" t="s">
        <v>29</v>
      </c>
    </row>
    <row r="6999" spans="1:6" x14ac:dyDescent="0.25">
      <c r="A6999" s="4" t="s">
        <v>85</v>
      </c>
      <c r="B6999" s="4" t="s">
        <v>23</v>
      </c>
      <c r="C6999" s="4" t="s">
        <v>35</v>
      </c>
      <c r="D6999" s="4">
        <v>2018</v>
      </c>
      <c r="E6999" s="4">
        <v>0</v>
      </c>
      <c r="F6999" s="4" t="s">
        <v>29</v>
      </c>
    </row>
    <row r="7000" spans="1:6" x14ac:dyDescent="0.25">
      <c r="A7000" s="4" t="s">
        <v>85</v>
      </c>
      <c r="B7000" s="4" t="s">
        <v>23</v>
      </c>
      <c r="C7000" s="4" t="s">
        <v>35</v>
      </c>
      <c r="D7000" s="4">
        <v>2019</v>
      </c>
      <c r="E7000" s="4">
        <v>0</v>
      </c>
      <c r="F7000" s="4" t="s">
        <v>29</v>
      </c>
    </row>
    <row r="7001" spans="1:6" x14ac:dyDescent="0.25">
      <c r="A7001" s="4" t="s">
        <v>85</v>
      </c>
      <c r="B7001" s="4" t="s">
        <v>23</v>
      </c>
      <c r="C7001" s="4" t="s">
        <v>35</v>
      </c>
      <c r="D7001" s="4">
        <v>2020</v>
      </c>
      <c r="E7001" s="4">
        <v>0</v>
      </c>
      <c r="F7001" s="4" t="s">
        <v>29</v>
      </c>
    </row>
    <row r="7002" spans="1:6" x14ac:dyDescent="0.25">
      <c r="A7002" s="4" t="s">
        <v>85</v>
      </c>
      <c r="B7002" s="4" t="s">
        <v>23</v>
      </c>
      <c r="C7002" s="4" t="s">
        <v>35</v>
      </c>
      <c r="D7002" s="4">
        <v>2021</v>
      </c>
      <c r="E7002" s="4">
        <v>0</v>
      </c>
      <c r="F7002" s="4" t="s">
        <v>29</v>
      </c>
    </row>
    <row r="7003" spans="1:6" x14ac:dyDescent="0.25">
      <c r="A7003" s="4" t="s">
        <v>85</v>
      </c>
      <c r="B7003" s="4" t="s">
        <v>23</v>
      </c>
      <c r="C7003" s="4" t="s">
        <v>35</v>
      </c>
      <c r="D7003" s="4">
        <v>2022</v>
      </c>
      <c r="E7003" s="4">
        <v>0</v>
      </c>
      <c r="F7003" s="4" t="s">
        <v>29</v>
      </c>
    </row>
    <row r="7004" spans="1:6" x14ac:dyDescent="0.25">
      <c r="A7004" s="4" t="s">
        <v>85</v>
      </c>
      <c r="B7004" s="4" t="s">
        <v>23</v>
      </c>
      <c r="C7004" s="4" t="s">
        <v>35</v>
      </c>
      <c r="D7004" s="4">
        <v>2023</v>
      </c>
      <c r="E7004" s="4">
        <v>0</v>
      </c>
      <c r="F7004" s="4" t="s">
        <v>29</v>
      </c>
    </row>
    <row r="7005" spans="1:6" x14ac:dyDescent="0.25">
      <c r="A7005" s="4" t="s">
        <v>85</v>
      </c>
      <c r="B7005" s="4" t="s">
        <v>23</v>
      </c>
      <c r="C7005" s="4" t="s">
        <v>35</v>
      </c>
      <c r="D7005" s="4">
        <v>2024</v>
      </c>
      <c r="E7005" s="4">
        <v>0</v>
      </c>
      <c r="F7005" s="4" t="s">
        <v>29</v>
      </c>
    </row>
    <row r="7006" spans="1:6" x14ac:dyDescent="0.25">
      <c r="A7006" s="4" t="s">
        <v>85</v>
      </c>
      <c r="B7006" s="4" t="s">
        <v>23</v>
      </c>
      <c r="C7006" s="4" t="s">
        <v>35</v>
      </c>
      <c r="D7006" s="4">
        <v>2025</v>
      </c>
      <c r="E7006" s="4">
        <v>0</v>
      </c>
      <c r="F7006" s="4" t="s">
        <v>29</v>
      </c>
    </row>
    <row r="7007" spans="1:6" x14ac:dyDescent="0.25">
      <c r="A7007" s="4" t="s">
        <v>85</v>
      </c>
      <c r="B7007" s="4" t="s">
        <v>23</v>
      </c>
      <c r="C7007" s="4" t="s">
        <v>35</v>
      </c>
      <c r="D7007" s="4">
        <v>2026</v>
      </c>
      <c r="E7007" s="4">
        <v>0</v>
      </c>
      <c r="F7007" s="4" t="s">
        <v>29</v>
      </c>
    </row>
    <row r="7008" spans="1:6" x14ac:dyDescent="0.25">
      <c r="A7008" s="4" t="s">
        <v>85</v>
      </c>
      <c r="B7008" s="4" t="s">
        <v>23</v>
      </c>
      <c r="C7008" s="4" t="s">
        <v>35</v>
      </c>
      <c r="D7008" s="4">
        <v>2027</v>
      </c>
      <c r="E7008" s="4">
        <v>0</v>
      </c>
      <c r="F7008" s="4" t="s">
        <v>29</v>
      </c>
    </row>
    <row r="7009" spans="1:6" x14ac:dyDescent="0.25">
      <c r="A7009" s="4" t="s">
        <v>85</v>
      </c>
      <c r="B7009" s="4" t="s">
        <v>23</v>
      </c>
      <c r="C7009" s="4" t="s">
        <v>35</v>
      </c>
      <c r="D7009" s="4">
        <v>2028</v>
      </c>
      <c r="E7009" s="4">
        <v>0</v>
      </c>
      <c r="F7009" s="4" t="s">
        <v>29</v>
      </c>
    </row>
    <row r="7010" spans="1:6" x14ac:dyDescent="0.25">
      <c r="A7010" s="4" t="s">
        <v>85</v>
      </c>
      <c r="B7010" s="4" t="s">
        <v>23</v>
      </c>
      <c r="C7010" s="4" t="s">
        <v>35</v>
      </c>
      <c r="D7010" s="4">
        <v>2029</v>
      </c>
      <c r="E7010" s="4">
        <v>0</v>
      </c>
      <c r="F7010" s="4" t="s">
        <v>29</v>
      </c>
    </row>
    <row r="7011" spans="1:6" x14ac:dyDescent="0.25">
      <c r="A7011" s="4" t="s">
        <v>85</v>
      </c>
      <c r="B7011" s="4" t="s">
        <v>23</v>
      </c>
      <c r="C7011" s="4" t="s">
        <v>35</v>
      </c>
      <c r="D7011" s="4">
        <v>2030</v>
      </c>
      <c r="E7011" s="4">
        <v>0</v>
      </c>
      <c r="F7011" s="4" t="s">
        <v>29</v>
      </c>
    </row>
    <row r="7012" spans="1:6" x14ac:dyDescent="0.25">
      <c r="A7012" s="4" t="s">
        <v>85</v>
      </c>
      <c r="B7012" s="4" t="s">
        <v>23</v>
      </c>
      <c r="C7012" s="4" t="s">
        <v>35</v>
      </c>
      <c r="D7012" s="4">
        <v>2031</v>
      </c>
      <c r="E7012" s="4">
        <v>0</v>
      </c>
      <c r="F7012" s="4" t="s">
        <v>29</v>
      </c>
    </row>
    <row r="7013" spans="1:6" x14ac:dyDescent="0.25">
      <c r="A7013" s="4" t="s">
        <v>85</v>
      </c>
      <c r="B7013" s="4" t="s">
        <v>23</v>
      </c>
      <c r="C7013" s="4" t="s">
        <v>35</v>
      </c>
      <c r="D7013" s="4">
        <v>2032</v>
      </c>
      <c r="E7013" s="4">
        <v>0</v>
      </c>
      <c r="F7013" s="4" t="s">
        <v>29</v>
      </c>
    </row>
    <row r="7014" spans="1:6" x14ac:dyDescent="0.25">
      <c r="A7014" s="4" t="s">
        <v>85</v>
      </c>
      <c r="B7014" s="4" t="s">
        <v>23</v>
      </c>
      <c r="C7014" s="4" t="s">
        <v>35</v>
      </c>
      <c r="D7014" s="4">
        <v>2033</v>
      </c>
      <c r="E7014" s="4">
        <v>0</v>
      </c>
      <c r="F7014" s="4" t="s">
        <v>29</v>
      </c>
    </row>
    <row r="7015" spans="1:6" x14ac:dyDescent="0.25">
      <c r="A7015" s="4" t="s">
        <v>85</v>
      </c>
      <c r="B7015" s="4" t="s">
        <v>23</v>
      </c>
      <c r="C7015" s="4" t="s">
        <v>35</v>
      </c>
      <c r="D7015" s="4">
        <v>2034</v>
      </c>
      <c r="E7015" s="4">
        <v>0</v>
      </c>
      <c r="F7015" s="4" t="s">
        <v>29</v>
      </c>
    </row>
    <row r="7016" spans="1:6" x14ac:dyDescent="0.25">
      <c r="A7016" s="4" t="s">
        <v>85</v>
      </c>
      <c r="B7016" s="4" t="s">
        <v>23</v>
      </c>
      <c r="C7016" s="4" t="s">
        <v>35</v>
      </c>
      <c r="D7016" s="4">
        <v>2035</v>
      </c>
      <c r="E7016" s="4">
        <v>0</v>
      </c>
      <c r="F7016" s="4" t="s">
        <v>29</v>
      </c>
    </row>
    <row r="7017" spans="1:6" x14ac:dyDescent="0.25">
      <c r="A7017" s="4" t="s">
        <v>85</v>
      </c>
      <c r="B7017" s="4" t="s">
        <v>23</v>
      </c>
      <c r="C7017" s="4" t="s">
        <v>35</v>
      </c>
      <c r="D7017" s="4">
        <v>2036</v>
      </c>
      <c r="E7017" s="4">
        <v>0</v>
      </c>
      <c r="F7017" s="4" t="s">
        <v>29</v>
      </c>
    </row>
    <row r="7018" spans="1:6" x14ac:dyDescent="0.25">
      <c r="A7018" s="4" t="s">
        <v>85</v>
      </c>
      <c r="B7018" s="4" t="s">
        <v>23</v>
      </c>
      <c r="C7018" s="4" t="s">
        <v>35</v>
      </c>
      <c r="D7018" s="4">
        <v>2037</v>
      </c>
      <c r="E7018" s="4">
        <v>0</v>
      </c>
      <c r="F7018" s="4" t="s">
        <v>29</v>
      </c>
    </row>
    <row r="7019" spans="1:6" x14ac:dyDescent="0.25">
      <c r="A7019" s="4" t="s">
        <v>85</v>
      </c>
      <c r="B7019" s="4" t="s">
        <v>23</v>
      </c>
      <c r="C7019" s="4" t="s">
        <v>35</v>
      </c>
      <c r="D7019" s="4">
        <v>2038</v>
      </c>
      <c r="E7019" s="4">
        <v>0</v>
      </c>
      <c r="F7019" s="4" t="s">
        <v>29</v>
      </c>
    </row>
    <row r="7020" spans="1:6" x14ac:dyDescent="0.25">
      <c r="A7020" s="4" t="s">
        <v>85</v>
      </c>
      <c r="B7020" s="4" t="s">
        <v>23</v>
      </c>
      <c r="C7020" s="4" t="s">
        <v>35</v>
      </c>
      <c r="D7020" s="4">
        <v>2039</v>
      </c>
      <c r="E7020" s="4">
        <v>0</v>
      </c>
      <c r="F7020" s="4" t="s">
        <v>29</v>
      </c>
    </row>
    <row r="7021" spans="1:6" x14ac:dyDescent="0.25">
      <c r="A7021" s="4" t="s">
        <v>85</v>
      </c>
      <c r="B7021" s="4" t="s">
        <v>23</v>
      </c>
      <c r="C7021" s="4" t="s">
        <v>35</v>
      </c>
      <c r="D7021" s="4">
        <v>2040</v>
      </c>
      <c r="E7021" s="4">
        <v>0</v>
      </c>
      <c r="F7021" s="4" t="s">
        <v>29</v>
      </c>
    </row>
    <row r="7022" spans="1:6" x14ac:dyDescent="0.25">
      <c r="A7022" s="4" t="s">
        <v>0</v>
      </c>
      <c r="B7022" s="4" t="s">
        <v>1</v>
      </c>
      <c r="C7022" s="4" t="s">
        <v>36</v>
      </c>
      <c r="D7022" s="4">
        <v>2005</v>
      </c>
      <c r="E7022" s="4">
        <v>120393.94465812801</v>
      </c>
      <c r="F7022" s="4" t="s">
        <v>29</v>
      </c>
    </row>
    <row r="7023" spans="1:6" x14ac:dyDescent="0.25">
      <c r="A7023" s="4" t="s">
        <v>0</v>
      </c>
      <c r="B7023" s="4" t="s">
        <v>1</v>
      </c>
      <c r="C7023" s="4" t="s">
        <v>36</v>
      </c>
      <c r="D7023" s="4">
        <v>2006</v>
      </c>
      <c r="E7023" s="4">
        <v>119335.10154082894</v>
      </c>
      <c r="F7023" s="4" t="s">
        <v>29</v>
      </c>
    </row>
    <row r="7024" spans="1:6" x14ac:dyDescent="0.25">
      <c r="A7024" s="4" t="s">
        <v>0</v>
      </c>
      <c r="B7024" s="4" t="s">
        <v>1</v>
      </c>
      <c r="C7024" s="4" t="s">
        <v>36</v>
      </c>
      <c r="D7024" s="4">
        <v>2007</v>
      </c>
      <c r="E7024" s="4">
        <v>128495.40715258461</v>
      </c>
      <c r="F7024" s="4" t="s">
        <v>29</v>
      </c>
    </row>
    <row r="7025" spans="1:6" x14ac:dyDescent="0.25">
      <c r="A7025" s="4" t="s">
        <v>0</v>
      </c>
      <c r="B7025" s="4" t="s">
        <v>1</v>
      </c>
      <c r="C7025" s="4" t="s">
        <v>36</v>
      </c>
      <c r="D7025" s="4">
        <v>2008</v>
      </c>
      <c r="E7025" s="4">
        <v>126621.04200308448</v>
      </c>
      <c r="F7025" s="4" t="s">
        <v>29</v>
      </c>
    </row>
    <row r="7026" spans="1:6" x14ac:dyDescent="0.25">
      <c r="A7026" s="4" t="s">
        <v>0</v>
      </c>
      <c r="B7026" s="4" t="s">
        <v>1</v>
      </c>
      <c r="C7026" s="4" t="s">
        <v>36</v>
      </c>
      <c r="D7026" s="4">
        <v>2009</v>
      </c>
      <c r="E7026" s="4">
        <v>113421.70271813478</v>
      </c>
      <c r="F7026" s="4" t="s">
        <v>29</v>
      </c>
    </row>
    <row r="7027" spans="1:6" x14ac:dyDescent="0.25">
      <c r="A7027" s="4" t="s">
        <v>0</v>
      </c>
      <c r="B7027" s="4" t="s">
        <v>1</v>
      </c>
      <c r="C7027" s="4" t="s">
        <v>36</v>
      </c>
      <c r="D7027" s="4">
        <v>2010</v>
      </c>
      <c r="E7027" s="4">
        <v>115275.72885841444</v>
      </c>
      <c r="F7027" s="4" t="s">
        <v>29</v>
      </c>
    </row>
    <row r="7028" spans="1:6" x14ac:dyDescent="0.25">
      <c r="A7028" s="4" t="s">
        <v>0</v>
      </c>
      <c r="B7028" s="4" t="s">
        <v>1</v>
      </c>
      <c r="C7028" s="4" t="s">
        <v>36</v>
      </c>
      <c r="D7028" s="4">
        <v>2011</v>
      </c>
      <c r="E7028" s="4">
        <v>119783.42174049366</v>
      </c>
      <c r="F7028" s="4" t="s">
        <v>29</v>
      </c>
    </row>
    <row r="7029" spans="1:6" x14ac:dyDescent="0.25">
      <c r="A7029" s="4" t="s">
        <v>0</v>
      </c>
      <c r="B7029" s="4" t="s">
        <v>1</v>
      </c>
      <c r="C7029" s="4" t="s">
        <v>36</v>
      </c>
      <c r="D7029" s="4">
        <v>2012</v>
      </c>
      <c r="E7029" s="4">
        <v>121609.88327665607</v>
      </c>
      <c r="F7029" s="4" t="s">
        <v>29</v>
      </c>
    </row>
    <row r="7030" spans="1:6" x14ac:dyDescent="0.25">
      <c r="A7030" s="4" t="s">
        <v>0</v>
      </c>
      <c r="B7030" s="4" t="s">
        <v>1</v>
      </c>
      <c r="C7030" s="4" t="s">
        <v>36</v>
      </c>
      <c r="D7030" s="4">
        <v>2013</v>
      </c>
      <c r="E7030" s="4">
        <v>130779.05255603722</v>
      </c>
      <c r="F7030" s="4" t="s">
        <v>29</v>
      </c>
    </row>
    <row r="7031" spans="1:6" x14ac:dyDescent="0.25">
      <c r="A7031" s="4" t="s">
        <v>0</v>
      </c>
      <c r="B7031" s="4" t="s">
        <v>1</v>
      </c>
      <c r="C7031" s="4" t="s">
        <v>36</v>
      </c>
      <c r="D7031" s="4">
        <v>2014</v>
      </c>
      <c r="E7031" s="4">
        <v>130908.71006835497</v>
      </c>
      <c r="F7031" s="4" t="s">
        <v>29</v>
      </c>
    </row>
    <row r="7032" spans="1:6" x14ac:dyDescent="0.25">
      <c r="A7032" s="4" t="s">
        <v>0</v>
      </c>
      <c r="B7032" s="4" t="s">
        <v>1</v>
      </c>
      <c r="C7032" s="4" t="s">
        <v>36</v>
      </c>
      <c r="D7032" s="4">
        <v>2015</v>
      </c>
      <c r="E7032" s="4">
        <v>114675.48064994118</v>
      </c>
      <c r="F7032" s="4" t="s">
        <v>29</v>
      </c>
    </row>
    <row r="7033" spans="1:6" x14ac:dyDescent="0.25">
      <c r="A7033" s="4" t="s">
        <v>0</v>
      </c>
      <c r="B7033" s="4" t="s">
        <v>1</v>
      </c>
      <c r="C7033" s="4" t="s">
        <v>36</v>
      </c>
      <c r="D7033" s="4">
        <v>2016</v>
      </c>
      <c r="E7033" s="4">
        <v>107569.05421700577</v>
      </c>
      <c r="F7033" s="4" t="s">
        <v>29</v>
      </c>
    </row>
    <row r="7034" spans="1:6" x14ac:dyDescent="0.25">
      <c r="A7034" s="4" t="s">
        <v>0</v>
      </c>
      <c r="B7034" s="4" t="s">
        <v>1</v>
      </c>
      <c r="C7034" s="4" t="s">
        <v>36</v>
      </c>
      <c r="D7034" s="4">
        <v>2017</v>
      </c>
      <c r="E7034" s="4">
        <v>106408.59598512293</v>
      </c>
      <c r="F7034" s="4" t="s">
        <v>29</v>
      </c>
    </row>
    <row r="7035" spans="1:6" x14ac:dyDescent="0.25">
      <c r="A7035" s="4" t="s">
        <v>0</v>
      </c>
      <c r="B7035" s="4" t="s">
        <v>1</v>
      </c>
      <c r="C7035" s="4" t="s">
        <v>36</v>
      </c>
      <c r="D7035" s="4">
        <v>2018</v>
      </c>
      <c r="E7035" s="4">
        <v>101814.92553308001</v>
      </c>
      <c r="F7035" s="4" t="s">
        <v>29</v>
      </c>
    </row>
    <row r="7036" spans="1:6" x14ac:dyDescent="0.25">
      <c r="A7036" s="4" t="s">
        <v>0</v>
      </c>
      <c r="B7036" s="4" t="s">
        <v>1</v>
      </c>
      <c r="C7036" s="4" t="s">
        <v>36</v>
      </c>
      <c r="D7036" s="4">
        <v>2019</v>
      </c>
      <c r="E7036" s="4">
        <v>102464.46636704044</v>
      </c>
      <c r="F7036" s="4" t="s">
        <v>29</v>
      </c>
    </row>
    <row r="7037" spans="1:6" x14ac:dyDescent="0.25">
      <c r="A7037" s="4" t="s">
        <v>0</v>
      </c>
      <c r="B7037" s="4" t="s">
        <v>1</v>
      </c>
      <c r="C7037" s="4" t="s">
        <v>36</v>
      </c>
      <c r="D7037" s="4">
        <v>2020</v>
      </c>
      <c r="E7037" s="4">
        <v>94689.711503099708</v>
      </c>
      <c r="F7037" s="4" t="s">
        <v>29</v>
      </c>
    </row>
    <row r="7038" spans="1:6" x14ac:dyDescent="0.25">
      <c r="A7038" s="4" t="s">
        <v>0</v>
      </c>
      <c r="B7038" s="4" t="s">
        <v>1</v>
      </c>
      <c r="C7038" s="4" t="s">
        <v>36</v>
      </c>
      <c r="D7038" s="4">
        <v>2021</v>
      </c>
      <c r="E7038" s="4">
        <v>94087.300455685341</v>
      </c>
      <c r="F7038" s="4" t="s">
        <v>29</v>
      </c>
    </row>
    <row r="7039" spans="1:6" x14ac:dyDescent="0.25">
      <c r="A7039" s="4" t="s">
        <v>0</v>
      </c>
      <c r="B7039" s="4" t="s">
        <v>1</v>
      </c>
      <c r="C7039" s="4" t="s">
        <v>36</v>
      </c>
      <c r="D7039" s="4">
        <v>2022</v>
      </c>
      <c r="E7039" s="4">
        <v>92929.021981167389</v>
      </c>
      <c r="F7039" s="4" t="s">
        <v>29</v>
      </c>
    </row>
    <row r="7040" spans="1:6" x14ac:dyDescent="0.25">
      <c r="A7040" s="4" t="s">
        <v>0</v>
      </c>
      <c r="B7040" s="4" t="s">
        <v>1</v>
      </c>
      <c r="C7040" s="4" t="s">
        <v>36</v>
      </c>
      <c r="D7040" s="4">
        <v>2023</v>
      </c>
      <c r="E7040" s="4">
        <v>96267.239416267854</v>
      </c>
      <c r="F7040" s="4" t="s">
        <v>29</v>
      </c>
    </row>
    <row r="7041" spans="1:6" x14ac:dyDescent="0.25">
      <c r="A7041" s="4" t="s">
        <v>0</v>
      </c>
      <c r="B7041" s="4" t="s">
        <v>1</v>
      </c>
      <c r="C7041" s="4" t="s">
        <v>36</v>
      </c>
      <c r="D7041" s="4">
        <v>2024</v>
      </c>
      <c r="E7041" s="4">
        <v>96241.830800714233</v>
      </c>
      <c r="F7041" s="4" t="s">
        <v>29</v>
      </c>
    </row>
    <row r="7042" spans="1:6" x14ac:dyDescent="0.25">
      <c r="A7042" s="4" t="s">
        <v>0</v>
      </c>
      <c r="B7042" s="4" t="s">
        <v>1</v>
      </c>
      <c r="C7042" s="4" t="s">
        <v>36</v>
      </c>
      <c r="D7042" s="4">
        <v>2025</v>
      </c>
      <c r="E7042" s="4">
        <v>96459.688190394008</v>
      </c>
      <c r="F7042" s="4" t="s">
        <v>29</v>
      </c>
    </row>
    <row r="7043" spans="1:6" x14ac:dyDescent="0.25">
      <c r="A7043" s="4" t="s">
        <v>0</v>
      </c>
      <c r="B7043" s="4" t="s">
        <v>1</v>
      </c>
      <c r="C7043" s="4" t="s">
        <v>36</v>
      </c>
      <c r="D7043" s="4">
        <v>2026</v>
      </c>
      <c r="E7043" s="4">
        <v>95264.364046495961</v>
      </c>
      <c r="F7043" s="4" t="s">
        <v>29</v>
      </c>
    </row>
    <row r="7044" spans="1:6" x14ac:dyDescent="0.25">
      <c r="A7044" s="4" t="s">
        <v>0</v>
      </c>
      <c r="B7044" s="4" t="s">
        <v>1</v>
      </c>
      <c r="C7044" s="4" t="s">
        <v>36</v>
      </c>
      <c r="D7044" s="4">
        <v>2027</v>
      </c>
      <c r="E7044" s="4">
        <v>94303.279683359622</v>
      </c>
      <c r="F7044" s="4" t="s">
        <v>29</v>
      </c>
    </row>
    <row r="7045" spans="1:6" x14ac:dyDescent="0.25">
      <c r="A7045" s="4" t="s">
        <v>0</v>
      </c>
      <c r="B7045" s="4" t="s">
        <v>1</v>
      </c>
      <c r="C7045" s="4" t="s">
        <v>36</v>
      </c>
      <c r="D7045" s="4">
        <v>2028</v>
      </c>
      <c r="E7045" s="4">
        <v>92350.281412905853</v>
      </c>
      <c r="F7045" s="4" t="s">
        <v>29</v>
      </c>
    </row>
    <row r="7046" spans="1:6" x14ac:dyDescent="0.25">
      <c r="A7046" s="4" t="s">
        <v>0</v>
      </c>
      <c r="B7046" s="4" t="s">
        <v>1</v>
      </c>
      <c r="C7046" s="4" t="s">
        <v>36</v>
      </c>
      <c r="D7046" s="4">
        <v>2029</v>
      </c>
      <c r="E7046" s="4">
        <v>91494.760425699293</v>
      </c>
      <c r="F7046" s="4" t="s">
        <v>29</v>
      </c>
    </row>
    <row r="7047" spans="1:6" x14ac:dyDescent="0.25">
      <c r="A7047" s="4" t="s">
        <v>0</v>
      </c>
      <c r="B7047" s="4" t="s">
        <v>1</v>
      </c>
      <c r="C7047" s="4" t="s">
        <v>36</v>
      </c>
      <c r="D7047" s="4">
        <v>2030</v>
      </c>
      <c r="E7047" s="4">
        <v>90109.033018704009</v>
      </c>
      <c r="F7047" s="4" t="s">
        <v>29</v>
      </c>
    </row>
    <row r="7048" spans="1:6" x14ac:dyDescent="0.25">
      <c r="A7048" s="4" t="s">
        <v>0</v>
      </c>
      <c r="B7048" s="4" t="s">
        <v>1</v>
      </c>
      <c r="C7048" s="4" t="s">
        <v>36</v>
      </c>
      <c r="D7048" s="4">
        <v>2031</v>
      </c>
      <c r="E7048" s="4">
        <v>90543.972292002873</v>
      </c>
      <c r="F7048" s="4" t="s">
        <v>29</v>
      </c>
    </row>
    <row r="7049" spans="1:6" x14ac:dyDescent="0.25">
      <c r="A7049" s="4" t="s">
        <v>0</v>
      </c>
      <c r="B7049" s="4" t="s">
        <v>1</v>
      </c>
      <c r="C7049" s="4" t="s">
        <v>36</v>
      </c>
      <c r="D7049" s="4">
        <v>2032</v>
      </c>
      <c r="E7049" s="4">
        <v>90884.573802512561</v>
      </c>
      <c r="F7049" s="4" t="s">
        <v>29</v>
      </c>
    </row>
    <row r="7050" spans="1:6" x14ac:dyDescent="0.25">
      <c r="A7050" s="4" t="s">
        <v>0</v>
      </c>
      <c r="B7050" s="4" t="s">
        <v>1</v>
      </c>
      <c r="C7050" s="4" t="s">
        <v>36</v>
      </c>
      <c r="D7050" s="4">
        <v>2033</v>
      </c>
      <c r="E7050" s="4">
        <v>91577.79895061806</v>
      </c>
      <c r="F7050" s="4" t="s">
        <v>29</v>
      </c>
    </row>
    <row r="7051" spans="1:6" x14ac:dyDescent="0.25">
      <c r="A7051" s="4" t="s">
        <v>0</v>
      </c>
      <c r="B7051" s="4" t="s">
        <v>1</v>
      </c>
      <c r="C7051" s="4" t="s">
        <v>36</v>
      </c>
      <c r="D7051" s="4">
        <v>2034</v>
      </c>
      <c r="E7051" s="4">
        <v>93414.041672422783</v>
      </c>
      <c r="F7051" s="4" t="s">
        <v>29</v>
      </c>
    </row>
    <row r="7052" spans="1:6" x14ac:dyDescent="0.25">
      <c r="A7052" s="4" t="s">
        <v>0</v>
      </c>
      <c r="B7052" s="4" t="s">
        <v>1</v>
      </c>
      <c r="C7052" s="4" t="s">
        <v>36</v>
      </c>
      <c r="D7052" s="4">
        <v>2035</v>
      </c>
      <c r="E7052" s="4">
        <v>93546.21344884744</v>
      </c>
      <c r="F7052" s="4" t="s">
        <v>29</v>
      </c>
    </row>
    <row r="7053" spans="1:6" x14ac:dyDescent="0.25">
      <c r="A7053" s="4" t="s">
        <v>0</v>
      </c>
      <c r="B7053" s="4" t="s">
        <v>1</v>
      </c>
      <c r="C7053" s="4" t="s">
        <v>36</v>
      </c>
      <c r="D7053" s="4">
        <v>2036</v>
      </c>
      <c r="E7053" s="4">
        <v>92595.258726848231</v>
      </c>
      <c r="F7053" s="4" t="s">
        <v>29</v>
      </c>
    </row>
    <row r="7054" spans="1:6" x14ac:dyDescent="0.25">
      <c r="A7054" s="4" t="s">
        <v>0</v>
      </c>
      <c r="B7054" s="4" t="s">
        <v>1</v>
      </c>
      <c r="C7054" s="4" t="s">
        <v>36</v>
      </c>
      <c r="D7054" s="4">
        <v>2037</v>
      </c>
      <c r="E7054" s="4">
        <v>91695.382078014634</v>
      </c>
      <c r="F7054" s="4" t="s">
        <v>29</v>
      </c>
    </row>
    <row r="7055" spans="1:6" x14ac:dyDescent="0.25">
      <c r="A7055" s="4" t="s">
        <v>0</v>
      </c>
      <c r="B7055" s="4" t="s">
        <v>1</v>
      </c>
      <c r="C7055" s="4" t="s">
        <v>36</v>
      </c>
      <c r="D7055" s="4">
        <v>2038</v>
      </c>
      <c r="E7055" s="4">
        <v>89785.889531270965</v>
      </c>
      <c r="F7055" s="4" t="s">
        <v>29</v>
      </c>
    </row>
    <row r="7056" spans="1:6" x14ac:dyDescent="0.25">
      <c r="A7056" s="4" t="s">
        <v>0</v>
      </c>
      <c r="B7056" s="4" t="s">
        <v>1</v>
      </c>
      <c r="C7056" s="4" t="s">
        <v>36</v>
      </c>
      <c r="D7056" s="4">
        <v>2039</v>
      </c>
      <c r="E7056" s="4">
        <v>87395.891371420454</v>
      </c>
      <c r="F7056" s="4" t="s">
        <v>29</v>
      </c>
    </row>
    <row r="7057" spans="1:6" x14ac:dyDescent="0.25">
      <c r="A7057" s="4" t="s">
        <v>0</v>
      </c>
      <c r="B7057" s="4" t="s">
        <v>1</v>
      </c>
      <c r="C7057" s="4" t="s">
        <v>36</v>
      </c>
      <c r="D7057" s="4">
        <v>2040</v>
      </c>
      <c r="E7057" s="4">
        <v>85018.19512328456</v>
      </c>
      <c r="F7057" s="4" t="s">
        <v>29</v>
      </c>
    </row>
    <row r="7058" spans="1:6" x14ac:dyDescent="0.25">
      <c r="A7058" s="4" t="s">
        <v>0</v>
      </c>
      <c r="B7058" s="4" t="s">
        <v>2</v>
      </c>
      <c r="C7058" s="4" t="s">
        <v>36</v>
      </c>
      <c r="D7058" s="4">
        <v>2005</v>
      </c>
      <c r="E7058" s="4">
        <v>95714.371685317979</v>
      </c>
      <c r="F7058" s="4" t="s">
        <v>29</v>
      </c>
    </row>
    <row r="7059" spans="1:6" x14ac:dyDescent="0.25">
      <c r="A7059" s="4" t="s">
        <v>0</v>
      </c>
      <c r="B7059" s="4" t="s">
        <v>2</v>
      </c>
      <c r="C7059" s="4" t="s">
        <v>36</v>
      </c>
      <c r="D7059" s="4">
        <v>2006</v>
      </c>
      <c r="E7059" s="4">
        <v>94533.324805817247</v>
      </c>
      <c r="F7059" s="4" t="s">
        <v>29</v>
      </c>
    </row>
    <row r="7060" spans="1:6" x14ac:dyDescent="0.25">
      <c r="A7060" s="4" t="s">
        <v>0</v>
      </c>
      <c r="B7060" s="4" t="s">
        <v>2</v>
      </c>
      <c r="C7060" s="4" t="s">
        <v>36</v>
      </c>
      <c r="D7060" s="4">
        <v>2007</v>
      </c>
      <c r="E7060" s="4">
        <v>92093.948245520878</v>
      </c>
      <c r="F7060" s="4" t="s">
        <v>29</v>
      </c>
    </row>
    <row r="7061" spans="1:6" x14ac:dyDescent="0.25">
      <c r="A7061" s="4" t="s">
        <v>0</v>
      </c>
      <c r="B7061" s="4" t="s">
        <v>2</v>
      </c>
      <c r="C7061" s="4" t="s">
        <v>36</v>
      </c>
      <c r="D7061" s="4">
        <v>2008</v>
      </c>
      <c r="E7061" s="4">
        <v>87985.541330248874</v>
      </c>
      <c r="F7061" s="4" t="s">
        <v>29</v>
      </c>
    </row>
    <row r="7062" spans="1:6" x14ac:dyDescent="0.25">
      <c r="A7062" s="4" t="s">
        <v>0</v>
      </c>
      <c r="B7062" s="4" t="s">
        <v>2</v>
      </c>
      <c r="C7062" s="4" t="s">
        <v>36</v>
      </c>
      <c r="D7062" s="4">
        <v>2009</v>
      </c>
      <c r="E7062" s="4">
        <v>80184.157122495002</v>
      </c>
      <c r="F7062" s="4" t="s">
        <v>29</v>
      </c>
    </row>
    <row r="7063" spans="1:6" x14ac:dyDescent="0.25">
      <c r="A7063" s="4" t="s">
        <v>0</v>
      </c>
      <c r="B7063" s="4" t="s">
        <v>2</v>
      </c>
      <c r="C7063" s="4" t="s">
        <v>36</v>
      </c>
      <c r="D7063" s="4">
        <v>2010</v>
      </c>
      <c r="E7063" s="4">
        <v>79544.775663474953</v>
      </c>
      <c r="F7063" s="4" t="s">
        <v>29</v>
      </c>
    </row>
    <row r="7064" spans="1:6" x14ac:dyDescent="0.25">
      <c r="A7064" s="4" t="s">
        <v>0</v>
      </c>
      <c r="B7064" s="4" t="s">
        <v>2</v>
      </c>
      <c r="C7064" s="4" t="s">
        <v>36</v>
      </c>
      <c r="D7064" s="4">
        <v>2011</v>
      </c>
      <c r="E7064" s="4">
        <v>79770.543291508366</v>
      </c>
      <c r="F7064" s="4" t="s">
        <v>29</v>
      </c>
    </row>
    <row r="7065" spans="1:6" x14ac:dyDescent="0.25">
      <c r="A7065" s="4" t="s">
        <v>0</v>
      </c>
      <c r="B7065" s="4" t="s">
        <v>2</v>
      </c>
      <c r="C7065" s="4" t="s">
        <v>36</v>
      </c>
      <c r="D7065" s="4">
        <v>2012</v>
      </c>
      <c r="E7065" s="4">
        <v>86935.674939329067</v>
      </c>
      <c r="F7065" s="4" t="s">
        <v>29</v>
      </c>
    </row>
    <row r="7066" spans="1:6" x14ac:dyDescent="0.25">
      <c r="A7066" s="4" t="s">
        <v>0</v>
      </c>
      <c r="B7066" s="4" t="s">
        <v>2</v>
      </c>
      <c r="C7066" s="4" t="s">
        <v>36</v>
      </c>
      <c r="D7066" s="4">
        <v>2013</v>
      </c>
      <c r="E7066" s="4">
        <v>89225.079665544938</v>
      </c>
      <c r="F7066" s="4" t="s">
        <v>29</v>
      </c>
    </row>
    <row r="7067" spans="1:6" x14ac:dyDescent="0.25">
      <c r="A7067" s="4" t="s">
        <v>0</v>
      </c>
      <c r="B7067" s="4" t="s">
        <v>2</v>
      </c>
      <c r="C7067" s="4" t="s">
        <v>36</v>
      </c>
      <c r="D7067" s="4">
        <v>2014</v>
      </c>
      <c r="E7067" s="4">
        <v>98750.054845239487</v>
      </c>
      <c r="F7067" s="4" t="s">
        <v>29</v>
      </c>
    </row>
    <row r="7068" spans="1:6" x14ac:dyDescent="0.25">
      <c r="A7068" s="4" t="s">
        <v>0</v>
      </c>
      <c r="B7068" s="4" t="s">
        <v>2</v>
      </c>
      <c r="C7068" s="4" t="s">
        <v>36</v>
      </c>
      <c r="D7068" s="4">
        <v>2015</v>
      </c>
      <c r="E7068" s="4">
        <v>86709.106279142259</v>
      </c>
      <c r="F7068" s="4" t="s">
        <v>29</v>
      </c>
    </row>
    <row r="7069" spans="1:6" x14ac:dyDescent="0.25">
      <c r="A7069" s="4" t="s">
        <v>0</v>
      </c>
      <c r="B7069" s="4" t="s">
        <v>2</v>
      </c>
      <c r="C7069" s="4" t="s">
        <v>36</v>
      </c>
      <c r="D7069" s="4">
        <v>2016</v>
      </c>
      <c r="E7069" s="4">
        <v>81282.378465617643</v>
      </c>
      <c r="F7069" s="4" t="s">
        <v>29</v>
      </c>
    </row>
    <row r="7070" spans="1:6" x14ac:dyDescent="0.25">
      <c r="A7070" s="4" t="s">
        <v>0</v>
      </c>
      <c r="B7070" s="4" t="s">
        <v>2</v>
      </c>
      <c r="C7070" s="4" t="s">
        <v>36</v>
      </c>
      <c r="D7070" s="4">
        <v>2017</v>
      </c>
      <c r="E7070" s="4">
        <v>85919.878422883514</v>
      </c>
      <c r="F7070" s="4" t="s">
        <v>29</v>
      </c>
    </row>
    <row r="7071" spans="1:6" x14ac:dyDescent="0.25">
      <c r="A7071" s="4" t="s">
        <v>0</v>
      </c>
      <c r="B7071" s="4" t="s">
        <v>2</v>
      </c>
      <c r="C7071" s="4" t="s">
        <v>36</v>
      </c>
      <c r="D7071" s="4">
        <v>2018</v>
      </c>
      <c r="E7071" s="4">
        <v>96292.769060109713</v>
      </c>
      <c r="F7071" s="4" t="s">
        <v>29</v>
      </c>
    </row>
    <row r="7072" spans="1:6" x14ac:dyDescent="0.25">
      <c r="A7072" s="4" t="s">
        <v>0</v>
      </c>
      <c r="B7072" s="4" t="s">
        <v>2</v>
      </c>
      <c r="C7072" s="4" t="s">
        <v>36</v>
      </c>
      <c r="D7072" s="4">
        <v>2019</v>
      </c>
      <c r="E7072" s="4">
        <v>103365.51999778616</v>
      </c>
      <c r="F7072" s="4" t="s">
        <v>29</v>
      </c>
    </row>
    <row r="7073" spans="1:6" x14ac:dyDescent="0.25">
      <c r="A7073" s="4" t="s">
        <v>0</v>
      </c>
      <c r="B7073" s="4" t="s">
        <v>2</v>
      </c>
      <c r="C7073" s="4" t="s">
        <v>36</v>
      </c>
      <c r="D7073" s="4">
        <v>2020</v>
      </c>
      <c r="E7073" s="4">
        <v>110635.00395299471</v>
      </c>
      <c r="F7073" s="4" t="s">
        <v>29</v>
      </c>
    </row>
    <row r="7074" spans="1:6" x14ac:dyDescent="0.25">
      <c r="A7074" s="4" t="s">
        <v>0</v>
      </c>
      <c r="B7074" s="4" t="s">
        <v>2</v>
      </c>
      <c r="C7074" s="4" t="s">
        <v>36</v>
      </c>
      <c r="D7074" s="4">
        <v>2021</v>
      </c>
      <c r="E7074" s="4">
        <v>114008.49065091004</v>
      </c>
      <c r="F7074" s="4" t="s">
        <v>29</v>
      </c>
    </row>
    <row r="7075" spans="1:6" x14ac:dyDescent="0.25">
      <c r="A7075" s="4" t="s">
        <v>0</v>
      </c>
      <c r="B7075" s="4" t="s">
        <v>2</v>
      </c>
      <c r="C7075" s="4" t="s">
        <v>36</v>
      </c>
      <c r="D7075" s="4">
        <v>2022</v>
      </c>
      <c r="E7075" s="4">
        <v>115913.00744723386</v>
      </c>
      <c r="F7075" s="4" t="s">
        <v>29</v>
      </c>
    </row>
    <row r="7076" spans="1:6" x14ac:dyDescent="0.25">
      <c r="A7076" s="4" t="s">
        <v>0</v>
      </c>
      <c r="B7076" s="4" t="s">
        <v>2</v>
      </c>
      <c r="C7076" s="4" t="s">
        <v>36</v>
      </c>
      <c r="D7076" s="4">
        <v>2023</v>
      </c>
      <c r="E7076" s="4">
        <v>115608.15767443689</v>
      </c>
      <c r="F7076" s="4" t="s">
        <v>29</v>
      </c>
    </row>
    <row r="7077" spans="1:6" x14ac:dyDescent="0.25">
      <c r="A7077" s="4" t="s">
        <v>0</v>
      </c>
      <c r="B7077" s="4" t="s">
        <v>2</v>
      </c>
      <c r="C7077" s="4" t="s">
        <v>36</v>
      </c>
      <c r="D7077" s="4">
        <v>2024</v>
      </c>
      <c r="E7077" s="4">
        <v>116380.43557790642</v>
      </c>
      <c r="F7077" s="4" t="s">
        <v>29</v>
      </c>
    </row>
    <row r="7078" spans="1:6" x14ac:dyDescent="0.25">
      <c r="A7078" s="4" t="s">
        <v>0</v>
      </c>
      <c r="B7078" s="4" t="s">
        <v>2</v>
      </c>
      <c r="C7078" s="4" t="s">
        <v>36</v>
      </c>
      <c r="D7078" s="4">
        <v>2025</v>
      </c>
      <c r="E7078" s="4">
        <v>115854.49814411832</v>
      </c>
      <c r="F7078" s="4" t="s">
        <v>29</v>
      </c>
    </row>
    <row r="7079" spans="1:6" x14ac:dyDescent="0.25">
      <c r="A7079" s="4" t="s">
        <v>0</v>
      </c>
      <c r="B7079" s="4" t="s">
        <v>2</v>
      </c>
      <c r="C7079" s="4" t="s">
        <v>36</v>
      </c>
      <c r="D7079" s="4">
        <v>2026</v>
      </c>
      <c r="E7079" s="4">
        <v>114211.16979298982</v>
      </c>
      <c r="F7079" s="4" t="s">
        <v>29</v>
      </c>
    </row>
    <row r="7080" spans="1:6" x14ac:dyDescent="0.25">
      <c r="A7080" s="4" t="s">
        <v>0</v>
      </c>
      <c r="B7080" s="4" t="s">
        <v>2</v>
      </c>
      <c r="C7080" s="4" t="s">
        <v>36</v>
      </c>
      <c r="D7080" s="4">
        <v>2027</v>
      </c>
      <c r="E7080" s="4">
        <v>110927.73894453386</v>
      </c>
      <c r="F7080" s="4" t="s">
        <v>29</v>
      </c>
    </row>
    <row r="7081" spans="1:6" x14ac:dyDescent="0.25">
      <c r="A7081" s="4" t="s">
        <v>0</v>
      </c>
      <c r="B7081" s="4" t="s">
        <v>2</v>
      </c>
      <c r="C7081" s="4" t="s">
        <v>36</v>
      </c>
      <c r="D7081" s="4">
        <v>2028</v>
      </c>
      <c r="E7081" s="4">
        <v>108577.08893981048</v>
      </c>
      <c r="F7081" s="4" t="s">
        <v>29</v>
      </c>
    </row>
    <row r="7082" spans="1:6" x14ac:dyDescent="0.25">
      <c r="A7082" s="4" t="s">
        <v>0</v>
      </c>
      <c r="B7082" s="4" t="s">
        <v>2</v>
      </c>
      <c r="C7082" s="4" t="s">
        <v>36</v>
      </c>
      <c r="D7082" s="4">
        <v>2029</v>
      </c>
      <c r="E7082" s="4">
        <v>106147.71698578651</v>
      </c>
      <c r="F7082" s="4" t="s">
        <v>29</v>
      </c>
    </row>
    <row r="7083" spans="1:6" x14ac:dyDescent="0.25">
      <c r="A7083" s="4" t="s">
        <v>0</v>
      </c>
      <c r="B7083" s="4" t="s">
        <v>2</v>
      </c>
      <c r="C7083" s="4" t="s">
        <v>36</v>
      </c>
      <c r="D7083" s="4">
        <v>2030</v>
      </c>
      <c r="E7083" s="4">
        <v>103974.62371530225</v>
      </c>
      <c r="F7083" s="4" t="s">
        <v>29</v>
      </c>
    </row>
    <row r="7084" spans="1:6" x14ac:dyDescent="0.25">
      <c r="A7084" s="4" t="s">
        <v>0</v>
      </c>
      <c r="B7084" s="4" t="s">
        <v>2</v>
      </c>
      <c r="C7084" s="4" t="s">
        <v>36</v>
      </c>
      <c r="D7084" s="4">
        <v>2031</v>
      </c>
      <c r="E7084" s="4">
        <v>103125.5939387515</v>
      </c>
      <c r="F7084" s="4" t="s">
        <v>29</v>
      </c>
    </row>
    <row r="7085" spans="1:6" x14ac:dyDescent="0.25">
      <c r="A7085" s="4" t="s">
        <v>0</v>
      </c>
      <c r="B7085" s="4" t="s">
        <v>2</v>
      </c>
      <c r="C7085" s="4" t="s">
        <v>36</v>
      </c>
      <c r="D7085" s="4">
        <v>2032</v>
      </c>
      <c r="E7085" s="4">
        <v>101611.84589515386</v>
      </c>
      <c r="F7085" s="4" t="s">
        <v>29</v>
      </c>
    </row>
    <row r="7086" spans="1:6" x14ac:dyDescent="0.25">
      <c r="A7086" s="4" t="s">
        <v>0</v>
      </c>
      <c r="B7086" s="4" t="s">
        <v>2</v>
      </c>
      <c r="C7086" s="4" t="s">
        <v>36</v>
      </c>
      <c r="D7086" s="4">
        <v>2033</v>
      </c>
      <c r="E7086" s="4">
        <v>99716.445518955035</v>
      </c>
      <c r="F7086" s="4" t="s">
        <v>29</v>
      </c>
    </row>
    <row r="7087" spans="1:6" x14ac:dyDescent="0.25">
      <c r="A7087" s="4" t="s">
        <v>0</v>
      </c>
      <c r="B7087" s="4" t="s">
        <v>2</v>
      </c>
      <c r="C7087" s="4" t="s">
        <v>36</v>
      </c>
      <c r="D7087" s="4">
        <v>2034</v>
      </c>
      <c r="E7087" s="4">
        <v>97987.522577758398</v>
      </c>
      <c r="F7087" s="4" t="s">
        <v>29</v>
      </c>
    </row>
    <row r="7088" spans="1:6" x14ac:dyDescent="0.25">
      <c r="A7088" s="4" t="s">
        <v>0</v>
      </c>
      <c r="B7088" s="4" t="s">
        <v>2</v>
      </c>
      <c r="C7088" s="4" t="s">
        <v>36</v>
      </c>
      <c r="D7088" s="4">
        <v>2035</v>
      </c>
      <c r="E7088" s="4">
        <v>96705.466848892494</v>
      </c>
      <c r="F7088" s="4" t="s">
        <v>29</v>
      </c>
    </row>
    <row r="7089" spans="1:6" x14ac:dyDescent="0.25">
      <c r="A7089" s="4" t="s">
        <v>0</v>
      </c>
      <c r="B7089" s="4" t="s">
        <v>2</v>
      </c>
      <c r="C7089" s="4" t="s">
        <v>36</v>
      </c>
      <c r="D7089" s="4">
        <v>2036</v>
      </c>
      <c r="E7089" s="4">
        <v>95413.696425510978</v>
      </c>
      <c r="F7089" s="4" t="s">
        <v>29</v>
      </c>
    </row>
    <row r="7090" spans="1:6" x14ac:dyDescent="0.25">
      <c r="A7090" s="4" t="s">
        <v>0</v>
      </c>
      <c r="B7090" s="4" t="s">
        <v>2</v>
      </c>
      <c r="C7090" s="4" t="s">
        <v>36</v>
      </c>
      <c r="D7090" s="4">
        <v>2037</v>
      </c>
      <c r="E7090" s="4">
        <v>94668.263241567474</v>
      </c>
      <c r="F7090" s="4" t="s">
        <v>29</v>
      </c>
    </row>
    <row r="7091" spans="1:6" x14ac:dyDescent="0.25">
      <c r="A7091" s="4" t="s">
        <v>0</v>
      </c>
      <c r="B7091" s="4" t="s">
        <v>2</v>
      </c>
      <c r="C7091" s="4" t="s">
        <v>36</v>
      </c>
      <c r="D7091" s="4">
        <v>2038</v>
      </c>
      <c r="E7091" s="4">
        <v>93473.952537536592</v>
      </c>
      <c r="F7091" s="4" t="s">
        <v>29</v>
      </c>
    </row>
    <row r="7092" spans="1:6" x14ac:dyDescent="0.25">
      <c r="A7092" s="4" t="s">
        <v>0</v>
      </c>
      <c r="B7092" s="4" t="s">
        <v>2</v>
      </c>
      <c r="C7092" s="4" t="s">
        <v>36</v>
      </c>
      <c r="D7092" s="4">
        <v>2039</v>
      </c>
      <c r="E7092" s="4">
        <v>92124.787265955063</v>
      </c>
      <c r="F7092" s="4" t="s">
        <v>29</v>
      </c>
    </row>
    <row r="7093" spans="1:6" x14ac:dyDescent="0.25">
      <c r="A7093" s="4" t="s">
        <v>0</v>
      </c>
      <c r="B7093" s="4" t="s">
        <v>2</v>
      </c>
      <c r="C7093" s="4" t="s">
        <v>36</v>
      </c>
      <c r="D7093" s="4">
        <v>2040</v>
      </c>
      <c r="E7093" s="4">
        <v>90744.689981166899</v>
      </c>
      <c r="F7093" s="4" t="s">
        <v>29</v>
      </c>
    </row>
    <row r="7094" spans="1:6" x14ac:dyDescent="0.25">
      <c r="A7094" s="4" t="s">
        <v>0</v>
      </c>
      <c r="B7094" s="4" t="s">
        <v>3</v>
      </c>
      <c r="C7094" s="4" t="s">
        <v>36</v>
      </c>
      <c r="D7094" s="4">
        <v>2005</v>
      </c>
      <c r="E7094" s="4">
        <v>24140</v>
      </c>
      <c r="F7094" s="4" t="s">
        <v>29</v>
      </c>
    </row>
    <row r="7095" spans="1:6" x14ac:dyDescent="0.25">
      <c r="A7095" s="4" t="s">
        <v>0</v>
      </c>
      <c r="B7095" s="4" t="s">
        <v>3</v>
      </c>
      <c r="C7095" s="4" t="s">
        <v>36</v>
      </c>
      <c r="D7095" s="4">
        <v>2006</v>
      </c>
      <c r="E7095" s="4">
        <v>24810</v>
      </c>
      <c r="F7095" s="4" t="s">
        <v>29</v>
      </c>
    </row>
    <row r="7096" spans="1:6" x14ac:dyDescent="0.25">
      <c r="A7096" s="4" t="s">
        <v>0</v>
      </c>
      <c r="B7096" s="4" t="s">
        <v>3</v>
      </c>
      <c r="C7096" s="4" t="s">
        <v>36</v>
      </c>
      <c r="D7096" s="4">
        <v>2007</v>
      </c>
      <c r="E7096" s="4">
        <v>24540</v>
      </c>
      <c r="F7096" s="4" t="s">
        <v>29</v>
      </c>
    </row>
    <row r="7097" spans="1:6" x14ac:dyDescent="0.25">
      <c r="A7097" s="4" t="s">
        <v>0</v>
      </c>
      <c r="B7097" s="4" t="s">
        <v>3</v>
      </c>
      <c r="C7097" s="4" t="s">
        <v>36</v>
      </c>
      <c r="D7097" s="4">
        <v>2008</v>
      </c>
      <c r="E7097" s="4">
        <v>23110</v>
      </c>
      <c r="F7097" s="4" t="s">
        <v>29</v>
      </c>
    </row>
    <row r="7098" spans="1:6" x14ac:dyDescent="0.25">
      <c r="A7098" s="4" t="s">
        <v>0</v>
      </c>
      <c r="B7098" s="4" t="s">
        <v>3</v>
      </c>
      <c r="C7098" s="4" t="s">
        <v>36</v>
      </c>
      <c r="D7098" s="4">
        <v>2009</v>
      </c>
      <c r="E7098" s="4">
        <v>21400</v>
      </c>
      <c r="F7098" s="4" t="s">
        <v>29</v>
      </c>
    </row>
    <row r="7099" spans="1:6" x14ac:dyDescent="0.25">
      <c r="A7099" s="4" t="s">
        <v>0</v>
      </c>
      <c r="B7099" s="4" t="s">
        <v>3</v>
      </c>
      <c r="C7099" s="4" t="s">
        <v>36</v>
      </c>
      <c r="D7099" s="4">
        <v>2010</v>
      </c>
      <c r="E7099" s="4">
        <v>20920</v>
      </c>
      <c r="F7099" s="4" t="s">
        <v>29</v>
      </c>
    </row>
    <row r="7100" spans="1:6" x14ac:dyDescent="0.25">
      <c r="A7100" s="4" t="s">
        <v>0</v>
      </c>
      <c r="B7100" s="4" t="s">
        <v>3</v>
      </c>
      <c r="C7100" s="4" t="s">
        <v>36</v>
      </c>
      <c r="D7100" s="4">
        <v>2011</v>
      </c>
      <c r="E7100" s="4">
        <v>20460</v>
      </c>
      <c r="F7100" s="4" t="s">
        <v>29</v>
      </c>
    </row>
    <row r="7101" spans="1:6" x14ac:dyDescent="0.25">
      <c r="A7101" s="4" t="s">
        <v>0</v>
      </c>
      <c r="B7101" s="4" t="s">
        <v>3</v>
      </c>
      <c r="C7101" s="4" t="s">
        <v>36</v>
      </c>
      <c r="D7101" s="4">
        <v>2012</v>
      </c>
      <c r="E7101" s="4">
        <v>20000</v>
      </c>
      <c r="F7101" s="4" t="s">
        <v>29</v>
      </c>
    </row>
    <row r="7102" spans="1:6" x14ac:dyDescent="0.25">
      <c r="A7102" s="4" t="s">
        <v>0</v>
      </c>
      <c r="B7102" s="4" t="s">
        <v>3</v>
      </c>
      <c r="C7102" s="4" t="s">
        <v>36</v>
      </c>
      <c r="D7102" s="4">
        <v>2013</v>
      </c>
      <c r="E7102" s="4">
        <v>21050</v>
      </c>
      <c r="F7102" s="4" t="s">
        <v>29</v>
      </c>
    </row>
    <row r="7103" spans="1:6" x14ac:dyDescent="0.25">
      <c r="A7103" s="4" t="s">
        <v>0</v>
      </c>
      <c r="B7103" s="4" t="s">
        <v>3</v>
      </c>
      <c r="C7103" s="4" t="s">
        <v>36</v>
      </c>
      <c r="D7103" s="4">
        <v>2014</v>
      </c>
      <c r="E7103" s="4">
        <v>24800</v>
      </c>
      <c r="F7103" s="4" t="s">
        <v>29</v>
      </c>
    </row>
    <row r="7104" spans="1:6" x14ac:dyDescent="0.25">
      <c r="A7104" s="4" t="s">
        <v>0</v>
      </c>
      <c r="B7104" s="4" t="s">
        <v>3</v>
      </c>
      <c r="C7104" s="4" t="s">
        <v>36</v>
      </c>
      <c r="D7104" s="4">
        <v>2015</v>
      </c>
      <c r="E7104" s="4">
        <v>30699.223013698629</v>
      </c>
      <c r="F7104" s="4" t="s">
        <v>29</v>
      </c>
    </row>
    <row r="7105" spans="1:6" x14ac:dyDescent="0.25">
      <c r="A7105" s="4" t="s">
        <v>0</v>
      </c>
      <c r="B7105" s="4" t="s">
        <v>3</v>
      </c>
      <c r="C7105" s="4" t="s">
        <v>36</v>
      </c>
      <c r="D7105" s="4">
        <v>2016</v>
      </c>
      <c r="E7105" s="4">
        <v>32409.198894809721</v>
      </c>
      <c r="F7105" s="4" t="s">
        <v>29</v>
      </c>
    </row>
    <row r="7106" spans="1:6" x14ac:dyDescent="0.25">
      <c r="A7106" s="4" t="s">
        <v>0</v>
      </c>
      <c r="B7106" s="4" t="s">
        <v>3</v>
      </c>
      <c r="C7106" s="4" t="s">
        <v>36</v>
      </c>
      <c r="D7106" s="4">
        <v>2017</v>
      </c>
      <c r="E7106" s="4">
        <v>39484.485890410957</v>
      </c>
      <c r="F7106" s="4" t="s">
        <v>29</v>
      </c>
    </row>
    <row r="7107" spans="1:6" x14ac:dyDescent="0.25">
      <c r="A7107" s="4" t="s">
        <v>0</v>
      </c>
      <c r="B7107" s="4" t="s">
        <v>3</v>
      </c>
      <c r="C7107" s="4" t="s">
        <v>36</v>
      </c>
      <c r="D7107" s="4">
        <v>2018</v>
      </c>
      <c r="E7107" s="4">
        <v>40373.288315277328</v>
      </c>
      <c r="F7107" s="4" t="s">
        <v>29</v>
      </c>
    </row>
    <row r="7108" spans="1:6" x14ac:dyDescent="0.25">
      <c r="A7108" s="4" t="s">
        <v>0</v>
      </c>
      <c r="B7108" s="4" t="s">
        <v>3</v>
      </c>
      <c r="C7108" s="4" t="s">
        <v>36</v>
      </c>
      <c r="D7108" s="4">
        <v>2019</v>
      </c>
      <c r="E7108" s="4">
        <v>39856.663530952865</v>
      </c>
      <c r="F7108" s="4" t="s">
        <v>29</v>
      </c>
    </row>
    <row r="7109" spans="1:6" x14ac:dyDescent="0.25">
      <c r="A7109" s="4" t="s">
        <v>0</v>
      </c>
      <c r="B7109" s="4" t="s">
        <v>3</v>
      </c>
      <c r="C7109" s="4" t="s">
        <v>36</v>
      </c>
      <c r="D7109" s="4">
        <v>2020</v>
      </c>
      <c r="E7109" s="4">
        <v>39298.513154147295</v>
      </c>
      <c r="F7109" s="4" t="s">
        <v>29</v>
      </c>
    </row>
    <row r="7110" spans="1:6" x14ac:dyDescent="0.25">
      <c r="A7110" s="4" t="s">
        <v>0</v>
      </c>
      <c r="B7110" s="4" t="s">
        <v>3</v>
      </c>
      <c r="C7110" s="4" t="s">
        <v>36</v>
      </c>
      <c r="D7110" s="4">
        <v>2021</v>
      </c>
      <c r="E7110" s="4">
        <v>38898.073960333757</v>
      </c>
      <c r="F7110" s="4" t="s">
        <v>29</v>
      </c>
    </row>
    <row r="7111" spans="1:6" x14ac:dyDescent="0.25">
      <c r="A7111" s="4" t="s">
        <v>0</v>
      </c>
      <c r="B7111" s="4" t="s">
        <v>3</v>
      </c>
      <c r="C7111" s="4" t="s">
        <v>36</v>
      </c>
      <c r="D7111" s="4">
        <v>2022</v>
      </c>
      <c r="E7111" s="4">
        <v>38454.259770167977</v>
      </c>
      <c r="F7111" s="4" t="s">
        <v>29</v>
      </c>
    </row>
    <row r="7112" spans="1:6" x14ac:dyDescent="0.25">
      <c r="A7112" s="4" t="s">
        <v>0</v>
      </c>
      <c r="B7112" s="4" t="s">
        <v>3</v>
      </c>
      <c r="C7112" s="4" t="s">
        <v>36</v>
      </c>
      <c r="D7112" s="4">
        <v>2023</v>
      </c>
      <c r="E7112" s="4">
        <v>38298.561190109962</v>
      </c>
      <c r="F7112" s="4" t="s">
        <v>29</v>
      </c>
    </row>
    <row r="7113" spans="1:6" x14ac:dyDescent="0.25">
      <c r="A7113" s="4" t="s">
        <v>0</v>
      </c>
      <c r="B7113" s="4" t="s">
        <v>3</v>
      </c>
      <c r="C7113" s="4" t="s">
        <v>36</v>
      </c>
      <c r="D7113" s="4">
        <v>2024</v>
      </c>
      <c r="E7113" s="4">
        <v>38268.302047963705</v>
      </c>
      <c r="F7113" s="4" t="s">
        <v>29</v>
      </c>
    </row>
    <row r="7114" spans="1:6" x14ac:dyDescent="0.25">
      <c r="A7114" s="4" t="s">
        <v>0</v>
      </c>
      <c r="B7114" s="4" t="s">
        <v>3</v>
      </c>
      <c r="C7114" s="4" t="s">
        <v>36</v>
      </c>
      <c r="D7114" s="4">
        <v>2025</v>
      </c>
      <c r="E7114" s="4">
        <v>37896.084528642459</v>
      </c>
      <c r="F7114" s="4" t="s">
        <v>29</v>
      </c>
    </row>
    <row r="7115" spans="1:6" x14ac:dyDescent="0.25">
      <c r="A7115" s="4" t="s">
        <v>0</v>
      </c>
      <c r="B7115" s="4" t="s">
        <v>3</v>
      </c>
      <c r="C7115" s="4" t="s">
        <v>36</v>
      </c>
      <c r="D7115" s="4">
        <v>2026</v>
      </c>
      <c r="E7115" s="4">
        <v>37694.030343186663</v>
      </c>
      <c r="F7115" s="4" t="s">
        <v>29</v>
      </c>
    </row>
    <row r="7116" spans="1:6" x14ac:dyDescent="0.25">
      <c r="A7116" s="4" t="s">
        <v>0</v>
      </c>
      <c r="B7116" s="4" t="s">
        <v>3</v>
      </c>
      <c r="C7116" s="4" t="s">
        <v>36</v>
      </c>
      <c r="D7116" s="4">
        <v>2027</v>
      </c>
      <c r="E7116" s="4">
        <v>37394.593525981894</v>
      </c>
      <c r="F7116" s="4" t="s">
        <v>29</v>
      </c>
    </row>
    <row r="7117" spans="1:6" x14ac:dyDescent="0.25">
      <c r="A7117" s="4" t="s">
        <v>0</v>
      </c>
      <c r="B7117" s="4" t="s">
        <v>3</v>
      </c>
      <c r="C7117" s="4" t="s">
        <v>36</v>
      </c>
      <c r="D7117" s="4">
        <v>2028</v>
      </c>
      <c r="E7117" s="4">
        <v>37043.972823739903</v>
      </c>
      <c r="F7117" s="4" t="s">
        <v>29</v>
      </c>
    </row>
    <row r="7118" spans="1:6" x14ac:dyDescent="0.25">
      <c r="A7118" s="4" t="s">
        <v>0</v>
      </c>
      <c r="B7118" s="4" t="s">
        <v>3</v>
      </c>
      <c r="C7118" s="4" t="s">
        <v>36</v>
      </c>
      <c r="D7118" s="4">
        <v>2029</v>
      </c>
      <c r="E7118" s="4">
        <v>36758.943691283414</v>
      </c>
      <c r="F7118" s="4" t="s">
        <v>29</v>
      </c>
    </row>
    <row r="7119" spans="1:6" x14ac:dyDescent="0.25">
      <c r="A7119" s="4" t="s">
        <v>0</v>
      </c>
      <c r="B7119" s="4" t="s">
        <v>3</v>
      </c>
      <c r="C7119" s="4" t="s">
        <v>36</v>
      </c>
      <c r="D7119" s="4">
        <v>2030</v>
      </c>
      <c r="E7119" s="4">
        <v>36499.501519991521</v>
      </c>
      <c r="F7119" s="4" t="s">
        <v>29</v>
      </c>
    </row>
    <row r="7120" spans="1:6" x14ac:dyDescent="0.25">
      <c r="A7120" s="4" t="s">
        <v>0</v>
      </c>
      <c r="B7120" s="4" t="s">
        <v>3</v>
      </c>
      <c r="C7120" s="4" t="s">
        <v>36</v>
      </c>
      <c r="D7120" s="4">
        <v>2031</v>
      </c>
      <c r="E7120" s="4">
        <v>36260.788522440736</v>
      </c>
      <c r="F7120" s="4" t="s">
        <v>29</v>
      </c>
    </row>
    <row r="7121" spans="1:6" x14ac:dyDescent="0.25">
      <c r="A7121" s="4" t="s">
        <v>0</v>
      </c>
      <c r="B7121" s="4" t="s">
        <v>3</v>
      </c>
      <c r="C7121" s="4" t="s">
        <v>36</v>
      </c>
      <c r="D7121" s="4">
        <v>2032</v>
      </c>
      <c r="E7121" s="4">
        <v>36031.155726347686</v>
      </c>
      <c r="F7121" s="4" t="s">
        <v>29</v>
      </c>
    </row>
    <row r="7122" spans="1:6" x14ac:dyDescent="0.25">
      <c r="A7122" s="4" t="s">
        <v>0</v>
      </c>
      <c r="B7122" s="4" t="s">
        <v>3</v>
      </c>
      <c r="C7122" s="4" t="s">
        <v>36</v>
      </c>
      <c r="D7122" s="4">
        <v>2033</v>
      </c>
      <c r="E7122" s="4">
        <v>35832.327421476657</v>
      </c>
      <c r="F7122" s="4" t="s">
        <v>29</v>
      </c>
    </row>
    <row r="7123" spans="1:6" x14ac:dyDescent="0.25">
      <c r="A7123" s="4" t="s">
        <v>0</v>
      </c>
      <c r="B7123" s="4" t="s">
        <v>3</v>
      </c>
      <c r="C7123" s="4" t="s">
        <v>36</v>
      </c>
      <c r="D7123" s="4">
        <v>2034</v>
      </c>
      <c r="E7123" s="4">
        <v>35680.888082066835</v>
      </c>
      <c r="F7123" s="4" t="s">
        <v>29</v>
      </c>
    </row>
    <row r="7124" spans="1:6" x14ac:dyDescent="0.25">
      <c r="A7124" s="4" t="s">
        <v>0</v>
      </c>
      <c r="B7124" s="4" t="s">
        <v>3</v>
      </c>
      <c r="C7124" s="4" t="s">
        <v>36</v>
      </c>
      <c r="D7124" s="4">
        <v>2035</v>
      </c>
      <c r="E7124" s="4">
        <v>35541.588585065212</v>
      </c>
      <c r="F7124" s="4" t="s">
        <v>29</v>
      </c>
    </row>
    <row r="7125" spans="1:6" x14ac:dyDescent="0.25">
      <c r="A7125" s="4" t="s">
        <v>0</v>
      </c>
      <c r="B7125" s="4" t="s">
        <v>3</v>
      </c>
      <c r="C7125" s="4" t="s">
        <v>36</v>
      </c>
      <c r="D7125" s="4">
        <v>2036</v>
      </c>
      <c r="E7125" s="4">
        <v>35453.538990442124</v>
      </c>
      <c r="F7125" s="4" t="s">
        <v>29</v>
      </c>
    </row>
    <row r="7126" spans="1:6" x14ac:dyDescent="0.25">
      <c r="A7126" s="4" t="s">
        <v>0</v>
      </c>
      <c r="B7126" s="4" t="s">
        <v>3</v>
      </c>
      <c r="C7126" s="4" t="s">
        <v>36</v>
      </c>
      <c r="D7126" s="4">
        <v>2037</v>
      </c>
      <c r="E7126" s="4">
        <v>35397.689620802543</v>
      </c>
      <c r="F7126" s="4" t="s">
        <v>29</v>
      </c>
    </row>
    <row r="7127" spans="1:6" x14ac:dyDescent="0.25">
      <c r="A7127" s="4" t="s">
        <v>0</v>
      </c>
      <c r="B7127" s="4" t="s">
        <v>3</v>
      </c>
      <c r="C7127" s="4" t="s">
        <v>36</v>
      </c>
      <c r="D7127" s="4">
        <v>2038</v>
      </c>
      <c r="E7127" s="4">
        <v>35322.47919129589</v>
      </c>
      <c r="F7127" s="4" t="s">
        <v>29</v>
      </c>
    </row>
    <row r="7128" spans="1:6" x14ac:dyDescent="0.25">
      <c r="A7128" s="4" t="s">
        <v>0</v>
      </c>
      <c r="B7128" s="4" t="s">
        <v>3</v>
      </c>
      <c r="C7128" s="4" t="s">
        <v>36</v>
      </c>
      <c r="D7128" s="4">
        <v>2039</v>
      </c>
      <c r="E7128" s="4">
        <v>35257.837069587513</v>
      </c>
      <c r="F7128" s="4" t="s">
        <v>29</v>
      </c>
    </row>
    <row r="7129" spans="1:6" x14ac:dyDescent="0.25">
      <c r="A7129" s="4" t="s">
        <v>0</v>
      </c>
      <c r="B7129" s="4" t="s">
        <v>3</v>
      </c>
      <c r="C7129" s="4" t="s">
        <v>36</v>
      </c>
      <c r="D7129" s="4">
        <v>2040</v>
      </c>
      <c r="E7129" s="4">
        <v>35192.319434576835</v>
      </c>
      <c r="F7129" s="4" t="s">
        <v>29</v>
      </c>
    </row>
    <row r="7130" spans="1:6" x14ac:dyDescent="0.25">
      <c r="A7130" s="4" t="s">
        <v>0</v>
      </c>
      <c r="B7130" s="4" t="s">
        <v>4</v>
      </c>
      <c r="C7130" s="4" t="s">
        <v>36</v>
      </c>
      <c r="D7130" s="4">
        <v>2005</v>
      </c>
      <c r="E7130" s="4">
        <v>2090</v>
      </c>
      <c r="F7130" s="4" t="s">
        <v>29</v>
      </c>
    </row>
    <row r="7131" spans="1:6" x14ac:dyDescent="0.25">
      <c r="A7131" s="4" t="s">
        <v>0</v>
      </c>
      <c r="B7131" s="4" t="s">
        <v>4</v>
      </c>
      <c r="C7131" s="4" t="s">
        <v>36</v>
      </c>
      <c r="D7131" s="4">
        <v>2006</v>
      </c>
      <c r="E7131" s="4">
        <v>2350</v>
      </c>
      <c r="F7131" s="4" t="s">
        <v>29</v>
      </c>
    </row>
    <row r="7132" spans="1:6" x14ac:dyDescent="0.25">
      <c r="A7132" s="4" t="s">
        <v>0</v>
      </c>
      <c r="B7132" s="4" t="s">
        <v>4</v>
      </c>
      <c r="C7132" s="4" t="s">
        <v>36</v>
      </c>
      <c r="D7132" s="4">
        <v>2007</v>
      </c>
      <c r="E7132" s="4">
        <v>2750</v>
      </c>
      <c r="F7132" s="4" t="s">
        <v>29</v>
      </c>
    </row>
    <row r="7133" spans="1:6" x14ac:dyDescent="0.25">
      <c r="A7133" s="4" t="s">
        <v>0</v>
      </c>
      <c r="B7133" s="4" t="s">
        <v>4</v>
      </c>
      <c r="C7133" s="4" t="s">
        <v>36</v>
      </c>
      <c r="D7133" s="4">
        <v>2008</v>
      </c>
      <c r="E7133" s="4">
        <v>3130</v>
      </c>
      <c r="F7133" s="4" t="s">
        <v>29</v>
      </c>
    </row>
    <row r="7134" spans="1:6" x14ac:dyDescent="0.25">
      <c r="A7134" s="4" t="s">
        <v>0</v>
      </c>
      <c r="B7134" s="4" t="s">
        <v>4</v>
      </c>
      <c r="C7134" s="4" t="s">
        <v>36</v>
      </c>
      <c r="D7134" s="4">
        <v>2009</v>
      </c>
      <c r="E7134" s="4">
        <v>2900</v>
      </c>
      <c r="F7134" s="4" t="s">
        <v>29</v>
      </c>
    </row>
    <row r="7135" spans="1:6" x14ac:dyDescent="0.25">
      <c r="A7135" s="4" t="s">
        <v>0</v>
      </c>
      <c r="B7135" s="4" t="s">
        <v>4</v>
      </c>
      <c r="C7135" s="4" t="s">
        <v>36</v>
      </c>
      <c r="D7135" s="4">
        <v>2010</v>
      </c>
      <c r="E7135" s="4">
        <v>2710</v>
      </c>
      <c r="F7135" s="4" t="s">
        <v>29</v>
      </c>
    </row>
    <row r="7136" spans="1:6" x14ac:dyDescent="0.25">
      <c r="A7136" s="4" t="s">
        <v>0</v>
      </c>
      <c r="B7136" s="4" t="s">
        <v>4</v>
      </c>
      <c r="C7136" s="4" t="s">
        <v>36</v>
      </c>
      <c r="D7136" s="4">
        <v>2011</v>
      </c>
      <c r="E7136" s="4">
        <v>2820</v>
      </c>
      <c r="F7136" s="4" t="s">
        <v>29</v>
      </c>
    </row>
    <row r="7137" spans="1:6" x14ac:dyDescent="0.25">
      <c r="A7137" s="4" t="s">
        <v>0</v>
      </c>
      <c r="B7137" s="4" t="s">
        <v>4</v>
      </c>
      <c r="C7137" s="4" t="s">
        <v>36</v>
      </c>
      <c r="D7137" s="4">
        <v>2012</v>
      </c>
      <c r="E7137" s="4">
        <v>2900</v>
      </c>
      <c r="F7137" s="4" t="s">
        <v>29</v>
      </c>
    </row>
    <row r="7138" spans="1:6" x14ac:dyDescent="0.25">
      <c r="A7138" s="4" t="s">
        <v>0</v>
      </c>
      <c r="B7138" s="4" t="s">
        <v>4</v>
      </c>
      <c r="C7138" s="4" t="s">
        <v>36</v>
      </c>
      <c r="D7138" s="4">
        <v>2013</v>
      </c>
      <c r="E7138" s="4">
        <v>3550</v>
      </c>
      <c r="F7138" s="4" t="s">
        <v>29</v>
      </c>
    </row>
    <row r="7139" spans="1:6" x14ac:dyDescent="0.25">
      <c r="A7139" s="4" t="s">
        <v>0</v>
      </c>
      <c r="B7139" s="4" t="s">
        <v>4</v>
      </c>
      <c r="C7139" s="4" t="s">
        <v>36</v>
      </c>
      <c r="D7139" s="4">
        <v>2014</v>
      </c>
      <c r="E7139" s="4">
        <v>5210</v>
      </c>
      <c r="F7139" s="4" t="s">
        <v>29</v>
      </c>
    </row>
    <row r="7140" spans="1:6" x14ac:dyDescent="0.25">
      <c r="A7140" s="4" t="s">
        <v>0</v>
      </c>
      <c r="B7140" s="4" t="s">
        <v>4</v>
      </c>
      <c r="C7140" s="4" t="s">
        <v>36</v>
      </c>
      <c r="D7140" s="4">
        <v>2015</v>
      </c>
      <c r="E7140" s="4">
        <v>5570</v>
      </c>
      <c r="F7140" s="4" t="s">
        <v>29</v>
      </c>
    </row>
    <row r="7141" spans="1:6" x14ac:dyDescent="0.25">
      <c r="A7141" s="4" t="s">
        <v>0</v>
      </c>
      <c r="B7141" s="4" t="s">
        <v>4</v>
      </c>
      <c r="C7141" s="4" t="s">
        <v>36</v>
      </c>
      <c r="D7141" s="4">
        <v>2016</v>
      </c>
      <c r="E7141" s="4">
        <v>10168.111506849318</v>
      </c>
      <c r="F7141" s="4" t="s">
        <v>29</v>
      </c>
    </row>
    <row r="7142" spans="1:6" x14ac:dyDescent="0.25">
      <c r="A7142" s="4" t="s">
        <v>0</v>
      </c>
      <c r="B7142" s="4" t="s">
        <v>4</v>
      </c>
      <c r="C7142" s="4" t="s">
        <v>36</v>
      </c>
      <c r="D7142" s="4">
        <v>2017</v>
      </c>
      <c r="E7142" s="4">
        <v>12126.514109589039</v>
      </c>
      <c r="F7142" s="4" t="s">
        <v>29</v>
      </c>
    </row>
    <row r="7143" spans="1:6" x14ac:dyDescent="0.25">
      <c r="A7143" s="4" t="s">
        <v>0</v>
      </c>
      <c r="B7143" s="4" t="s">
        <v>4</v>
      </c>
      <c r="C7143" s="4" t="s">
        <v>36</v>
      </c>
      <c r="D7143" s="4">
        <v>2018</v>
      </c>
      <c r="E7143" s="4">
        <v>12584.115386571788</v>
      </c>
      <c r="F7143" s="4" t="s">
        <v>29</v>
      </c>
    </row>
    <row r="7144" spans="1:6" x14ac:dyDescent="0.25">
      <c r="A7144" s="4" t="s">
        <v>0</v>
      </c>
      <c r="B7144" s="4" t="s">
        <v>4</v>
      </c>
      <c r="C7144" s="4" t="s">
        <v>36</v>
      </c>
      <c r="D7144" s="4">
        <v>2019</v>
      </c>
      <c r="E7144" s="4">
        <v>12556.033798655801</v>
      </c>
      <c r="F7144" s="4" t="s">
        <v>29</v>
      </c>
    </row>
    <row r="7145" spans="1:6" x14ac:dyDescent="0.25">
      <c r="A7145" s="4" t="s">
        <v>0</v>
      </c>
      <c r="B7145" s="4" t="s">
        <v>4</v>
      </c>
      <c r="C7145" s="4" t="s">
        <v>36</v>
      </c>
      <c r="D7145" s="4">
        <v>2020</v>
      </c>
      <c r="E7145" s="4">
        <v>12523.779478429464</v>
      </c>
      <c r="F7145" s="4" t="s">
        <v>29</v>
      </c>
    </row>
    <row r="7146" spans="1:6" x14ac:dyDescent="0.25">
      <c r="A7146" s="4" t="s">
        <v>0</v>
      </c>
      <c r="B7146" s="4" t="s">
        <v>4</v>
      </c>
      <c r="C7146" s="4" t="s">
        <v>36</v>
      </c>
      <c r="D7146" s="4">
        <v>2021</v>
      </c>
      <c r="E7146" s="4">
        <v>12539.199966728769</v>
      </c>
      <c r="F7146" s="4" t="s">
        <v>29</v>
      </c>
    </row>
    <row r="7147" spans="1:6" x14ac:dyDescent="0.25">
      <c r="A7147" s="4" t="s">
        <v>0</v>
      </c>
      <c r="B7147" s="4" t="s">
        <v>4</v>
      </c>
      <c r="C7147" s="4" t="s">
        <v>36</v>
      </c>
      <c r="D7147" s="4">
        <v>2022</v>
      </c>
      <c r="E7147" s="4">
        <v>12603.576231308894</v>
      </c>
      <c r="F7147" s="4" t="s">
        <v>29</v>
      </c>
    </row>
    <row r="7148" spans="1:6" x14ac:dyDescent="0.25">
      <c r="A7148" s="4" t="s">
        <v>0</v>
      </c>
      <c r="B7148" s="4" t="s">
        <v>4</v>
      </c>
      <c r="C7148" s="4" t="s">
        <v>36</v>
      </c>
      <c r="D7148" s="4">
        <v>2023</v>
      </c>
      <c r="E7148" s="4">
        <v>12689.955660666707</v>
      </c>
      <c r="F7148" s="4" t="s">
        <v>29</v>
      </c>
    </row>
    <row r="7149" spans="1:6" x14ac:dyDescent="0.25">
      <c r="A7149" s="4" t="s">
        <v>0</v>
      </c>
      <c r="B7149" s="4" t="s">
        <v>4</v>
      </c>
      <c r="C7149" s="4" t="s">
        <v>36</v>
      </c>
      <c r="D7149" s="4">
        <v>2024</v>
      </c>
      <c r="E7149" s="4">
        <v>12807.223675219693</v>
      </c>
      <c r="F7149" s="4" t="s">
        <v>29</v>
      </c>
    </row>
    <row r="7150" spans="1:6" x14ac:dyDescent="0.25">
      <c r="A7150" s="4" t="s">
        <v>0</v>
      </c>
      <c r="B7150" s="4" t="s">
        <v>4</v>
      </c>
      <c r="C7150" s="4" t="s">
        <v>36</v>
      </c>
      <c r="D7150" s="4">
        <v>2025</v>
      </c>
      <c r="E7150" s="4">
        <v>12899.624208420959</v>
      </c>
      <c r="F7150" s="4" t="s">
        <v>29</v>
      </c>
    </row>
    <row r="7151" spans="1:6" x14ac:dyDescent="0.25">
      <c r="A7151" s="4" t="s">
        <v>0</v>
      </c>
      <c r="B7151" s="4" t="s">
        <v>4</v>
      </c>
      <c r="C7151" s="4" t="s">
        <v>36</v>
      </c>
      <c r="D7151" s="4">
        <v>2026</v>
      </c>
      <c r="E7151" s="4">
        <v>12974.85962722721</v>
      </c>
      <c r="F7151" s="4" t="s">
        <v>29</v>
      </c>
    </row>
    <row r="7152" spans="1:6" x14ac:dyDescent="0.25">
      <c r="A7152" s="4" t="s">
        <v>0</v>
      </c>
      <c r="B7152" s="4" t="s">
        <v>4</v>
      </c>
      <c r="C7152" s="4" t="s">
        <v>36</v>
      </c>
      <c r="D7152" s="4">
        <v>2027</v>
      </c>
      <c r="E7152" s="4">
        <v>13015.232784049589</v>
      </c>
      <c r="F7152" s="4" t="s">
        <v>29</v>
      </c>
    </row>
    <row r="7153" spans="1:6" x14ac:dyDescent="0.25">
      <c r="A7153" s="4" t="s">
        <v>0</v>
      </c>
      <c r="B7153" s="4" t="s">
        <v>4</v>
      </c>
      <c r="C7153" s="4" t="s">
        <v>36</v>
      </c>
      <c r="D7153" s="4">
        <v>2028</v>
      </c>
      <c r="E7153" s="4">
        <v>13035.599689612487</v>
      </c>
      <c r="F7153" s="4" t="s">
        <v>29</v>
      </c>
    </row>
    <row r="7154" spans="1:6" x14ac:dyDescent="0.25">
      <c r="A7154" s="4" t="s">
        <v>0</v>
      </c>
      <c r="B7154" s="4" t="s">
        <v>4</v>
      </c>
      <c r="C7154" s="4" t="s">
        <v>36</v>
      </c>
      <c r="D7154" s="4">
        <v>2029</v>
      </c>
      <c r="E7154" s="4">
        <v>13077.175870274252</v>
      </c>
      <c r="F7154" s="4" t="s">
        <v>29</v>
      </c>
    </row>
    <row r="7155" spans="1:6" x14ac:dyDescent="0.25">
      <c r="A7155" s="4" t="s">
        <v>0</v>
      </c>
      <c r="B7155" s="4" t="s">
        <v>4</v>
      </c>
      <c r="C7155" s="4" t="s">
        <v>36</v>
      </c>
      <c r="D7155" s="4">
        <v>2030</v>
      </c>
      <c r="E7155" s="4">
        <v>13127.101681730441</v>
      </c>
      <c r="F7155" s="4" t="s">
        <v>29</v>
      </c>
    </row>
    <row r="7156" spans="1:6" x14ac:dyDescent="0.25">
      <c r="A7156" s="4" t="s">
        <v>0</v>
      </c>
      <c r="B7156" s="4" t="s">
        <v>4</v>
      </c>
      <c r="C7156" s="4" t="s">
        <v>36</v>
      </c>
      <c r="D7156" s="4">
        <v>2031</v>
      </c>
      <c r="E7156" s="4">
        <v>13184.340754772558</v>
      </c>
      <c r="F7156" s="4" t="s">
        <v>29</v>
      </c>
    </row>
    <row r="7157" spans="1:6" x14ac:dyDescent="0.25">
      <c r="A7157" s="4" t="s">
        <v>0</v>
      </c>
      <c r="B7157" s="4" t="s">
        <v>4</v>
      </c>
      <c r="C7157" s="4" t="s">
        <v>36</v>
      </c>
      <c r="D7157" s="4">
        <v>2032</v>
      </c>
      <c r="E7157" s="4">
        <v>13244.989102466052</v>
      </c>
      <c r="F7157" s="4" t="s">
        <v>29</v>
      </c>
    </row>
    <row r="7158" spans="1:6" x14ac:dyDescent="0.25">
      <c r="A7158" s="4" t="s">
        <v>0</v>
      </c>
      <c r="B7158" s="4" t="s">
        <v>4</v>
      </c>
      <c r="C7158" s="4" t="s">
        <v>36</v>
      </c>
      <c r="D7158" s="4">
        <v>2033</v>
      </c>
      <c r="E7158" s="4">
        <v>13317.011831785203</v>
      </c>
      <c r="F7158" s="4" t="s">
        <v>29</v>
      </c>
    </row>
    <row r="7159" spans="1:6" x14ac:dyDescent="0.25">
      <c r="A7159" s="4" t="s">
        <v>0</v>
      </c>
      <c r="B7159" s="4" t="s">
        <v>4</v>
      </c>
      <c r="C7159" s="4" t="s">
        <v>36</v>
      </c>
      <c r="D7159" s="4">
        <v>2034</v>
      </c>
      <c r="E7159" s="4">
        <v>13405.753219968799</v>
      </c>
      <c r="F7159" s="4" t="s">
        <v>29</v>
      </c>
    </row>
    <row r="7160" spans="1:6" x14ac:dyDescent="0.25">
      <c r="A7160" s="4" t="s">
        <v>0</v>
      </c>
      <c r="B7160" s="4" t="s">
        <v>4</v>
      </c>
      <c r="C7160" s="4" t="s">
        <v>36</v>
      </c>
      <c r="D7160" s="4">
        <v>2035</v>
      </c>
      <c r="E7160" s="4">
        <v>13499.096448479766</v>
      </c>
      <c r="F7160" s="4" t="s">
        <v>29</v>
      </c>
    </row>
    <row r="7161" spans="1:6" x14ac:dyDescent="0.25">
      <c r="A7161" s="4" t="s">
        <v>0</v>
      </c>
      <c r="B7161" s="4" t="s">
        <v>4</v>
      </c>
      <c r="C7161" s="4" t="s">
        <v>36</v>
      </c>
      <c r="D7161" s="4">
        <v>2036</v>
      </c>
      <c r="E7161" s="4">
        <v>13611.565151956585</v>
      </c>
      <c r="F7161" s="4" t="s">
        <v>29</v>
      </c>
    </row>
    <row r="7162" spans="1:6" x14ac:dyDescent="0.25">
      <c r="A7162" s="4" t="s">
        <v>0</v>
      </c>
      <c r="B7162" s="4" t="s">
        <v>4</v>
      </c>
      <c r="C7162" s="4" t="s">
        <v>36</v>
      </c>
      <c r="D7162" s="4">
        <v>2037</v>
      </c>
      <c r="E7162" s="4">
        <v>13736.803270316212</v>
      </c>
      <c r="F7162" s="4" t="s">
        <v>29</v>
      </c>
    </row>
    <row r="7163" spans="1:6" x14ac:dyDescent="0.25">
      <c r="A7163" s="4" t="s">
        <v>0</v>
      </c>
      <c r="B7163" s="4" t="s">
        <v>4</v>
      </c>
      <c r="C7163" s="4" t="s">
        <v>36</v>
      </c>
      <c r="D7163" s="4">
        <v>2038</v>
      </c>
      <c r="E7163" s="4">
        <v>13855.785897588725</v>
      </c>
      <c r="F7163" s="4" t="s">
        <v>29</v>
      </c>
    </row>
    <row r="7164" spans="1:6" x14ac:dyDescent="0.25">
      <c r="A7164" s="4" t="s">
        <v>0</v>
      </c>
      <c r="B7164" s="4" t="s">
        <v>4</v>
      </c>
      <c r="C7164" s="4" t="s">
        <v>36</v>
      </c>
      <c r="D7164" s="4">
        <v>2039</v>
      </c>
      <c r="E7164" s="4">
        <v>13979.556967378841</v>
      </c>
      <c r="F7164" s="4" t="s">
        <v>29</v>
      </c>
    </row>
    <row r="7165" spans="1:6" x14ac:dyDescent="0.25">
      <c r="A7165" s="4" t="s">
        <v>0</v>
      </c>
      <c r="B7165" s="4" t="s">
        <v>4</v>
      </c>
      <c r="C7165" s="4" t="s">
        <v>36</v>
      </c>
      <c r="D7165" s="4">
        <v>2040</v>
      </c>
      <c r="E7165" s="4">
        <v>14104.145149578913</v>
      </c>
      <c r="F7165" s="4" t="s">
        <v>29</v>
      </c>
    </row>
    <row r="7166" spans="1:6" x14ac:dyDescent="0.25">
      <c r="A7166" s="4" t="s">
        <v>0</v>
      </c>
      <c r="B7166" s="4" t="s">
        <v>5</v>
      </c>
      <c r="C7166" s="4" t="s">
        <v>36</v>
      </c>
      <c r="D7166" s="4">
        <v>2005</v>
      </c>
      <c r="E7166" s="4">
        <v>99600</v>
      </c>
      <c r="F7166" s="4" t="s">
        <v>29</v>
      </c>
    </row>
    <row r="7167" spans="1:6" x14ac:dyDescent="0.25">
      <c r="A7167" s="4" t="s">
        <v>0</v>
      </c>
      <c r="B7167" s="4" t="s">
        <v>5</v>
      </c>
      <c r="C7167" s="4" t="s">
        <v>36</v>
      </c>
      <c r="D7167" s="4">
        <v>2006</v>
      </c>
      <c r="E7167" s="4">
        <v>120900</v>
      </c>
      <c r="F7167" s="4" t="s">
        <v>29</v>
      </c>
    </row>
    <row r="7168" spans="1:6" x14ac:dyDescent="0.25">
      <c r="A7168" s="4" t="s">
        <v>0</v>
      </c>
      <c r="B7168" s="4" t="s">
        <v>5</v>
      </c>
      <c r="C7168" s="4" t="s">
        <v>36</v>
      </c>
      <c r="D7168" s="4">
        <v>2007</v>
      </c>
      <c r="E7168" s="4">
        <v>124700</v>
      </c>
      <c r="F7168" s="4" t="s">
        <v>29</v>
      </c>
    </row>
    <row r="7169" spans="1:6" x14ac:dyDescent="0.25">
      <c r="A7169" s="4" t="s">
        <v>0</v>
      </c>
      <c r="B7169" s="4" t="s">
        <v>5</v>
      </c>
      <c r="C7169" s="4" t="s">
        <v>36</v>
      </c>
      <c r="D7169" s="4">
        <v>2008</v>
      </c>
      <c r="E7169" s="4">
        <v>114700</v>
      </c>
      <c r="F7169" s="4" t="s">
        <v>29</v>
      </c>
    </row>
    <row r="7170" spans="1:6" x14ac:dyDescent="0.25">
      <c r="A7170" s="4" t="s">
        <v>0</v>
      </c>
      <c r="B7170" s="4" t="s">
        <v>5</v>
      </c>
      <c r="C7170" s="4" t="s">
        <v>36</v>
      </c>
      <c r="D7170" s="4">
        <v>2009</v>
      </c>
      <c r="E7170" s="4">
        <v>131200</v>
      </c>
      <c r="F7170" s="4" t="s">
        <v>29</v>
      </c>
    </row>
    <row r="7171" spans="1:6" x14ac:dyDescent="0.25">
      <c r="A7171" s="4" t="s">
        <v>0</v>
      </c>
      <c r="B7171" s="4" t="s">
        <v>5</v>
      </c>
      <c r="C7171" s="4" t="s">
        <v>36</v>
      </c>
      <c r="D7171" s="4">
        <v>2010</v>
      </c>
      <c r="E7171" s="4">
        <v>136242.99205479454</v>
      </c>
      <c r="F7171" s="4" t="s">
        <v>29</v>
      </c>
    </row>
    <row r="7172" spans="1:6" x14ac:dyDescent="0.25">
      <c r="A7172" s="4" t="s">
        <v>0</v>
      </c>
      <c r="B7172" s="4" t="s">
        <v>5</v>
      </c>
      <c r="C7172" s="4" t="s">
        <v>36</v>
      </c>
      <c r="D7172" s="4">
        <v>2011</v>
      </c>
      <c r="E7172" s="4">
        <v>141899.05890410958</v>
      </c>
      <c r="F7172" s="4" t="s">
        <v>29</v>
      </c>
    </row>
    <row r="7173" spans="1:6" x14ac:dyDescent="0.25">
      <c r="A7173" s="4" t="s">
        <v>0</v>
      </c>
      <c r="B7173" s="4" t="s">
        <v>5</v>
      </c>
      <c r="C7173" s="4" t="s">
        <v>36</v>
      </c>
      <c r="D7173" s="4">
        <v>2012</v>
      </c>
      <c r="E7173" s="4">
        <v>148216.19643835619</v>
      </c>
      <c r="F7173" s="4" t="s">
        <v>29</v>
      </c>
    </row>
    <row r="7174" spans="1:6" x14ac:dyDescent="0.25">
      <c r="A7174" s="4" t="s">
        <v>0</v>
      </c>
      <c r="B7174" s="4" t="s">
        <v>5</v>
      </c>
      <c r="C7174" s="4" t="s">
        <v>36</v>
      </c>
      <c r="D7174" s="4">
        <v>2013</v>
      </c>
      <c r="E7174" s="4">
        <v>155178.08602739728</v>
      </c>
      <c r="F7174" s="4" t="s">
        <v>29</v>
      </c>
    </row>
    <row r="7175" spans="1:6" x14ac:dyDescent="0.25">
      <c r="A7175" s="4" t="s">
        <v>0</v>
      </c>
      <c r="B7175" s="4" t="s">
        <v>5</v>
      </c>
      <c r="C7175" s="4" t="s">
        <v>36</v>
      </c>
      <c r="D7175" s="4">
        <v>2014</v>
      </c>
      <c r="E7175" s="4">
        <v>152653.42301369866</v>
      </c>
      <c r="F7175" s="4" t="s">
        <v>29</v>
      </c>
    </row>
    <row r="7176" spans="1:6" x14ac:dyDescent="0.25">
      <c r="A7176" s="4" t="s">
        <v>0</v>
      </c>
      <c r="B7176" s="4" t="s">
        <v>5</v>
      </c>
      <c r="C7176" s="4" t="s">
        <v>36</v>
      </c>
      <c r="D7176" s="4">
        <v>2015</v>
      </c>
      <c r="E7176" s="4">
        <v>184650.64986301371</v>
      </c>
      <c r="F7176" s="4" t="s">
        <v>29</v>
      </c>
    </row>
    <row r="7177" spans="1:6" x14ac:dyDescent="0.25">
      <c r="A7177" s="4" t="s">
        <v>0</v>
      </c>
      <c r="B7177" s="4" t="s">
        <v>5</v>
      </c>
      <c r="C7177" s="4" t="s">
        <v>36</v>
      </c>
      <c r="D7177" s="4">
        <v>2016</v>
      </c>
      <c r="E7177" s="4">
        <v>182833.43972602743</v>
      </c>
      <c r="F7177" s="4" t="s">
        <v>29</v>
      </c>
    </row>
    <row r="7178" spans="1:6" x14ac:dyDescent="0.25">
      <c r="A7178" s="4" t="s">
        <v>0</v>
      </c>
      <c r="B7178" s="4" t="s">
        <v>5</v>
      </c>
      <c r="C7178" s="4" t="s">
        <v>36</v>
      </c>
      <c r="D7178" s="4">
        <v>2017</v>
      </c>
      <c r="E7178" s="4">
        <v>202815.78219178083</v>
      </c>
      <c r="F7178" s="4" t="s">
        <v>29</v>
      </c>
    </row>
    <row r="7179" spans="1:6" x14ac:dyDescent="0.25">
      <c r="A7179" s="4" t="s">
        <v>0</v>
      </c>
      <c r="B7179" s="4" t="s">
        <v>5</v>
      </c>
      <c r="C7179" s="4" t="s">
        <v>36</v>
      </c>
      <c r="D7179" s="4">
        <v>2018</v>
      </c>
      <c r="E7179" s="4">
        <v>234799.82978469165</v>
      </c>
      <c r="F7179" s="4" t="s">
        <v>29</v>
      </c>
    </row>
    <row r="7180" spans="1:6" x14ac:dyDescent="0.25">
      <c r="A7180" s="4" t="s">
        <v>0</v>
      </c>
      <c r="B7180" s="4" t="s">
        <v>5</v>
      </c>
      <c r="C7180" s="4" t="s">
        <v>36</v>
      </c>
      <c r="D7180" s="4">
        <v>2019</v>
      </c>
      <c r="E7180" s="4">
        <v>254156.63379981264</v>
      </c>
      <c r="F7180" s="4" t="s">
        <v>29</v>
      </c>
    </row>
    <row r="7181" spans="1:6" x14ac:dyDescent="0.25">
      <c r="A7181" s="4" t="s">
        <v>0</v>
      </c>
      <c r="B7181" s="4" t="s">
        <v>5</v>
      </c>
      <c r="C7181" s="4" t="s">
        <v>36</v>
      </c>
      <c r="D7181" s="4">
        <v>2020</v>
      </c>
      <c r="E7181" s="4">
        <v>259617.83437279184</v>
      </c>
      <c r="F7181" s="4" t="s">
        <v>29</v>
      </c>
    </row>
    <row r="7182" spans="1:6" x14ac:dyDescent="0.25">
      <c r="A7182" s="4" t="s">
        <v>0</v>
      </c>
      <c r="B7182" s="4" t="s">
        <v>5</v>
      </c>
      <c r="C7182" s="4" t="s">
        <v>36</v>
      </c>
      <c r="D7182" s="4">
        <v>2021</v>
      </c>
      <c r="E7182" s="4">
        <v>261022.58625520545</v>
      </c>
      <c r="F7182" s="4" t="s">
        <v>29</v>
      </c>
    </row>
    <row r="7183" spans="1:6" x14ac:dyDescent="0.25">
      <c r="A7183" s="4" t="s">
        <v>0</v>
      </c>
      <c r="B7183" s="4" t="s">
        <v>5</v>
      </c>
      <c r="C7183" s="4" t="s">
        <v>36</v>
      </c>
      <c r="D7183" s="4">
        <v>2022</v>
      </c>
      <c r="E7183" s="4">
        <v>261826.63235775448</v>
      </c>
      <c r="F7183" s="4" t="s">
        <v>29</v>
      </c>
    </row>
    <row r="7184" spans="1:6" x14ac:dyDescent="0.25">
      <c r="A7184" s="4" t="s">
        <v>0</v>
      </c>
      <c r="B7184" s="4" t="s">
        <v>5</v>
      </c>
      <c r="C7184" s="4" t="s">
        <v>36</v>
      </c>
      <c r="D7184" s="4">
        <v>2023</v>
      </c>
      <c r="E7184" s="4">
        <v>261826.61697683489</v>
      </c>
      <c r="F7184" s="4" t="s">
        <v>29</v>
      </c>
    </row>
    <row r="7185" spans="1:6" x14ac:dyDescent="0.25">
      <c r="A7185" s="4" t="s">
        <v>0</v>
      </c>
      <c r="B7185" s="4" t="s">
        <v>5</v>
      </c>
      <c r="C7185" s="4" t="s">
        <v>36</v>
      </c>
      <c r="D7185" s="4">
        <v>2024</v>
      </c>
      <c r="E7185" s="4">
        <v>261826.62684564892</v>
      </c>
      <c r="F7185" s="4" t="s">
        <v>29</v>
      </c>
    </row>
    <row r="7186" spans="1:6" x14ac:dyDescent="0.25">
      <c r="A7186" s="4" t="s">
        <v>0</v>
      </c>
      <c r="B7186" s="4" t="s">
        <v>5</v>
      </c>
      <c r="C7186" s="4" t="s">
        <v>36</v>
      </c>
      <c r="D7186" s="4">
        <v>2025</v>
      </c>
      <c r="E7186" s="4">
        <v>261826.62716015082</v>
      </c>
      <c r="F7186" s="4" t="s">
        <v>29</v>
      </c>
    </row>
    <row r="7187" spans="1:6" x14ac:dyDescent="0.25">
      <c r="A7187" s="4" t="s">
        <v>0</v>
      </c>
      <c r="B7187" s="4" t="s">
        <v>5</v>
      </c>
      <c r="C7187" s="4" t="s">
        <v>36</v>
      </c>
      <c r="D7187" s="4">
        <v>2026</v>
      </c>
      <c r="E7187" s="4">
        <v>261826.62703786089</v>
      </c>
      <c r="F7187" s="4" t="s">
        <v>29</v>
      </c>
    </row>
    <row r="7188" spans="1:6" x14ac:dyDescent="0.25">
      <c r="A7188" s="4" t="s">
        <v>0</v>
      </c>
      <c r="B7188" s="4" t="s">
        <v>5</v>
      </c>
      <c r="C7188" s="4" t="s">
        <v>36</v>
      </c>
      <c r="D7188" s="4">
        <v>2027</v>
      </c>
      <c r="E7188" s="4">
        <v>261826.627032105</v>
      </c>
      <c r="F7188" s="4" t="s">
        <v>29</v>
      </c>
    </row>
    <row r="7189" spans="1:6" x14ac:dyDescent="0.25">
      <c r="A7189" s="4" t="s">
        <v>0</v>
      </c>
      <c r="B7189" s="4" t="s">
        <v>5</v>
      </c>
      <c r="C7189" s="4" t="s">
        <v>36</v>
      </c>
      <c r="D7189" s="4">
        <v>2028</v>
      </c>
      <c r="E7189" s="4">
        <v>261826.62703364203</v>
      </c>
      <c r="F7189" s="4" t="s">
        <v>29</v>
      </c>
    </row>
    <row r="7190" spans="1:6" x14ac:dyDescent="0.25">
      <c r="A7190" s="4" t="s">
        <v>0</v>
      </c>
      <c r="B7190" s="4" t="s">
        <v>5</v>
      </c>
      <c r="C7190" s="4" t="s">
        <v>36</v>
      </c>
      <c r="D7190" s="4">
        <v>2029</v>
      </c>
      <c r="E7190" s="4">
        <v>261826.62703373685</v>
      </c>
      <c r="F7190" s="4" t="s">
        <v>29</v>
      </c>
    </row>
    <row r="7191" spans="1:6" x14ac:dyDescent="0.25">
      <c r="A7191" s="4" t="s">
        <v>0</v>
      </c>
      <c r="B7191" s="4" t="s">
        <v>5</v>
      </c>
      <c r="C7191" s="4" t="s">
        <v>36</v>
      </c>
      <c r="D7191" s="4">
        <v>2030</v>
      </c>
      <c r="E7191" s="4">
        <v>261826.6270337177</v>
      </c>
      <c r="F7191" s="4" t="s">
        <v>29</v>
      </c>
    </row>
    <row r="7192" spans="1:6" x14ac:dyDescent="0.25">
      <c r="A7192" s="4" t="s">
        <v>0</v>
      </c>
      <c r="B7192" s="4" t="s">
        <v>5</v>
      </c>
      <c r="C7192" s="4" t="s">
        <v>36</v>
      </c>
      <c r="D7192" s="4">
        <v>2031</v>
      </c>
      <c r="E7192" s="4">
        <v>261826.62703371618</v>
      </c>
      <c r="F7192" s="4" t="s">
        <v>29</v>
      </c>
    </row>
    <row r="7193" spans="1:6" x14ac:dyDescent="0.25">
      <c r="A7193" s="4" t="s">
        <v>0</v>
      </c>
      <c r="B7193" s="4" t="s">
        <v>5</v>
      </c>
      <c r="C7193" s="4" t="s">
        <v>36</v>
      </c>
      <c r="D7193" s="4">
        <v>2032</v>
      </c>
      <c r="E7193" s="4">
        <v>260918.32669880448</v>
      </c>
      <c r="F7193" s="4" t="s">
        <v>29</v>
      </c>
    </row>
    <row r="7194" spans="1:6" x14ac:dyDescent="0.25">
      <c r="A7194" s="4" t="s">
        <v>0</v>
      </c>
      <c r="B7194" s="4" t="s">
        <v>5</v>
      </c>
      <c r="C7194" s="4" t="s">
        <v>36</v>
      </c>
      <c r="D7194" s="4">
        <v>2033</v>
      </c>
      <c r="E7194" s="4">
        <v>259282.81498821205</v>
      </c>
      <c r="F7194" s="4" t="s">
        <v>29</v>
      </c>
    </row>
    <row r="7195" spans="1:6" x14ac:dyDescent="0.25">
      <c r="A7195" s="4" t="s">
        <v>0</v>
      </c>
      <c r="B7195" s="4" t="s">
        <v>5</v>
      </c>
      <c r="C7195" s="4" t="s">
        <v>36</v>
      </c>
      <c r="D7195" s="4">
        <v>2034</v>
      </c>
      <c r="E7195" s="4">
        <v>257306.25213540083</v>
      </c>
      <c r="F7195" s="4" t="s">
        <v>29</v>
      </c>
    </row>
    <row r="7196" spans="1:6" x14ac:dyDescent="0.25">
      <c r="A7196" s="4" t="s">
        <v>0</v>
      </c>
      <c r="B7196" s="4" t="s">
        <v>5</v>
      </c>
      <c r="C7196" s="4" t="s">
        <v>36</v>
      </c>
      <c r="D7196" s="4">
        <v>2035</v>
      </c>
      <c r="E7196" s="4">
        <v>255047.42373339791</v>
      </c>
      <c r="F7196" s="4" t="s">
        <v>29</v>
      </c>
    </row>
    <row r="7197" spans="1:6" x14ac:dyDescent="0.25">
      <c r="A7197" s="4" t="s">
        <v>0</v>
      </c>
      <c r="B7197" s="4" t="s">
        <v>5</v>
      </c>
      <c r="C7197" s="4" t="s">
        <v>36</v>
      </c>
      <c r="D7197" s="4">
        <v>2036</v>
      </c>
      <c r="E7197" s="4">
        <v>253110.69799736829</v>
      </c>
      <c r="F7197" s="4" t="s">
        <v>29</v>
      </c>
    </row>
    <row r="7198" spans="1:6" x14ac:dyDescent="0.25">
      <c r="A7198" s="4" t="s">
        <v>0</v>
      </c>
      <c r="B7198" s="4" t="s">
        <v>5</v>
      </c>
      <c r="C7198" s="4" t="s">
        <v>36</v>
      </c>
      <c r="D7198" s="4">
        <v>2037</v>
      </c>
      <c r="E7198" s="4">
        <v>251755.76001759677</v>
      </c>
      <c r="F7198" s="4" t="s">
        <v>29</v>
      </c>
    </row>
    <row r="7199" spans="1:6" x14ac:dyDescent="0.25">
      <c r="A7199" s="4" t="s">
        <v>0</v>
      </c>
      <c r="B7199" s="4" t="s">
        <v>5</v>
      </c>
      <c r="C7199" s="4" t="s">
        <v>36</v>
      </c>
      <c r="D7199" s="4">
        <v>2038</v>
      </c>
      <c r="E7199" s="4">
        <v>250686.36867928831</v>
      </c>
      <c r="F7199" s="4" t="s">
        <v>29</v>
      </c>
    </row>
    <row r="7200" spans="1:6" x14ac:dyDescent="0.25">
      <c r="A7200" s="4" t="s">
        <v>0</v>
      </c>
      <c r="B7200" s="4" t="s">
        <v>5</v>
      </c>
      <c r="C7200" s="4" t="s">
        <v>36</v>
      </c>
      <c r="D7200" s="4">
        <v>2039</v>
      </c>
      <c r="E7200" s="4">
        <v>249629.7396919489</v>
      </c>
      <c r="F7200" s="4" t="s">
        <v>29</v>
      </c>
    </row>
    <row r="7201" spans="1:6" x14ac:dyDescent="0.25">
      <c r="A7201" s="4" t="s">
        <v>0</v>
      </c>
      <c r="B7201" s="4" t="s">
        <v>5</v>
      </c>
      <c r="C7201" s="4" t="s">
        <v>36</v>
      </c>
      <c r="D7201" s="4">
        <v>2040</v>
      </c>
      <c r="E7201" s="4">
        <v>248585.7207468806</v>
      </c>
      <c r="F7201" s="4" t="s">
        <v>29</v>
      </c>
    </row>
    <row r="7202" spans="1:6" x14ac:dyDescent="0.25">
      <c r="A7202" s="4" t="s">
        <v>0</v>
      </c>
      <c r="B7202" s="4" t="s">
        <v>6</v>
      </c>
      <c r="C7202" s="4" t="s">
        <v>36</v>
      </c>
      <c r="D7202" s="4">
        <v>2005</v>
      </c>
      <c r="E7202" s="4">
        <v>69700</v>
      </c>
      <c r="F7202" s="4" t="s">
        <v>29</v>
      </c>
    </row>
    <row r="7203" spans="1:6" x14ac:dyDescent="0.25">
      <c r="A7203" s="4" t="s">
        <v>0</v>
      </c>
      <c r="B7203" s="4" t="s">
        <v>6</v>
      </c>
      <c r="C7203" s="4" t="s">
        <v>36</v>
      </c>
      <c r="D7203" s="4">
        <v>2006</v>
      </c>
      <c r="E7203" s="4">
        <v>78500</v>
      </c>
      <c r="F7203" s="4" t="s">
        <v>29</v>
      </c>
    </row>
    <row r="7204" spans="1:6" x14ac:dyDescent="0.25">
      <c r="A7204" s="4" t="s">
        <v>0</v>
      </c>
      <c r="B7204" s="4" t="s">
        <v>6</v>
      </c>
      <c r="C7204" s="4" t="s">
        <v>36</v>
      </c>
      <c r="D7204" s="4">
        <v>2007</v>
      </c>
      <c r="E7204" s="4">
        <v>85200</v>
      </c>
      <c r="F7204" s="4" t="s">
        <v>29</v>
      </c>
    </row>
    <row r="7205" spans="1:6" x14ac:dyDescent="0.25">
      <c r="A7205" s="4" t="s">
        <v>0</v>
      </c>
      <c r="B7205" s="4" t="s">
        <v>6</v>
      </c>
      <c r="C7205" s="4" t="s">
        <v>36</v>
      </c>
      <c r="D7205" s="4">
        <v>2008</v>
      </c>
      <c r="E7205" s="4">
        <v>92700</v>
      </c>
      <c r="F7205" s="4" t="s">
        <v>29</v>
      </c>
    </row>
    <row r="7206" spans="1:6" x14ac:dyDescent="0.25">
      <c r="A7206" s="4" t="s">
        <v>0</v>
      </c>
      <c r="B7206" s="4" t="s">
        <v>6</v>
      </c>
      <c r="C7206" s="4" t="s">
        <v>36</v>
      </c>
      <c r="D7206" s="4">
        <v>2009</v>
      </c>
      <c r="E7206" s="4">
        <v>105500</v>
      </c>
      <c r="F7206" s="4" t="s">
        <v>29</v>
      </c>
    </row>
    <row r="7207" spans="1:6" x14ac:dyDescent="0.25">
      <c r="A7207" s="4" t="s">
        <v>0</v>
      </c>
      <c r="B7207" s="4" t="s">
        <v>6</v>
      </c>
      <c r="C7207" s="4" t="s">
        <v>36</v>
      </c>
      <c r="D7207" s="4">
        <v>2010</v>
      </c>
      <c r="E7207" s="4">
        <v>119629.14712328766</v>
      </c>
      <c r="F7207" s="4" t="s">
        <v>29</v>
      </c>
    </row>
    <row r="7208" spans="1:6" x14ac:dyDescent="0.25">
      <c r="A7208" s="4" t="s">
        <v>0</v>
      </c>
      <c r="B7208" s="4" t="s">
        <v>6</v>
      </c>
      <c r="C7208" s="4" t="s">
        <v>36</v>
      </c>
      <c r="D7208" s="4">
        <v>2011</v>
      </c>
      <c r="E7208" s="4">
        <v>134719.58268493149</v>
      </c>
      <c r="F7208" s="4" t="s">
        <v>29</v>
      </c>
    </row>
    <row r="7209" spans="1:6" x14ac:dyDescent="0.25">
      <c r="A7209" s="4" t="s">
        <v>0</v>
      </c>
      <c r="B7209" s="4" t="s">
        <v>6</v>
      </c>
      <c r="C7209" s="4" t="s">
        <v>36</v>
      </c>
      <c r="D7209" s="4">
        <v>2012</v>
      </c>
      <c r="E7209" s="4">
        <v>157385.20219178079</v>
      </c>
      <c r="F7209" s="4" t="s">
        <v>29</v>
      </c>
    </row>
    <row r="7210" spans="1:6" x14ac:dyDescent="0.25">
      <c r="A7210" s="4" t="s">
        <v>0</v>
      </c>
      <c r="B7210" s="4" t="s">
        <v>6</v>
      </c>
      <c r="C7210" s="4" t="s">
        <v>36</v>
      </c>
      <c r="D7210" s="4">
        <v>2013</v>
      </c>
      <c r="E7210" s="4">
        <v>175859.07172602741</v>
      </c>
      <c r="F7210" s="4" t="s">
        <v>29</v>
      </c>
    </row>
    <row r="7211" spans="1:6" x14ac:dyDescent="0.25">
      <c r="A7211" s="4" t="s">
        <v>0</v>
      </c>
      <c r="B7211" s="4" t="s">
        <v>6</v>
      </c>
      <c r="C7211" s="4" t="s">
        <v>36</v>
      </c>
      <c r="D7211" s="4">
        <v>2014</v>
      </c>
      <c r="E7211" s="4">
        <v>200748.64076712329</v>
      </c>
      <c r="F7211" s="4" t="s">
        <v>29</v>
      </c>
    </row>
    <row r="7212" spans="1:6" x14ac:dyDescent="0.25">
      <c r="A7212" s="4" t="s">
        <v>0</v>
      </c>
      <c r="B7212" s="4" t="s">
        <v>6</v>
      </c>
      <c r="C7212" s="4" t="s">
        <v>36</v>
      </c>
      <c r="D7212" s="4">
        <v>2015</v>
      </c>
      <c r="E7212" s="4">
        <v>216516.94391559192</v>
      </c>
      <c r="F7212" s="4" t="s">
        <v>29</v>
      </c>
    </row>
    <row r="7213" spans="1:6" x14ac:dyDescent="0.25">
      <c r="A7213" s="4" t="s">
        <v>0</v>
      </c>
      <c r="B7213" s="4" t="s">
        <v>6</v>
      </c>
      <c r="C7213" s="4" t="s">
        <v>36</v>
      </c>
      <c r="D7213" s="4">
        <v>2016</v>
      </c>
      <c r="E7213" s="4">
        <v>222306.83333061248</v>
      </c>
      <c r="F7213" s="4" t="s">
        <v>29</v>
      </c>
    </row>
    <row r="7214" spans="1:6" x14ac:dyDescent="0.25">
      <c r="A7214" s="4" t="s">
        <v>0</v>
      </c>
      <c r="B7214" s="4" t="s">
        <v>6</v>
      </c>
      <c r="C7214" s="4" t="s">
        <v>36</v>
      </c>
      <c r="D7214" s="4">
        <v>2017</v>
      </c>
      <c r="E7214" s="4">
        <v>245914.92329379948</v>
      </c>
      <c r="F7214" s="4" t="s">
        <v>29</v>
      </c>
    </row>
    <row r="7215" spans="1:6" x14ac:dyDescent="0.25">
      <c r="A7215" s="4" t="s">
        <v>0</v>
      </c>
      <c r="B7215" s="4" t="s">
        <v>6</v>
      </c>
      <c r="C7215" s="4" t="s">
        <v>36</v>
      </c>
      <c r="D7215" s="4">
        <v>2018</v>
      </c>
      <c r="E7215" s="4">
        <v>261640.34547641588</v>
      </c>
      <c r="F7215" s="4" t="s">
        <v>29</v>
      </c>
    </row>
    <row r="7216" spans="1:6" x14ac:dyDescent="0.25">
      <c r="A7216" s="4" t="s">
        <v>0</v>
      </c>
      <c r="B7216" s="4" t="s">
        <v>6</v>
      </c>
      <c r="C7216" s="4" t="s">
        <v>36</v>
      </c>
      <c r="D7216" s="4">
        <v>2019</v>
      </c>
      <c r="E7216" s="4">
        <v>273757.26348823449</v>
      </c>
      <c r="F7216" s="4" t="s">
        <v>29</v>
      </c>
    </row>
    <row r="7217" spans="1:6" x14ac:dyDescent="0.25">
      <c r="A7217" s="4" t="s">
        <v>0</v>
      </c>
      <c r="B7217" s="4" t="s">
        <v>6</v>
      </c>
      <c r="C7217" s="4" t="s">
        <v>36</v>
      </c>
      <c r="D7217" s="4">
        <v>2020</v>
      </c>
      <c r="E7217" s="4">
        <v>283681.48916161514</v>
      </c>
      <c r="F7217" s="4" t="s">
        <v>29</v>
      </c>
    </row>
    <row r="7218" spans="1:6" x14ac:dyDescent="0.25">
      <c r="A7218" s="4" t="s">
        <v>0</v>
      </c>
      <c r="B7218" s="4" t="s">
        <v>6</v>
      </c>
      <c r="C7218" s="4" t="s">
        <v>36</v>
      </c>
      <c r="D7218" s="4">
        <v>2021</v>
      </c>
      <c r="E7218" s="4">
        <v>288325.86230611883</v>
      </c>
      <c r="F7218" s="4" t="s">
        <v>29</v>
      </c>
    </row>
    <row r="7219" spans="1:6" x14ac:dyDescent="0.25">
      <c r="A7219" s="4" t="s">
        <v>0</v>
      </c>
      <c r="B7219" s="4" t="s">
        <v>6</v>
      </c>
      <c r="C7219" s="4" t="s">
        <v>36</v>
      </c>
      <c r="D7219" s="4">
        <v>2022</v>
      </c>
      <c r="E7219" s="4">
        <v>292682.61261761619</v>
      </c>
      <c r="F7219" s="4" t="s">
        <v>29</v>
      </c>
    </row>
    <row r="7220" spans="1:6" x14ac:dyDescent="0.25">
      <c r="A7220" s="4" t="s">
        <v>0</v>
      </c>
      <c r="B7220" s="4" t="s">
        <v>6</v>
      </c>
      <c r="C7220" s="4" t="s">
        <v>36</v>
      </c>
      <c r="D7220" s="4">
        <v>2023</v>
      </c>
      <c r="E7220" s="4">
        <v>305074.30851720634</v>
      </c>
      <c r="F7220" s="4" t="s">
        <v>29</v>
      </c>
    </row>
    <row r="7221" spans="1:6" x14ac:dyDescent="0.25">
      <c r="A7221" s="4" t="s">
        <v>0</v>
      </c>
      <c r="B7221" s="4" t="s">
        <v>6</v>
      </c>
      <c r="C7221" s="4" t="s">
        <v>36</v>
      </c>
      <c r="D7221" s="4">
        <v>2024</v>
      </c>
      <c r="E7221" s="4">
        <v>321274.03996566811</v>
      </c>
      <c r="F7221" s="4" t="s">
        <v>29</v>
      </c>
    </row>
    <row r="7222" spans="1:6" x14ac:dyDescent="0.25">
      <c r="A7222" s="4" t="s">
        <v>0</v>
      </c>
      <c r="B7222" s="4" t="s">
        <v>6</v>
      </c>
      <c r="C7222" s="4" t="s">
        <v>36</v>
      </c>
      <c r="D7222" s="4">
        <v>2025</v>
      </c>
      <c r="E7222" s="4">
        <v>335609.62472703506</v>
      </c>
      <c r="F7222" s="4" t="s">
        <v>29</v>
      </c>
    </row>
    <row r="7223" spans="1:6" x14ac:dyDescent="0.25">
      <c r="A7223" s="4" t="s">
        <v>0</v>
      </c>
      <c r="B7223" s="4" t="s">
        <v>6</v>
      </c>
      <c r="C7223" s="4" t="s">
        <v>36</v>
      </c>
      <c r="D7223" s="4">
        <v>2026</v>
      </c>
      <c r="E7223" s="4">
        <v>358666.522715092</v>
      </c>
      <c r="F7223" s="4" t="s">
        <v>29</v>
      </c>
    </row>
    <row r="7224" spans="1:6" x14ac:dyDescent="0.25">
      <c r="A7224" s="4" t="s">
        <v>0</v>
      </c>
      <c r="B7224" s="4" t="s">
        <v>6</v>
      </c>
      <c r="C7224" s="4" t="s">
        <v>36</v>
      </c>
      <c r="D7224" s="4">
        <v>2027</v>
      </c>
      <c r="E7224" s="4">
        <v>375954.56890337222</v>
      </c>
      <c r="F7224" s="4" t="s">
        <v>29</v>
      </c>
    </row>
    <row r="7225" spans="1:6" x14ac:dyDescent="0.25">
      <c r="A7225" s="4" t="s">
        <v>0</v>
      </c>
      <c r="B7225" s="4" t="s">
        <v>6</v>
      </c>
      <c r="C7225" s="4" t="s">
        <v>36</v>
      </c>
      <c r="D7225" s="4">
        <v>2028</v>
      </c>
      <c r="E7225" s="4">
        <v>392071.23514178494</v>
      </c>
      <c r="F7225" s="4" t="s">
        <v>29</v>
      </c>
    </row>
    <row r="7226" spans="1:6" x14ac:dyDescent="0.25">
      <c r="A7226" s="4" t="s">
        <v>0</v>
      </c>
      <c r="B7226" s="4" t="s">
        <v>6</v>
      </c>
      <c r="C7226" s="4" t="s">
        <v>36</v>
      </c>
      <c r="D7226" s="4">
        <v>2029</v>
      </c>
      <c r="E7226" s="4">
        <v>396020.8430790946</v>
      </c>
      <c r="F7226" s="4" t="s">
        <v>29</v>
      </c>
    </row>
    <row r="7227" spans="1:6" x14ac:dyDescent="0.25">
      <c r="A7227" s="4" t="s">
        <v>0</v>
      </c>
      <c r="B7227" s="4" t="s">
        <v>6</v>
      </c>
      <c r="C7227" s="4" t="s">
        <v>36</v>
      </c>
      <c r="D7227" s="4">
        <v>2030</v>
      </c>
      <c r="E7227" s="4">
        <v>398516.49347736349</v>
      </c>
      <c r="F7227" s="4" t="s">
        <v>29</v>
      </c>
    </row>
    <row r="7228" spans="1:6" x14ac:dyDescent="0.25">
      <c r="A7228" s="4" t="s">
        <v>0</v>
      </c>
      <c r="B7228" s="4" t="s">
        <v>6</v>
      </c>
      <c r="C7228" s="4" t="s">
        <v>36</v>
      </c>
      <c r="D7228" s="4">
        <v>2031</v>
      </c>
      <c r="E7228" s="4">
        <v>399981.98961715098</v>
      </c>
      <c r="F7228" s="4" t="s">
        <v>29</v>
      </c>
    </row>
    <row r="7229" spans="1:6" x14ac:dyDescent="0.25">
      <c r="A7229" s="4" t="s">
        <v>0</v>
      </c>
      <c r="B7229" s="4" t="s">
        <v>6</v>
      </c>
      <c r="C7229" s="4" t="s">
        <v>36</v>
      </c>
      <c r="D7229" s="4">
        <v>2032</v>
      </c>
      <c r="E7229" s="4">
        <v>406483.74690376862</v>
      </c>
      <c r="F7229" s="4" t="s">
        <v>29</v>
      </c>
    </row>
    <row r="7230" spans="1:6" x14ac:dyDescent="0.25">
      <c r="A7230" s="4" t="s">
        <v>0</v>
      </c>
      <c r="B7230" s="4" t="s">
        <v>6</v>
      </c>
      <c r="C7230" s="4" t="s">
        <v>36</v>
      </c>
      <c r="D7230" s="4">
        <v>2033</v>
      </c>
      <c r="E7230" s="4">
        <v>408398.46783496527</v>
      </c>
      <c r="F7230" s="4" t="s">
        <v>29</v>
      </c>
    </row>
    <row r="7231" spans="1:6" x14ac:dyDescent="0.25">
      <c r="A7231" s="4" t="s">
        <v>0</v>
      </c>
      <c r="B7231" s="4" t="s">
        <v>6</v>
      </c>
      <c r="C7231" s="4" t="s">
        <v>36</v>
      </c>
      <c r="D7231" s="4">
        <v>2034</v>
      </c>
      <c r="E7231" s="4">
        <v>408362.33826701279</v>
      </c>
      <c r="F7231" s="4" t="s">
        <v>29</v>
      </c>
    </row>
    <row r="7232" spans="1:6" x14ac:dyDescent="0.25">
      <c r="A7232" s="4" t="s">
        <v>0</v>
      </c>
      <c r="B7232" s="4" t="s">
        <v>6</v>
      </c>
      <c r="C7232" s="4" t="s">
        <v>36</v>
      </c>
      <c r="D7232" s="4">
        <v>2035</v>
      </c>
      <c r="E7232" s="4">
        <v>408283.81619107048</v>
      </c>
      <c r="F7232" s="4" t="s">
        <v>29</v>
      </c>
    </row>
    <row r="7233" spans="1:6" x14ac:dyDescent="0.25">
      <c r="A7233" s="4" t="s">
        <v>0</v>
      </c>
      <c r="B7233" s="4" t="s">
        <v>6</v>
      </c>
      <c r="C7233" s="4" t="s">
        <v>36</v>
      </c>
      <c r="D7233" s="4">
        <v>2036</v>
      </c>
      <c r="E7233" s="4">
        <v>408191.4548739554</v>
      </c>
      <c r="F7233" s="4" t="s">
        <v>29</v>
      </c>
    </row>
    <row r="7234" spans="1:6" x14ac:dyDescent="0.25">
      <c r="A7234" s="4" t="s">
        <v>0</v>
      </c>
      <c r="B7234" s="4" t="s">
        <v>6</v>
      </c>
      <c r="C7234" s="4" t="s">
        <v>36</v>
      </c>
      <c r="D7234" s="4">
        <v>2037</v>
      </c>
      <c r="E7234" s="4">
        <v>408086.24288439628</v>
      </c>
      <c r="F7234" s="4" t="s">
        <v>29</v>
      </c>
    </row>
    <row r="7235" spans="1:6" x14ac:dyDescent="0.25">
      <c r="A7235" s="4" t="s">
        <v>0</v>
      </c>
      <c r="B7235" s="4" t="s">
        <v>6</v>
      </c>
      <c r="C7235" s="4" t="s">
        <v>36</v>
      </c>
      <c r="D7235" s="4">
        <v>2038</v>
      </c>
      <c r="E7235" s="4">
        <v>407967.49344223941</v>
      </c>
      <c r="F7235" s="4" t="s">
        <v>29</v>
      </c>
    </row>
    <row r="7236" spans="1:6" x14ac:dyDescent="0.25">
      <c r="A7236" s="4" t="s">
        <v>0</v>
      </c>
      <c r="B7236" s="4" t="s">
        <v>6</v>
      </c>
      <c r="C7236" s="4" t="s">
        <v>36</v>
      </c>
      <c r="D7236" s="4">
        <v>2039</v>
      </c>
      <c r="E7236" s="4">
        <v>407834.09337303642</v>
      </c>
      <c r="F7236" s="4" t="s">
        <v>29</v>
      </c>
    </row>
    <row r="7237" spans="1:6" x14ac:dyDescent="0.25">
      <c r="A7237" s="4" t="s">
        <v>0</v>
      </c>
      <c r="B7237" s="4" t="s">
        <v>6</v>
      </c>
      <c r="C7237" s="4" t="s">
        <v>36</v>
      </c>
      <c r="D7237" s="4">
        <v>2040</v>
      </c>
      <c r="E7237" s="4">
        <v>407686.2596495343</v>
      </c>
      <c r="F7237" s="4" t="s">
        <v>29</v>
      </c>
    </row>
    <row r="7238" spans="1:6" x14ac:dyDescent="0.25">
      <c r="A7238" s="4" t="s">
        <v>0</v>
      </c>
      <c r="B7238" s="4" t="s">
        <v>23</v>
      </c>
      <c r="C7238" s="4" t="s">
        <v>36</v>
      </c>
      <c r="D7238" s="4">
        <v>2005</v>
      </c>
      <c r="E7238" s="4">
        <v>411638.31634344597</v>
      </c>
      <c r="F7238" s="4" t="s">
        <v>29</v>
      </c>
    </row>
    <row r="7239" spans="1:6" x14ac:dyDescent="0.25">
      <c r="A7239" s="4" t="s">
        <v>0</v>
      </c>
      <c r="B7239" s="4" t="s">
        <v>23</v>
      </c>
      <c r="C7239" s="4" t="s">
        <v>36</v>
      </c>
      <c r="D7239" s="4">
        <v>2006</v>
      </c>
      <c r="E7239" s="4">
        <v>440428.42634664616</v>
      </c>
      <c r="F7239" s="4" t="s">
        <v>29</v>
      </c>
    </row>
    <row r="7240" spans="1:6" x14ac:dyDescent="0.25">
      <c r="A7240" s="4" t="s">
        <v>0</v>
      </c>
      <c r="B7240" s="4" t="s">
        <v>23</v>
      </c>
      <c r="C7240" s="4" t="s">
        <v>36</v>
      </c>
      <c r="D7240" s="4">
        <v>2007</v>
      </c>
      <c r="E7240" s="4">
        <v>457779.35539810546</v>
      </c>
      <c r="F7240" s="4" t="s">
        <v>29</v>
      </c>
    </row>
    <row r="7241" spans="1:6" x14ac:dyDescent="0.25">
      <c r="A7241" s="4" t="s">
        <v>0</v>
      </c>
      <c r="B7241" s="4" t="s">
        <v>23</v>
      </c>
      <c r="C7241" s="4" t="s">
        <v>36</v>
      </c>
      <c r="D7241" s="4">
        <v>2008</v>
      </c>
      <c r="E7241" s="4">
        <v>448246.58333333337</v>
      </c>
      <c r="F7241" s="4" t="s">
        <v>29</v>
      </c>
    </row>
    <row r="7242" spans="1:6" x14ac:dyDescent="0.25">
      <c r="A7242" s="4" t="s">
        <v>0</v>
      </c>
      <c r="B7242" s="4" t="s">
        <v>23</v>
      </c>
      <c r="C7242" s="4" t="s">
        <v>36</v>
      </c>
      <c r="D7242" s="4">
        <v>2009</v>
      </c>
      <c r="E7242" s="4">
        <v>454605.8598406298</v>
      </c>
      <c r="F7242" s="4" t="s">
        <v>29</v>
      </c>
    </row>
    <row r="7243" spans="1:6" x14ac:dyDescent="0.25">
      <c r="A7243" s="4" t="s">
        <v>0</v>
      </c>
      <c r="B7243" s="4" t="s">
        <v>23</v>
      </c>
      <c r="C7243" s="4" t="s">
        <v>36</v>
      </c>
      <c r="D7243" s="4">
        <v>2010</v>
      </c>
      <c r="E7243" s="4">
        <v>474322.64369997161</v>
      </c>
      <c r="F7243" s="4" t="s">
        <v>29</v>
      </c>
    </row>
    <row r="7244" spans="1:6" x14ac:dyDescent="0.25">
      <c r="A7244" s="4" t="s">
        <v>0</v>
      </c>
      <c r="B7244" s="4" t="s">
        <v>23</v>
      </c>
      <c r="C7244" s="4" t="s">
        <v>36</v>
      </c>
      <c r="D7244" s="4">
        <v>2011</v>
      </c>
      <c r="E7244" s="4">
        <v>499452.60662104306</v>
      </c>
      <c r="F7244" s="4" t="s">
        <v>29</v>
      </c>
    </row>
    <row r="7245" spans="1:6" x14ac:dyDescent="0.25">
      <c r="A7245" s="4" t="s">
        <v>0</v>
      </c>
      <c r="B7245" s="4" t="s">
        <v>23</v>
      </c>
      <c r="C7245" s="4" t="s">
        <v>36</v>
      </c>
      <c r="D7245" s="4">
        <v>2012</v>
      </c>
      <c r="E7245" s="4">
        <v>537046.95684612216</v>
      </c>
      <c r="F7245" s="4" t="s">
        <v>29</v>
      </c>
    </row>
    <row r="7246" spans="1:6" x14ac:dyDescent="0.25">
      <c r="A7246" s="4" t="s">
        <v>0</v>
      </c>
      <c r="B7246" s="4" t="s">
        <v>23</v>
      </c>
      <c r="C7246" s="4" t="s">
        <v>36</v>
      </c>
      <c r="D7246" s="4">
        <v>2013</v>
      </c>
      <c r="E7246" s="4">
        <v>575641.28997500683</v>
      </c>
      <c r="F7246" s="4" t="s">
        <v>29</v>
      </c>
    </row>
    <row r="7247" spans="1:6" x14ac:dyDescent="0.25">
      <c r="A7247" s="4" t="s">
        <v>0</v>
      </c>
      <c r="B7247" s="4" t="s">
        <v>23</v>
      </c>
      <c r="C7247" s="4" t="s">
        <v>36</v>
      </c>
      <c r="D7247" s="4">
        <v>2014</v>
      </c>
      <c r="E7247" s="4">
        <v>613070.82869441644</v>
      </c>
      <c r="F7247" s="4" t="s">
        <v>29</v>
      </c>
    </row>
    <row r="7248" spans="1:6" x14ac:dyDescent="0.25">
      <c r="A7248" s="4" t="s">
        <v>0</v>
      </c>
      <c r="B7248" s="4" t="s">
        <v>23</v>
      </c>
      <c r="C7248" s="4" t="s">
        <v>36</v>
      </c>
      <c r="D7248" s="4">
        <v>2015</v>
      </c>
      <c r="E7248" s="4">
        <v>638821.40372138773</v>
      </c>
      <c r="F7248" s="4" t="s">
        <v>29</v>
      </c>
    </row>
    <row r="7249" spans="1:6" x14ac:dyDescent="0.25">
      <c r="A7249" s="4" t="s">
        <v>0</v>
      </c>
      <c r="B7249" s="4" t="s">
        <v>23</v>
      </c>
      <c r="C7249" s="4" t="s">
        <v>36</v>
      </c>
      <c r="D7249" s="4">
        <v>2016</v>
      </c>
      <c r="E7249" s="4">
        <v>636569.01614092244</v>
      </c>
      <c r="F7249" s="4" t="s">
        <v>29</v>
      </c>
    </row>
    <row r="7250" spans="1:6" x14ac:dyDescent="0.25">
      <c r="A7250" s="4" t="s">
        <v>0</v>
      </c>
      <c r="B7250" s="4" t="s">
        <v>23</v>
      </c>
      <c r="C7250" s="4" t="s">
        <v>36</v>
      </c>
      <c r="D7250" s="4">
        <v>2017</v>
      </c>
      <c r="E7250" s="4">
        <v>692670.17989358678</v>
      </c>
      <c r="F7250" s="4" t="s">
        <v>29</v>
      </c>
    </row>
    <row r="7251" spans="1:6" x14ac:dyDescent="0.25">
      <c r="A7251" s="4" t="s">
        <v>0</v>
      </c>
      <c r="B7251" s="4" t="s">
        <v>23</v>
      </c>
      <c r="C7251" s="4" t="s">
        <v>36</v>
      </c>
      <c r="D7251" s="4">
        <v>2018</v>
      </c>
      <c r="E7251" s="4">
        <v>747505.27355614631</v>
      </c>
      <c r="F7251" s="4" t="s">
        <v>29</v>
      </c>
    </row>
    <row r="7252" spans="1:6" x14ac:dyDescent="0.25">
      <c r="A7252" s="4" t="s">
        <v>0</v>
      </c>
      <c r="B7252" s="4" t="s">
        <v>23</v>
      </c>
      <c r="C7252" s="4" t="s">
        <v>36</v>
      </c>
      <c r="D7252" s="4">
        <v>2019</v>
      </c>
      <c r="E7252" s="4">
        <v>786156.58098248241</v>
      </c>
      <c r="F7252" s="4" t="s">
        <v>29</v>
      </c>
    </row>
    <row r="7253" spans="1:6" x14ac:dyDescent="0.25">
      <c r="A7253" s="4" t="s">
        <v>0</v>
      </c>
      <c r="B7253" s="4" t="s">
        <v>23</v>
      </c>
      <c r="C7253" s="4" t="s">
        <v>36</v>
      </c>
      <c r="D7253" s="4">
        <v>2020</v>
      </c>
      <c r="E7253" s="4">
        <v>800446.33162307821</v>
      </c>
      <c r="F7253" s="4" t="s">
        <v>29</v>
      </c>
    </row>
    <row r="7254" spans="1:6" x14ac:dyDescent="0.25">
      <c r="A7254" s="4" t="s">
        <v>0</v>
      </c>
      <c r="B7254" s="4" t="s">
        <v>23</v>
      </c>
      <c r="C7254" s="4" t="s">
        <v>36</v>
      </c>
      <c r="D7254" s="4">
        <v>2021</v>
      </c>
      <c r="E7254" s="4">
        <v>808881.51359498221</v>
      </c>
      <c r="F7254" s="4" t="s">
        <v>29</v>
      </c>
    </row>
    <row r="7255" spans="1:6" x14ac:dyDescent="0.25">
      <c r="A7255" s="4" t="s">
        <v>0</v>
      </c>
      <c r="B7255" s="4" t="s">
        <v>23</v>
      </c>
      <c r="C7255" s="4" t="s">
        <v>36</v>
      </c>
      <c r="D7255" s="4">
        <v>2022</v>
      </c>
      <c r="E7255" s="4">
        <v>814409.11040524882</v>
      </c>
      <c r="F7255" s="4" t="s">
        <v>29</v>
      </c>
    </row>
    <row r="7256" spans="1:6" x14ac:dyDescent="0.25">
      <c r="A7256" s="4" t="s">
        <v>0</v>
      </c>
      <c r="B7256" s="4" t="s">
        <v>23</v>
      </c>
      <c r="C7256" s="4" t="s">
        <v>36</v>
      </c>
      <c r="D7256" s="4">
        <v>2023</v>
      </c>
      <c r="E7256" s="4">
        <v>829764.83943552268</v>
      </c>
      <c r="F7256" s="4" t="s">
        <v>29</v>
      </c>
    </row>
    <row r="7257" spans="1:6" x14ac:dyDescent="0.25">
      <c r="A7257" s="4" t="s">
        <v>0</v>
      </c>
      <c r="B7257" s="4" t="s">
        <v>23</v>
      </c>
      <c r="C7257" s="4" t="s">
        <v>36</v>
      </c>
      <c r="D7257" s="4">
        <v>2024</v>
      </c>
      <c r="E7257" s="4">
        <v>846798.45891312102</v>
      </c>
      <c r="F7257" s="4" t="s">
        <v>29</v>
      </c>
    </row>
    <row r="7258" spans="1:6" x14ac:dyDescent="0.25">
      <c r="A7258" s="4" t="s">
        <v>0</v>
      </c>
      <c r="B7258" s="4" t="s">
        <v>23</v>
      </c>
      <c r="C7258" s="4" t="s">
        <v>36</v>
      </c>
      <c r="D7258" s="4">
        <v>2025</v>
      </c>
      <c r="E7258" s="4">
        <v>860546.14695876162</v>
      </c>
      <c r="F7258" s="4" t="s">
        <v>29</v>
      </c>
    </row>
    <row r="7259" spans="1:6" x14ac:dyDescent="0.25">
      <c r="A7259" s="4" t="s">
        <v>0</v>
      </c>
      <c r="B7259" s="4" t="s">
        <v>23</v>
      </c>
      <c r="C7259" s="4" t="s">
        <v>36</v>
      </c>
      <c r="D7259" s="4">
        <v>2026</v>
      </c>
      <c r="E7259" s="4">
        <v>880637.57356285257</v>
      </c>
      <c r="F7259" s="4" t="s">
        <v>29</v>
      </c>
    </row>
    <row r="7260" spans="1:6" x14ac:dyDescent="0.25">
      <c r="A7260" s="4" t="s">
        <v>0</v>
      </c>
      <c r="B7260" s="4" t="s">
        <v>23</v>
      </c>
      <c r="C7260" s="4" t="s">
        <v>36</v>
      </c>
      <c r="D7260" s="4">
        <v>2027</v>
      </c>
      <c r="E7260" s="4">
        <v>893422.04087340215</v>
      </c>
      <c r="F7260" s="4" t="s">
        <v>29</v>
      </c>
    </row>
    <row r="7261" spans="1:6" x14ac:dyDescent="0.25">
      <c r="A7261" s="4" t="s">
        <v>0</v>
      </c>
      <c r="B7261" s="4" t="s">
        <v>23</v>
      </c>
      <c r="C7261" s="4" t="s">
        <v>36</v>
      </c>
      <c r="D7261" s="4">
        <v>2028</v>
      </c>
      <c r="E7261" s="4">
        <v>904904.80504149571</v>
      </c>
      <c r="F7261" s="4" t="s">
        <v>29</v>
      </c>
    </row>
    <row r="7262" spans="1:6" x14ac:dyDescent="0.25">
      <c r="A7262" s="4" t="s">
        <v>0</v>
      </c>
      <c r="B7262" s="4" t="s">
        <v>23</v>
      </c>
      <c r="C7262" s="4" t="s">
        <v>36</v>
      </c>
      <c r="D7262" s="4">
        <v>2029</v>
      </c>
      <c r="E7262" s="4">
        <v>905326.06708587497</v>
      </c>
      <c r="F7262" s="4" t="s">
        <v>29</v>
      </c>
    </row>
    <row r="7263" spans="1:6" x14ac:dyDescent="0.25">
      <c r="A7263" s="4" t="s">
        <v>0</v>
      </c>
      <c r="B7263" s="4" t="s">
        <v>23</v>
      </c>
      <c r="C7263" s="4" t="s">
        <v>36</v>
      </c>
      <c r="D7263" s="4">
        <v>2030</v>
      </c>
      <c r="E7263" s="4">
        <v>904053.38044680934</v>
      </c>
      <c r="F7263" s="4" t="s">
        <v>29</v>
      </c>
    </row>
    <row r="7264" spans="1:6" x14ac:dyDescent="0.25">
      <c r="A7264" s="4" t="s">
        <v>0</v>
      </c>
      <c r="B7264" s="4" t="s">
        <v>23</v>
      </c>
      <c r="C7264" s="4" t="s">
        <v>36</v>
      </c>
      <c r="D7264" s="4">
        <v>2031</v>
      </c>
      <c r="E7264" s="4">
        <v>904923.31215883489</v>
      </c>
      <c r="F7264" s="4" t="s">
        <v>29</v>
      </c>
    </row>
    <row r="7265" spans="1:6" x14ac:dyDescent="0.25">
      <c r="A7265" s="4" t="s">
        <v>0</v>
      </c>
      <c r="B7265" s="4" t="s">
        <v>23</v>
      </c>
      <c r="C7265" s="4" t="s">
        <v>36</v>
      </c>
      <c r="D7265" s="4">
        <v>2032</v>
      </c>
      <c r="E7265" s="4">
        <v>909174.63812905329</v>
      </c>
      <c r="F7265" s="4" t="s">
        <v>29</v>
      </c>
    </row>
    <row r="7266" spans="1:6" x14ac:dyDescent="0.25">
      <c r="A7266" s="4" t="s">
        <v>0</v>
      </c>
      <c r="B7266" s="4" t="s">
        <v>23</v>
      </c>
      <c r="C7266" s="4" t="s">
        <v>36</v>
      </c>
      <c r="D7266" s="4">
        <v>2033</v>
      </c>
      <c r="E7266" s="4">
        <v>908124.86654601223</v>
      </c>
      <c r="F7266" s="4" t="s">
        <v>29</v>
      </c>
    </row>
    <row r="7267" spans="1:6" x14ac:dyDescent="0.25">
      <c r="A7267" s="4" t="s">
        <v>0</v>
      </c>
      <c r="B7267" s="4" t="s">
        <v>23</v>
      </c>
      <c r="C7267" s="4" t="s">
        <v>36</v>
      </c>
      <c r="D7267" s="4">
        <v>2034</v>
      </c>
      <c r="E7267" s="4">
        <v>906156.79595463048</v>
      </c>
      <c r="F7267" s="4" t="s">
        <v>29</v>
      </c>
    </row>
    <row r="7268" spans="1:6" x14ac:dyDescent="0.25">
      <c r="A7268" s="4" t="s">
        <v>0</v>
      </c>
      <c r="B7268" s="4" t="s">
        <v>23</v>
      </c>
      <c r="C7268" s="4" t="s">
        <v>36</v>
      </c>
      <c r="D7268" s="4">
        <v>2035</v>
      </c>
      <c r="E7268" s="4">
        <v>902623.60525575327</v>
      </c>
      <c r="F7268" s="4" t="s">
        <v>29</v>
      </c>
    </row>
    <row r="7269" spans="1:6" x14ac:dyDescent="0.25">
      <c r="A7269" s="4" t="s">
        <v>0</v>
      </c>
      <c r="B7269" s="4" t="s">
        <v>23</v>
      </c>
      <c r="C7269" s="4" t="s">
        <v>36</v>
      </c>
      <c r="D7269" s="4">
        <v>2036</v>
      </c>
      <c r="E7269" s="4">
        <v>898376.21216608165</v>
      </c>
      <c r="F7269" s="4" t="s">
        <v>29</v>
      </c>
    </row>
    <row r="7270" spans="1:6" x14ac:dyDescent="0.25">
      <c r="A7270" s="4" t="s">
        <v>0</v>
      </c>
      <c r="B7270" s="4" t="s">
        <v>23</v>
      </c>
      <c r="C7270" s="4" t="s">
        <v>36</v>
      </c>
      <c r="D7270" s="4">
        <v>2037</v>
      </c>
      <c r="E7270" s="4">
        <v>895340.14111269393</v>
      </c>
      <c r="F7270" s="4" t="s">
        <v>29</v>
      </c>
    </row>
    <row r="7271" spans="1:6" x14ac:dyDescent="0.25">
      <c r="A7271" s="4" t="s">
        <v>0</v>
      </c>
      <c r="B7271" s="4" t="s">
        <v>23</v>
      </c>
      <c r="C7271" s="4" t="s">
        <v>36</v>
      </c>
      <c r="D7271" s="4">
        <v>2038</v>
      </c>
      <c r="E7271" s="4">
        <v>891091.96927921986</v>
      </c>
      <c r="F7271" s="4" t="s">
        <v>29</v>
      </c>
    </row>
    <row r="7272" spans="1:6" x14ac:dyDescent="0.25">
      <c r="A7272" s="4" t="s">
        <v>0</v>
      </c>
      <c r="B7272" s="4" t="s">
        <v>23</v>
      </c>
      <c r="C7272" s="4" t="s">
        <v>36</v>
      </c>
      <c r="D7272" s="4">
        <v>2039</v>
      </c>
      <c r="E7272" s="4">
        <v>886221.90573932719</v>
      </c>
      <c r="F7272" s="4" t="s">
        <v>29</v>
      </c>
    </row>
    <row r="7273" spans="1:6" x14ac:dyDescent="0.25">
      <c r="A7273" s="4" t="s">
        <v>0</v>
      </c>
      <c r="B7273" s="4" t="s">
        <v>23</v>
      </c>
      <c r="C7273" s="4" t="s">
        <v>36</v>
      </c>
      <c r="D7273" s="4">
        <v>2040</v>
      </c>
      <c r="E7273" s="4">
        <v>881331.33008502214</v>
      </c>
      <c r="F7273" s="4" t="s">
        <v>29</v>
      </c>
    </row>
    <row r="7274" spans="1:6" x14ac:dyDescent="0.25">
      <c r="A7274" s="4" t="s">
        <v>73</v>
      </c>
      <c r="B7274" s="4" t="s">
        <v>1</v>
      </c>
      <c r="C7274" s="4" t="s">
        <v>36</v>
      </c>
      <c r="D7274" s="4">
        <v>2005</v>
      </c>
      <c r="E7274" s="4">
        <v>4645.0814215309774</v>
      </c>
      <c r="F7274" s="4" t="s">
        <v>29</v>
      </c>
    </row>
    <row r="7275" spans="1:6" x14ac:dyDescent="0.25">
      <c r="A7275" s="4" t="s">
        <v>73</v>
      </c>
      <c r="B7275" s="4" t="s">
        <v>1</v>
      </c>
      <c r="C7275" s="4" t="s">
        <v>36</v>
      </c>
      <c r="D7275" s="4">
        <v>2006</v>
      </c>
      <c r="E7275" s="4">
        <v>4506.6333115719408</v>
      </c>
      <c r="F7275" s="4" t="s">
        <v>29</v>
      </c>
    </row>
    <row r="7276" spans="1:6" x14ac:dyDescent="0.25">
      <c r="A7276" s="4" t="s">
        <v>73</v>
      </c>
      <c r="B7276" s="4" t="s">
        <v>1</v>
      </c>
      <c r="C7276" s="4" t="s">
        <v>36</v>
      </c>
      <c r="D7276" s="4">
        <v>2007</v>
      </c>
      <c r="E7276" s="4">
        <v>4045.0273214285717</v>
      </c>
      <c r="F7276" s="4" t="s">
        <v>29</v>
      </c>
    </row>
    <row r="7277" spans="1:6" x14ac:dyDescent="0.25">
      <c r="A7277" s="4" t="s">
        <v>73</v>
      </c>
      <c r="B7277" s="4" t="s">
        <v>1</v>
      </c>
      <c r="C7277" s="4" t="s">
        <v>36</v>
      </c>
      <c r="D7277" s="4">
        <v>2008</v>
      </c>
      <c r="E7277" s="4">
        <v>3676.5833333333326</v>
      </c>
      <c r="F7277" s="4" t="s">
        <v>29</v>
      </c>
    </row>
    <row r="7278" spans="1:6" x14ac:dyDescent="0.25">
      <c r="A7278" s="4" t="s">
        <v>73</v>
      </c>
      <c r="B7278" s="4" t="s">
        <v>1</v>
      </c>
      <c r="C7278" s="4" t="s">
        <v>36</v>
      </c>
      <c r="D7278" s="4">
        <v>2009</v>
      </c>
      <c r="E7278" s="4">
        <v>3498.2216820276499</v>
      </c>
      <c r="F7278" s="4" t="s">
        <v>29</v>
      </c>
    </row>
    <row r="7279" spans="1:6" x14ac:dyDescent="0.25">
      <c r="A7279" s="4" t="s">
        <v>73</v>
      </c>
      <c r="B7279" s="4" t="s">
        <v>1</v>
      </c>
      <c r="C7279" s="4" t="s">
        <v>36</v>
      </c>
      <c r="D7279" s="4">
        <v>2010</v>
      </c>
      <c r="E7279" s="4">
        <v>3464.9128584229393</v>
      </c>
      <c r="F7279" s="4" t="s">
        <v>29</v>
      </c>
    </row>
    <row r="7280" spans="1:6" x14ac:dyDescent="0.25">
      <c r="A7280" s="4" t="s">
        <v>73</v>
      </c>
      <c r="B7280" s="4" t="s">
        <v>1</v>
      </c>
      <c r="C7280" s="4" t="s">
        <v>36</v>
      </c>
      <c r="D7280" s="4">
        <v>2011</v>
      </c>
      <c r="E7280" s="4">
        <v>3237.5430209933434</v>
      </c>
      <c r="F7280" s="4" t="s">
        <v>29</v>
      </c>
    </row>
    <row r="7281" spans="1:6" x14ac:dyDescent="0.25">
      <c r="A7281" s="4" t="s">
        <v>73</v>
      </c>
      <c r="B7281" s="4" t="s">
        <v>1</v>
      </c>
      <c r="C7281" s="4" t="s">
        <v>36</v>
      </c>
      <c r="D7281" s="4">
        <v>2012</v>
      </c>
      <c r="E7281" s="4">
        <v>3325.7563966135208</v>
      </c>
      <c r="F7281" s="4" t="s">
        <v>29</v>
      </c>
    </row>
    <row r="7282" spans="1:6" x14ac:dyDescent="0.25">
      <c r="A7282" s="4" t="s">
        <v>73</v>
      </c>
      <c r="B7282" s="4" t="s">
        <v>1</v>
      </c>
      <c r="C7282" s="4" t="s">
        <v>36</v>
      </c>
      <c r="D7282" s="4">
        <v>2013</v>
      </c>
      <c r="E7282" s="4">
        <v>3123.6676024065546</v>
      </c>
      <c r="F7282" s="4" t="s">
        <v>29</v>
      </c>
    </row>
    <row r="7283" spans="1:6" x14ac:dyDescent="0.25">
      <c r="A7283" s="4" t="s">
        <v>73</v>
      </c>
      <c r="B7283" s="4" t="s">
        <v>1</v>
      </c>
      <c r="C7283" s="4" t="s">
        <v>36</v>
      </c>
      <c r="D7283" s="4">
        <v>2014</v>
      </c>
      <c r="E7283" s="4">
        <v>3412.9239823348694</v>
      </c>
      <c r="F7283" s="4" t="s">
        <v>29</v>
      </c>
    </row>
    <row r="7284" spans="1:6" x14ac:dyDescent="0.25">
      <c r="A7284" s="4" t="s">
        <v>73</v>
      </c>
      <c r="B7284" s="4" t="s">
        <v>1</v>
      </c>
      <c r="C7284" s="4" t="s">
        <v>36</v>
      </c>
      <c r="D7284" s="4">
        <v>2015</v>
      </c>
      <c r="E7284" s="4">
        <v>3376.5470302099329</v>
      </c>
      <c r="F7284" s="4" t="s">
        <v>29</v>
      </c>
    </row>
    <row r="7285" spans="1:6" x14ac:dyDescent="0.25">
      <c r="A7285" s="4" t="s">
        <v>73</v>
      </c>
      <c r="B7285" s="4" t="s">
        <v>1</v>
      </c>
      <c r="C7285" s="4" t="s">
        <v>36</v>
      </c>
      <c r="D7285" s="4">
        <v>2016</v>
      </c>
      <c r="E7285" s="4">
        <v>3694.2616858237539</v>
      </c>
      <c r="F7285" s="4" t="s">
        <v>29</v>
      </c>
    </row>
    <row r="7286" spans="1:6" x14ac:dyDescent="0.25">
      <c r="A7286" s="4" t="s">
        <v>73</v>
      </c>
      <c r="B7286" s="4" t="s">
        <v>1</v>
      </c>
      <c r="C7286" s="4" t="s">
        <v>36</v>
      </c>
      <c r="D7286" s="4">
        <v>2017</v>
      </c>
      <c r="E7286" s="4">
        <v>3350.1810418182517</v>
      </c>
      <c r="F7286" s="4" t="s">
        <v>29</v>
      </c>
    </row>
    <row r="7287" spans="1:6" x14ac:dyDescent="0.25">
      <c r="A7287" s="4" t="s">
        <v>73</v>
      </c>
      <c r="B7287" s="4" t="s">
        <v>1</v>
      </c>
      <c r="C7287" s="4" t="s">
        <v>36</v>
      </c>
      <c r="D7287" s="4">
        <v>2018</v>
      </c>
      <c r="E7287" s="4">
        <v>3193.9120688736821</v>
      </c>
      <c r="F7287" s="4" t="s">
        <v>29</v>
      </c>
    </row>
    <row r="7288" spans="1:6" x14ac:dyDescent="0.25">
      <c r="A7288" s="4" t="s">
        <v>73</v>
      </c>
      <c r="B7288" s="4" t="s">
        <v>1</v>
      </c>
      <c r="C7288" s="4" t="s">
        <v>36</v>
      </c>
      <c r="D7288" s="4">
        <v>2019</v>
      </c>
      <c r="E7288" s="4">
        <v>3026.20074896492</v>
      </c>
      <c r="F7288" s="4" t="s">
        <v>29</v>
      </c>
    </row>
    <row r="7289" spans="1:6" x14ac:dyDescent="0.25">
      <c r="A7289" s="4" t="s">
        <v>73</v>
      </c>
      <c r="B7289" s="4" t="s">
        <v>1</v>
      </c>
      <c r="C7289" s="4" t="s">
        <v>36</v>
      </c>
      <c r="D7289" s="4">
        <v>2020</v>
      </c>
      <c r="E7289" s="4">
        <v>2828.0864701852011</v>
      </c>
      <c r="F7289" s="4" t="s">
        <v>29</v>
      </c>
    </row>
    <row r="7290" spans="1:6" x14ac:dyDescent="0.25">
      <c r="A7290" s="4" t="s">
        <v>73</v>
      </c>
      <c r="B7290" s="4" t="s">
        <v>1</v>
      </c>
      <c r="C7290" s="4" t="s">
        <v>36</v>
      </c>
      <c r="D7290" s="4">
        <v>2021</v>
      </c>
      <c r="E7290" s="4">
        <v>2686.0321054259798</v>
      </c>
      <c r="F7290" s="4" t="s">
        <v>29</v>
      </c>
    </row>
    <row r="7291" spans="1:6" x14ac:dyDescent="0.25">
      <c r="A7291" s="4" t="s">
        <v>73</v>
      </c>
      <c r="B7291" s="4" t="s">
        <v>1</v>
      </c>
      <c r="C7291" s="4" t="s">
        <v>36</v>
      </c>
      <c r="D7291" s="4">
        <v>2022</v>
      </c>
      <c r="E7291" s="4">
        <v>2590.677083100059</v>
      </c>
      <c r="F7291" s="4" t="s">
        <v>29</v>
      </c>
    </row>
    <row r="7292" spans="1:6" x14ac:dyDescent="0.25">
      <c r="A7292" s="4" t="s">
        <v>73</v>
      </c>
      <c r="B7292" s="4" t="s">
        <v>1</v>
      </c>
      <c r="C7292" s="4" t="s">
        <v>36</v>
      </c>
      <c r="D7292" s="4">
        <v>2023</v>
      </c>
      <c r="E7292" s="4">
        <v>2512.733916684309</v>
      </c>
      <c r="F7292" s="4" t="s">
        <v>29</v>
      </c>
    </row>
    <row r="7293" spans="1:6" x14ac:dyDescent="0.25">
      <c r="A7293" s="4" t="s">
        <v>73</v>
      </c>
      <c r="B7293" s="4" t="s">
        <v>1</v>
      </c>
      <c r="C7293" s="4" t="s">
        <v>36</v>
      </c>
      <c r="D7293" s="4">
        <v>2024</v>
      </c>
      <c r="E7293" s="4">
        <v>2456.1747882033064</v>
      </c>
      <c r="F7293" s="4" t="s">
        <v>29</v>
      </c>
    </row>
    <row r="7294" spans="1:6" x14ac:dyDescent="0.25">
      <c r="A7294" s="4" t="s">
        <v>73</v>
      </c>
      <c r="B7294" s="4" t="s">
        <v>1</v>
      </c>
      <c r="C7294" s="4" t="s">
        <v>36</v>
      </c>
      <c r="D7294" s="4">
        <v>2025</v>
      </c>
      <c r="E7294" s="4">
        <v>2436.4262705389806</v>
      </c>
      <c r="F7294" s="4" t="s">
        <v>29</v>
      </c>
    </row>
    <row r="7295" spans="1:6" x14ac:dyDescent="0.25">
      <c r="A7295" s="4" t="s">
        <v>73</v>
      </c>
      <c r="B7295" s="4" t="s">
        <v>1</v>
      </c>
      <c r="C7295" s="4" t="s">
        <v>36</v>
      </c>
      <c r="D7295" s="4">
        <v>2026</v>
      </c>
      <c r="E7295" s="4">
        <v>2423.5557367128808</v>
      </c>
      <c r="F7295" s="4" t="s">
        <v>29</v>
      </c>
    </row>
    <row r="7296" spans="1:6" x14ac:dyDescent="0.25">
      <c r="A7296" s="4" t="s">
        <v>73</v>
      </c>
      <c r="B7296" s="4" t="s">
        <v>1</v>
      </c>
      <c r="C7296" s="4" t="s">
        <v>36</v>
      </c>
      <c r="D7296" s="4">
        <v>2027</v>
      </c>
      <c r="E7296" s="4">
        <v>2424.5033014658779</v>
      </c>
      <c r="F7296" s="4" t="s">
        <v>29</v>
      </c>
    </row>
    <row r="7297" spans="1:6" x14ac:dyDescent="0.25">
      <c r="A7297" s="4" t="s">
        <v>73</v>
      </c>
      <c r="B7297" s="4" t="s">
        <v>1</v>
      </c>
      <c r="C7297" s="4" t="s">
        <v>36</v>
      </c>
      <c r="D7297" s="4">
        <v>2028</v>
      </c>
      <c r="E7297" s="4">
        <v>2437.4741220141204</v>
      </c>
      <c r="F7297" s="4" t="s">
        <v>29</v>
      </c>
    </row>
    <row r="7298" spans="1:6" x14ac:dyDescent="0.25">
      <c r="A7298" s="4" t="s">
        <v>73</v>
      </c>
      <c r="B7298" s="4" t="s">
        <v>1</v>
      </c>
      <c r="C7298" s="4" t="s">
        <v>36</v>
      </c>
      <c r="D7298" s="4">
        <v>2029</v>
      </c>
      <c r="E7298" s="4">
        <v>2456.9245468375434</v>
      </c>
      <c r="F7298" s="4" t="s">
        <v>29</v>
      </c>
    </row>
    <row r="7299" spans="1:6" x14ac:dyDescent="0.25">
      <c r="A7299" s="4" t="s">
        <v>73</v>
      </c>
      <c r="B7299" s="4" t="s">
        <v>1</v>
      </c>
      <c r="C7299" s="4" t="s">
        <v>36</v>
      </c>
      <c r="D7299" s="4">
        <v>2030</v>
      </c>
      <c r="E7299" s="4">
        <v>2480.0603036060447</v>
      </c>
      <c r="F7299" s="4" t="s">
        <v>29</v>
      </c>
    </row>
    <row r="7300" spans="1:6" x14ac:dyDescent="0.25">
      <c r="A7300" s="4" t="s">
        <v>73</v>
      </c>
      <c r="B7300" s="4" t="s">
        <v>1</v>
      </c>
      <c r="C7300" s="4" t="s">
        <v>36</v>
      </c>
      <c r="D7300" s="4">
        <v>2031</v>
      </c>
      <c r="E7300" s="4">
        <v>2506.8494394327636</v>
      </c>
      <c r="F7300" s="4" t="s">
        <v>29</v>
      </c>
    </row>
    <row r="7301" spans="1:6" x14ac:dyDescent="0.25">
      <c r="A7301" s="4" t="s">
        <v>73</v>
      </c>
      <c r="B7301" s="4" t="s">
        <v>1</v>
      </c>
      <c r="C7301" s="4" t="s">
        <v>36</v>
      </c>
      <c r="D7301" s="4">
        <v>2032</v>
      </c>
      <c r="E7301" s="4">
        <v>2539.1167733329917</v>
      </c>
      <c r="F7301" s="4" t="s">
        <v>29</v>
      </c>
    </row>
    <row r="7302" spans="1:6" x14ac:dyDescent="0.25">
      <c r="A7302" s="4" t="s">
        <v>73</v>
      </c>
      <c r="B7302" s="4" t="s">
        <v>1</v>
      </c>
      <c r="C7302" s="4" t="s">
        <v>36</v>
      </c>
      <c r="D7302" s="4">
        <v>2033</v>
      </c>
      <c r="E7302" s="4">
        <v>2576.661815193444</v>
      </c>
      <c r="F7302" s="4" t="s">
        <v>29</v>
      </c>
    </row>
    <row r="7303" spans="1:6" x14ac:dyDescent="0.25">
      <c r="A7303" s="4" t="s">
        <v>73</v>
      </c>
      <c r="B7303" s="4" t="s">
        <v>1</v>
      </c>
      <c r="C7303" s="4" t="s">
        <v>36</v>
      </c>
      <c r="D7303" s="4">
        <v>2034</v>
      </c>
      <c r="E7303" s="4">
        <v>2619.2996327092487</v>
      </c>
      <c r="F7303" s="4" t="s">
        <v>29</v>
      </c>
    </row>
    <row r="7304" spans="1:6" x14ac:dyDescent="0.25">
      <c r="A7304" s="4" t="s">
        <v>73</v>
      </c>
      <c r="B7304" s="4" t="s">
        <v>1</v>
      </c>
      <c r="C7304" s="4" t="s">
        <v>36</v>
      </c>
      <c r="D7304" s="4">
        <v>2035</v>
      </c>
      <c r="E7304" s="4">
        <v>2662.1254374370105</v>
      </c>
      <c r="F7304" s="4" t="s">
        <v>29</v>
      </c>
    </row>
    <row r="7305" spans="1:6" x14ac:dyDescent="0.25">
      <c r="A7305" s="4" t="s">
        <v>73</v>
      </c>
      <c r="B7305" s="4" t="s">
        <v>1</v>
      </c>
      <c r="C7305" s="4" t="s">
        <v>36</v>
      </c>
      <c r="D7305" s="4">
        <v>2036</v>
      </c>
      <c r="E7305" s="4">
        <v>2705.3632685516</v>
      </c>
      <c r="F7305" s="4" t="s">
        <v>29</v>
      </c>
    </row>
    <row r="7306" spans="1:6" x14ac:dyDescent="0.25">
      <c r="A7306" s="4" t="s">
        <v>73</v>
      </c>
      <c r="B7306" s="4" t="s">
        <v>1</v>
      </c>
      <c r="C7306" s="4" t="s">
        <v>36</v>
      </c>
      <c r="D7306" s="4">
        <v>2037</v>
      </c>
      <c r="E7306" s="4">
        <v>2756.5310061145101</v>
      </c>
      <c r="F7306" s="4" t="s">
        <v>29</v>
      </c>
    </row>
    <row r="7307" spans="1:6" x14ac:dyDescent="0.25">
      <c r="A7307" s="4" t="s">
        <v>73</v>
      </c>
      <c r="B7307" s="4" t="s">
        <v>1</v>
      </c>
      <c r="C7307" s="4" t="s">
        <v>36</v>
      </c>
      <c r="D7307" s="4">
        <v>2038</v>
      </c>
      <c r="E7307" s="4">
        <v>2811.8507638519154</v>
      </c>
      <c r="F7307" s="4" t="s">
        <v>29</v>
      </c>
    </row>
    <row r="7308" spans="1:6" x14ac:dyDescent="0.25">
      <c r="A7308" s="4" t="s">
        <v>73</v>
      </c>
      <c r="B7308" s="4" t="s">
        <v>1</v>
      </c>
      <c r="C7308" s="4" t="s">
        <v>36</v>
      </c>
      <c r="D7308" s="4">
        <v>2039</v>
      </c>
      <c r="E7308" s="4">
        <v>2870.650783883073</v>
      </c>
      <c r="F7308" s="4" t="s">
        <v>29</v>
      </c>
    </row>
    <row r="7309" spans="1:6" x14ac:dyDescent="0.25">
      <c r="A7309" s="4" t="s">
        <v>73</v>
      </c>
      <c r="B7309" s="4" t="s">
        <v>1</v>
      </c>
      <c r="C7309" s="4" t="s">
        <v>36</v>
      </c>
      <c r="D7309" s="4">
        <v>2040</v>
      </c>
      <c r="E7309" s="4">
        <v>2933.91598690812</v>
      </c>
      <c r="F7309" s="4" t="s">
        <v>29</v>
      </c>
    </row>
    <row r="7310" spans="1:6" x14ac:dyDescent="0.25">
      <c r="A7310" s="4" t="s">
        <v>73</v>
      </c>
      <c r="B7310" s="4" t="s">
        <v>2</v>
      </c>
      <c r="C7310" s="4" t="s">
        <v>36</v>
      </c>
      <c r="D7310" s="4">
        <v>2005</v>
      </c>
      <c r="E7310" s="4">
        <v>0</v>
      </c>
      <c r="F7310" s="4" t="s">
        <v>29</v>
      </c>
    </row>
    <row r="7311" spans="1:6" x14ac:dyDescent="0.25">
      <c r="A7311" s="4" t="s">
        <v>73</v>
      </c>
      <c r="B7311" s="4" t="s">
        <v>2</v>
      </c>
      <c r="C7311" s="4" t="s">
        <v>36</v>
      </c>
      <c r="D7311" s="4">
        <v>2006</v>
      </c>
      <c r="E7311" s="4">
        <v>0</v>
      </c>
      <c r="F7311" s="4" t="s">
        <v>29</v>
      </c>
    </row>
    <row r="7312" spans="1:6" x14ac:dyDescent="0.25">
      <c r="A7312" s="4" t="s">
        <v>73</v>
      </c>
      <c r="B7312" s="4" t="s">
        <v>2</v>
      </c>
      <c r="C7312" s="4" t="s">
        <v>36</v>
      </c>
      <c r="D7312" s="4">
        <v>2007</v>
      </c>
      <c r="E7312" s="4">
        <v>0</v>
      </c>
      <c r="F7312" s="4" t="s">
        <v>29</v>
      </c>
    </row>
    <row r="7313" spans="1:6" x14ac:dyDescent="0.25">
      <c r="A7313" s="4" t="s">
        <v>73</v>
      </c>
      <c r="B7313" s="4" t="s">
        <v>2</v>
      </c>
      <c r="C7313" s="4" t="s">
        <v>36</v>
      </c>
      <c r="D7313" s="4">
        <v>2008</v>
      </c>
      <c r="E7313" s="4">
        <v>0</v>
      </c>
      <c r="F7313" s="4" t="s">
        <v>29</v>
      </c>
    </row>
    <row r="7314" spans="1:6" x14ac:dyDescent="0.25">
      <c r="A7314" s="4" t="s">
        <v>73</v>
      </c>
      <c r="B7314" s="4" t="s">
        <v>2</v>
      </c>
      <c r="C7314" s="4" t="s">
        <v>36</v>
      </c>
      <c r="D7314" s="4">
        <v>2009</v>
      </c>
      <c r="E7314" s="4">
        <v>0</v>
      </c>
      <c r="F7314" s="4" t="s">
        <v>29</v>
      </c>
    </row>
    <row r="7315" spans="1:6" x14ac:dyDescent="0.25">
      <c r="A7315" s="4" t="s">
        <v>73</v>
      </c>
      <c r="B7315" s="4" t="s">
        <v>2</v>
      </c>
      <c r="C7315" s="4" t="s">
        <v>36</v>
      </c>
      <c r="D7315" s="4">
        <v>2010</v>
      </c>
      <c r="E7315" s="4">
        <v>0</v>
      </c>
      <c r="F7315" s="4" t="s">
        <v>29</v>
      </c>
    </row>
    <row r="7316" spans="1:6" x14ac:dyDescent="0.25">
      <c r="A7316" s="4" t="s">
        <v>73</v>
      </c>
      <c r="B7316" s="4" t="s">
        <v>2</v>
      </c>
      <c r="C7316" s="4" t="s">
        <v>36</v>
      </c>
      <c r="D7316" s="4">
        <v>2011</v>
      </c>
      <c r="E7316" s="4">
        <v>0</v>
      </c>
      <c r="F7316" s="4" t="s">
        <v>29</v>
      </c>
    </row>
    <row r="7317" spans="1:6" x14ac:dyDescent="0.25">
      <c r="A7317" s="4" t="s">
        <v>73</v>
      </c>
      <c r="B7317" s="4" t="s">
        <v>2</v>
      </c>
      <c r="C7317" s="4" t="s">
        <v>36</v>
      </c>
      <c r="D7317" s="4">
        <v>2012</v>
      </c>
      <c r="E7317" s="4">
        <v>0</v>
      </c>
      <c r="F7317" s="4" t="s">
        <v>29</v>
      </c>
    </row>
    <row r="7318" spans="1:6" x14ac:dyDescent="0.25">
      <c r="A7318" s="4" t="s">
        <v>73</v>
      </c>
      <c r="B7318" s="4" t="s">
        <v>2</v>
      </c>
      <c r="C7318" s="4" t="s">
        <v>36</v>
      </c>
      <c r="D7318" s="4">
        <v>2013</v>
      </c>
      <c r="E7318" s="4">
        <v>0</v>
      </c>
      <c r="F7318" s="4" t="s">
        <v>29</v>
      </c>
    </row>
    <row r="7319" spans="1:6" x14ac:dyDescent="0.25">
      <c r="A7319" s="4" t="s">
        <v>73</v>
      </c>
      <c r="B7319" s="4" t="s">
        <v>2</v>
      </c>
      <c r="C7319" s="4" t="s">
        <v>36</v>
      </c>
      <c r="D7319" s="4">
        <v>2014</v>
      </c>
      <c r="E7319" s="4">
        <v>0</v>
      </c>
      <c r="F7319" s="4" t="s">
        <v>29</v>
      </c>
    </row>
    <row r="7320" spans="1:6" x14ac:dyDescent="0.25">
      <c r="A7320" s="4" t="s">
        <v>73</v>
      </c>
      <c r="B7320" s="4" t="s">
        <v>2</v>
      </c>
      <c r="C7320" s="4" t="s">
        <v>36</v>
      </c>
      <c r="D7320" s="4">
        <v>2015</v>
      </c>
      <c r="E7320" s="4">
        <v>0</v>
      </c>
      <c r="F7320" s="4" t="s">
        <v>29</v>
      </c>
    </row>
    <row r="7321" spans="1:6" x14ac:dyDescent="0.25">
      <c r="A7321" s="4" t="s">
        <v>73</v>
      </c>
      <c r="B7321" s="4" t="s">
        <v>2</v>
      </c>
      <c r="C7321" s="4" t="s">
        <v>36</v>
      </c>
      <c r="D7321" s="4">
        <v>2016</v>
      </c>
      <c r="E7321" s="4">
        <v>0</v>
      </c>
      <c r="F7321" s="4" t="s">
        <v>29</v>
      </c>
    </row>
    <row r="7322" spans="1:6" x14ac:dyDescent="0.25">
      <c r="A7322" s="4" t="s">
        <v>73</v>
      </c>
      <c r="B7322" s="4" t="s">
        <v>2</v>
      </c>
      <c r="C7322" s="4" t="s">
        <v>36</v>
      </c>
      <c r="D7322" s="4">
        <v>2017</v>
      </c>
      <c r="E7322" s="4">
        <v>0</v>
      </c>
      <c r="F7322" s="4" t="s">
        <v>29</v>
      </c>
    </row>
    <row r="7323" spans="1:6" x14ac:dyDescent="0.25">
      <c r="A7323" s="4" t="s">
        <v>73</v>
      </c>
      <c r="B7323" s="4" t="s">
        <v>2</v>
      </c>
      <c r="C7323" s="4" t="s">
        <v>36</v>
      </c>
      <c r="D7323" s="4">
        <v>2018</v>
      </c>
      <c r="E7323" s="4">
        <v>0</v>
      </c>
      <c r="F7323" s="4" t="s">
        <v>29</v>
      </c>
    </row>
    <row r="7324" spans="1:6" x14ac:dyDescent="0.25">
      <c r="A7324" s="4" t="s">
        <v>73</v>
      </c>
      <c r="B7324" s="4" t="s">
        <v>2</v>
      </c>
      <c r="C7324" s="4" t="s">
        <v>36</v>
      </c>
      <c r="D7324" s="4">
        <v>2019</v>
      </c>
      <c r="E7324" s="4">
        <v>0</v>
      </c>
      <c r="F7324" s="4" t="s">
        <v>29</v>
      </c>
    </row>
    <row r="7325" spans="1:6" x14ac:dyDescent="0.25">
      <c r="A7325" s="4" t="s">
        <v>73</v>
      </c>
      <c r="B7325" s="4" t="s">
        <v>2</v>
      </c>
      <c r="C7325" s="4" t="s">
        <v>36</v>
      </c>
      <c r="D7325" s="4">
        <v>2020</v>
      </c>
      <c r="E7325" s="4">
        <v>0</v>
      </c>
      <c r="F7325" s="4" t="s">
        <v>29</v>
      </c>
    </row>
    <row r="7326" spans="1:6" x14ac:dyDescent="0.25">
      <c r="A7326" s="4" t="s">
        <v>73</v>
      </c>
      <c r="B7326" s="4" t="s">
        <v>2</v>
      </c>
      <c r="C7326" s="4" t="s">
        <v>36</v>
      </c>
      <c r="D7326" s="4">
        <v>2021</v>
      </c>
      <c r="E7326" s="4">
        <v>0</v>
      </c>
      <c r="F7326" s="4" t="s">
        <v>29</v>
      </c>
    </row>
    <row r="7327" spans="1:6" x14ac:dyDescent="0.25">
      <c r="A7327" s="4" t="s">
        <v>73</v>
      </c>
      <c r="B7327" s="4" t="s">
        <v>2</v>
      </c>
      <c r="C7327" s="4" t="s">
        <v>36</v>
      </c>
      <c r="D7327" s="4">
        <v>2022</v>
      </c>
      <c r="E7327" s="4">
        <v>0</v>
      </c>
      <c r="F7327" s="4" t="s">
        <v>29</v>
      </c>
    </row>
    <row r="7328" spans="1:6" x14ac:dyDescent="0.25">
      <c r="A7328" s="4" t="s">
        <v>73</v>
      </c>
      <c r="B7328" s="4" t="s">
        <v>2</v>
      </c>
      <c r="C7328" s="4" t="s">
        <v>36</v>
      </c>
      <c r="D7328" s="4">
        <v>2023</v>
      </c>
      <c r="E7328" s="4">
        <v>0</v>
      </c>
      <c r="F7328" s="4" t="s">
        <v>29</v>
      </c>
    </row>
    <row r="7329" spans="1:6" x14ac:dyDescent="0.25">
      <c r="A7329" s="4" t="s">
        <v>73</v>
      </c>
      <c r="B7329" s="4" t="s">
        <v>2</v>
      </c>
      <c r="C7329" s="4" t="s">
        <v>36</v>
      </c>
      <c r="D7329" s="4">
        <v>2024</v>
      </c>
      <c r="E7329" s="4">
        <v>0</v>
      </c>
      <c r="F7329" s="4" t="s">
        <v>29</v>
      </c>
    </row>
    <row r="7330" spans="1:6" x14ac:dyDescent="0.25">
      <c r="A7330" s="4" t="s">
        <v>73</v>
      </c>
      <c r="B7330" s="4" t="s">
        <v>2</v>
      </c>
      <c r="C7330" s="4" t="s">
        <v>36</v>
      </c>
      <c r="D7330" s="4">
        <v>2025</v>
      </c>
      <c r="E7330" s="4">
        <v>0</v>
      </c>
      <c r="F7330" s="4" t="s">
        <v>29</v>
      </c>
    </row>
    <row r="7331" spans="1:6" x14ac:dyDescent="0.25">
      <c r="A7331" s="4" t="s">
        <v>73</v>
      </c>
      <c r="B7331" s="4" t="s">
        <v>2</v>
      </c>
      <c r="C7331" s="4" t="s">
        <v>36</v>
      </c>
      <c r="D7331" s="4">
        <v>2026</v>
      </c>
      <c r="E7331" s="4">
        <v>0</v>
      </c>
      <c r="F7331" s="4" t="s">
        <v>29</v>
      </c>
    </row>
    <row r="7332" spans="1:6" x14ac:dyDescent="0.25">
      <c r="A7332" s="4" t="s">
        <v>73</v>
      </c>
      <c r="B7332" s="4" t="s">
        <v>2</v>
      </c>
      <c r="C7332" s="4" t="s">
        <v>36</v>
      </c>
      <c r="D7332" s="4">
        <v>2027</v>
      </c>
      <c r="E7332" s="4">
        <v>0</v>
      </c>
      <c r="F7332" s="4" t="s">
        <v>29</v>
      </c>
    </row>
    <row r="7333" spans="1:6" x14ac:dyDescent="0.25">
      <c r="A7333" s="4" t="s">
        <v>73</v>
      </c>
      <c r="B7333" s="4" t="s">
        <v>2</v>
      </c>
      <c r="C7333" s="4" t="s">
        <v>36</v>
      </c>
      <c r="D7333" s="4">
        <v>2028</v>
      </c>
      <c r="E7333" s="4">
        <v>0</v>
      </c>
      <c r="F7333" s="4" t="s">
        <v>29</v>
      </c>
    </row>
    <row r="7334" spans="1:6" x14ac:dyDescent="0.25">
      <c r="A7334" s="4" t="s">
        <v>73</v>
      </c>
      <c r="B7334" s="4" t="s">
        <v>2</v>
      </c>
      <c r="C7334" s="4" t="s">
        <v>36</v>
      </c>
      <c r="D7334" s="4">
        <v>2029</v>
      </c>
      <c r="E7334" s="4">
        <v>0</v>
      </c>
      <c r="F7334" s="4" t="s">
        <v>29</v>
      </c>
    </row>
    <row r="7335" spans="1:6" x14ac:dyDescent="0.25">
      <c r="A7335" s="4" t="s">
        <v>73</v>
      </c>
      <c r="B7335" s="4" t="s">
        <v>2</v>
      </c>
      <c r="C7335" s="4" t="s">
        <v>36</v>
      </c>
      <c r="D7335" s="4">
        <v>2030</v>
      </c>
      <c r="E7335" s="4">
        <v>0</v>
      </c>
      <c r="F7335" s="4" t="s">
        <v>29</v>
      </c>
    </row>
    <row r="7336" spans="1:6" x14ac:dyDescent="0.25">
      <c r="A7336" s="4" t="s">
        <v>73</v>
      </c>
      <c r="B7336" s="4" t="s">
        <v>2</v>
      </c>
      <c r="C7336" s="4" t="s">
        <v>36</v>
      </c>
      <c r="D7336" s="4">
        <v>2031</v>
      </c>
      <c r="E7336" s="4">
        <v>0</v>
      </c>
      <c r="F7336" s="4" t="s">
        <v>29</v>
      </c>
    </row>
    <row r="7337" spans="1:6" x14ac:dyDescent="0.25">
      <c r="A7337" s="4" t="s">
        <v>73</v>
      </c>
      <c r="B7337" s="4" t="s">
        <v>2</v>
      </c>
      <c r="C7337" s="4" t="s">
        <v>36</v>
      </c>
      <c r="D7337" s="4">
        <v>2032</v>
      </c>
      <c r="E7337" s="4">
        <v>0</v>
      </c>
      <c r="F7337" s="4" t="s">
        <v>29</v>
      </c>
    </row>
    <row r="7338" spans="1:6" x14ac:dyDescent="0.25">
      <c r="A7338" s="4" t="s">
        <v>73</v>
      </c>
      <c r="B7338" s="4" t="s">
        <v>2</v>
      </c>
      <c r="C7338" s="4" t="s">
        <v>36</v>
      </c>
      <c r="D7338" s="4">
        <v>2033</v>
      </c>
      <c r="E7338" s="4">
        <v>0</v>
      </c>
      <c r="F7338" s="4" t="s">
        <v>29</v>
      </c>
    </row>
    <row r="7339" spans="1:6" x14ac:dyDescent="0.25">
      <c r="A7339" s="4" t="s">
        <v>73</v>
      </c>
      <c r="B7339" s="4" t="s">
        <v>2</v>
      </c>
      <c r="C7339" s="4" t="s">
        <v>36</v>
      </c>
      <c r="D7339" s="4">
        <v>2034</v>
      </c>
      <c r="E7339" s="4">
        <v>0</v>
      </c>
      <c r="F7339" s="4" t="s">
        <v>29</v>
      </c>
    </row>
    <row r="7340" spans="1:6" x14ac:dyDescent="0.25">
      <c r="A7340" s="4" t="s">
        <v>73</v>
      </c>
      <c r="B7340" s="4" t="s">
        <v>2</v>
      </c>
      <c r="C7340" s="4" t="s">
        <v>36</v>
      </c>
      <c r="D7340" s="4">
        <v>2035</v>
      </c>
      <c r="E7340" s="4">
        <v>0</v>
      </c>
      <c r="F7340" s="4" t="s">
        <v>29</v>
      </c>
    </row>
    <row r="7341" spans="1:6" x14ac:dyDescent="0.25">
      <c r="A7341" s="4" t="s">
        <v>73</v>
      </c>
      <c r="B7341" s="4" t="s">
        <v>2</v>
      </c>
      <c r="C7341" s="4" t="s">
        <v>36</v>
      </c>
      <c r="D7341" s="4">
        <v>2036</v>
      </c>
      <c r="E7341" s="4">
        <v>0</v>
      </c>
      <c r="F7341" s="4" t="s">
        <v>29</v>
      </c>
    </row>
    <row r="7342" spans="1:6" x14ac:dyDescent="0.25">
      <c r="A7342" s="4" t="s">
        <v>73</v>
      </c>
      <c r="B7342" s="4" t="s">
        <v>2</v>
      </c>
      <c r="C7342" s="4" t="s">
        <v>36</v>
      </c>
      <c r="D7342" s="4">
        <v>2037</v>
      </c>
      <c r="E7342" s="4">
        <v>0</v>
      </c>
      <c r="F7342" s="4" t="s">
        <v>29</v>
      </c>
    </row>
    <row r="7343" spans="1:6" x14ac:dyDescent="0.25">
      <c r="A7343" s="4" t="s">
        <v>73</v>
      </c>
      <c r="B7343" s="4" t="s">
        <v>2</v>
      </c>
      <c r="C7343" s="4" t="s">
        <v>36</v>
      </c>
      <c r="D7343" s="4">
        <v>2038</v>
      </c>
      <c r="E7343" s="4">
        <v>0</v>
      </c>
      <c r="F7343" s="4" t="s">
        <v>29</v>
      </c>
    </row>
    <row r="7344" spans="1:6" x14ac:dyDescent="0.25">
      <c r="A7344" s="4" t="s">
        <v>73</v>
      </c>
      <c r="B7344" s="4" t="s">
        <v>2</v>
      </c>
      <c r="C7344" s="4" t="s">
        <v>36</v>
      </c>
      <c r="D7344" s="4">
        <v>2039</v>
      </c>
      <c r="E7344" s="4">
        <v>0</v>
      </c>
      <c r="F7344" s="4" t="s">
        <v>29</v>
      </c>
    </row>
    <row r="7345" spans="1:6" x14ac:dyDescent="0.25">
      <c r="A7345" s="4" t="s">
        <v>73</v>
      </c>
      <c r="B7345" s="4" t="s">
        <v>2</v>
      </c>
      <c r="C7345" s="4" t="s">
        <v>36</v>
      </c>
      <c r="D7345" s="4">
        <v>2040</v>
      </c>
      <c r="E7345" s="4">
        <v>0</v>
      </c>
      <c r="F7345" s="4" t="s">
        <v>29</v>
      </c>
    </row>
    <row r="7346" spans="1:6" x14ac:dyDescent="0.25">
      <c r="A7346" s="4" t="s">
        <v>73</v>
      </c>
      <c r="B7346" s="4" t="s">
        <v>3</v>
      </c>
      <c r="C7346" s="4" t="s">
        <v>36</v>
      </c>
      <c r="D7346" s="4">
        <v>2005</v>
      </c>
      <c r="E7346" s="4">
        <v>1430</v>
      </c>
      <c r="F7346" s="4" t="s">
        <v>29</v>
      </c>
    </row>
    <row r="7347" spans="1:6" x14ac:dyDescent="0.25">
      <c r="A7347" s="4" t="s">
        <v>73</v>
      </c>
      <c r="B7347" s="4" t="s">
        <v>3</v>
      </c>
      <c r="C7347" s="4" t="s">
        <v>36</v>
      </c>
      <c r="D7347" s="4">
        <v>2006</v>
      </c>
      <c r="E7347" s="4">
        <v>1450</v>
      </c>
      <c r="F7347" s="4" t="s">
        <v>29</v>
      </c>
    </row>
    <row r="7348" spans="1:6" x14ac:dyDescent="0.25">
      <c r="A7348" s="4" t="s">
        <v>73</v>
      </c>
      <c r="B7348" s="4" t="s">
        <v>3</v>
      </c>
      <c r="C7348" s="4" t="s">
        <v>36</v>
      </c>
      <c r="D7348" s="4">
        <v>2007</v>
      </c>
      <c r="E7348" s="4">
        <v>1290</v>
      </c>
      <c r="F7348" s="4" t="s">
        <v>29</v>
      </c>
    </row>
    <row r="7349" spans="1:6" x14ac:dyDescent="0.25">
      <c r="A7349" s="4" t="s">
        <v>73</v>
      </c>
      <c r="B7349" s="4" t="s">
        <v>3</v>
      </c>
      <c r="C7349" s="4" t="s">
        <v>36</v>
      </c>
      <c r="D7349" s="4">
        <v>2008</v>
      </c>
      <c r="E7349" s="4">
        <v>1170</v>
      </c>
      <c r="F7349" s="4" t="s">
        <v>29</v>
      </c>
    </row>
    <row r="7350" spans="1:6" x14ac:dyDescent="0.25">
      <c r="A7350" s="4" t="s">
        <v>73</v>
      </c>
      <c r="B7350" s="4" t="s">
        <v>3</v>
      </c>
      <c r="C7350" s="4" t="s">
        <v>36</v>
      </c>
      <c r="D7350" s="4">
        <v>2009</v>
      </c>
      <c r="E7350" s="4">
        <v>1260</v>
      </c>
      <c r="F7350" s="4" t="s">
        <v>29</v>
      </c>
    </row>
    <row r="7351" spans="1:6" x14ac:dyDescent="0.25">
      <c r="A7351" s="4" t="s">
        <v>73</v>
      </c>
      <c r="B7351" s="4" t="s">
        <v>3</v>
      </c>
      <c r="C7351" s="4" t="s">
        <v>36</v>
      </c>
      <c r="D7351" s="4">
        <v>2010</v>
      </c>
      <c r="E7351" s="4">
        <v>1420</v>
      </c>
      <c r="F7351" s="4" t="s">
        <v>29</v>
      </c>
    </row>
    <row r="7352" spans="1:6" x14ac:dyDescent="0.25">
      <c r="A7352" s="4" t="s">
        <v>73</v>
      </c>
      <c r="B7352" s="4" t="s">
        <v>3</v>
      </c>
      <c r="C7352" s="4" t="s">
        <v>36</v>
      </c>
      <c r="D7352" s="4">
        <v>2011</v>
      </c>
      <c r="E7352" s="4">
        <v>1780</v>
      </c>
      <c r="F7352" s="4" t="s">
        <v>29</v>
      </c>
    </row>
    <row r="7353" spans="1:6" x14ac:dyDescent="0.25">
      <c r="A7353" s="4" t="s">
        <v>73</v>
      </c>
      <c r="B7353" s="4" t="s">
        <v>3</v>
      </c>
      <c r="C7353" s="4" t="s">
        <v>36</v>
      </c>
      <c r="D7353" s="4">
        <v>2012</v>
      </c>
      <c r="E7353" s="4">
        <v>2029.9999999999998</v>
      </c>
      <c r="F7353" s="4" t="s">
        <v>29</v>
      </c>
    </row>
    <row r="7354" spans="1:6" x14ac:dyDescent="0.25">
      <c r="A7354" s="4" t="s">
        <v>73</v>
      </c>
      <c r="B7354" s="4" t="s">
        <v>3</v>
      </c>
      <c r="C7354" s="4" t="s">
        <v>36</v>
      </c>
      <c r="D7354" s="4">
        <v>2013</v>
      </c>
      <c r="E7354" s="4">
        <v>2460</v>
      </c>
      <c r="F7354" s="4" t="s">
        <v>29</v>
      </c>
    </row>
    <row r="7355" spans="1:6" x14ac:dyDescent="0.25">
      <c r="A7355" s="4" t="s">
        <v>73</v>
      </c>
      <c r="B7355" s="4" t="s">
        <v>3</v>
      </c>
      <c r="C7355" s="4" t="s">
        <v>36</v>
      </c>
      <c r="D7355" s="4">
        <v>2014</v>
      </c>
      <c r="E7355" s="4">
        <v>3010</v>
      </c>
      <c r="F7355" s="4" t="s">
        <v>29</v>
      </c>
    </row>
    <row r="7356" spans="1:6" x14ac:dyDescent="0.25">
      <c r="A7356" s="4" t="s">
        <v>73</v>
      </c>
      <c r="B7356" s="4" t="s">
        <v>3</v>
      </c>
      <c r="C7356" s="4" t="s">
        <v>36</v>
      </c>
      <c r="D7356" s="4">
        <v>2015</v>
      </c>
      <c r="E7356" s="4">
        <v>3470</v>
      </c>
      <c r="F7356" s="4" t="s">
        <v>29</v>
      </c>
    </row>
    <row r="7357" spans="1:6" x14ac:dyDescent="0.25">
      <c r="A7357" s="4" t="s">
        <v>73</v>
      </c>
      <c r="B7357" s="4" t="s">
        <v>3</v>
      </c>
      <c r="C7357" s="4" t="s">
        <v>36</v>
      </c>
      <c r="D7357" s="4">
        <v>2016</v>
      </c>
      <c r="E7357" s="4">
        <v>4181.2090410958917</v>
      </c>
      <c r="F7357" s="4" t="s">
        <v>29</v>
      </c>
    </row>
    <row r="7358" spans="1:6" x14ac:dyDescent="0.25">
      <c r="A7358" s="4" t="s">
        <v>73</v>
      </c>
      <c r="B7358" s="4" t="s">
        <v>3</v>
      </c>
      <c r="C7358" s="4" t="s">
        <v>36</v>
      </c>
      <c r="D7358" s="4">
        <v>2017</v>
      </c>
      <c r="E7358" s="4">
        <v>5720.4719178082196</v>
      </c>
      <c r="F7358" s="4" t="s">
        <v>29</v>
      </c>
    </row>
    <row r="7359" spans="1:6" x14ac:dyDescent="0.25">
      <c r="A7359" s="4" t="s">
        <v>73</v>
      </c>
      <c r="B7359" s="4" t="s">
        <v>3</v>
      </c>
      <c r="C7359" s="4" t="s">
        <v>36</v>
      </c>
      <c r="D7359" s="4">
        <v>2018</v>
      </c>
      <c r="E7359" s="4">
        <v>6171.8127176489343</v>
      </c>
      <c r="F7359" s="4" t="s">
        <v>29</v>
      </c>
    </row>
    <row r="7360" spans="1:6" x14ac:dyDescent="0.25">
      <c r="A7360" s="4" t="s">
        <v>73</v>
      </c>
      <c r="B7360" s="4" t="s">
        <v>3</v>
      </c>
      <c r="C7360" s="4" t="s">
        <v>36</v>
      </c>
      <c r="D7360" s="4">
        <v>2019</v>
      </c>
      <c r="E7360" s="4">
        <v>6185.7098534800916</v>
      </c>
      <c r="F7360" s="4" t="s">
        <v>29</v>
      </c>
    </row>
    <row r="7361" spans="1:6" x14ac:dyDescent="0.25">
      <c r="A7361" s="4" t="s">
        <v>73</v>
      </c>
      <c r="B7361" s="4" t="s">
        <v>3</v>
      </c>
      <c r="C7361" s="4" t="s">
        <v>36</v>
      </c>
      <c r="D7361" s="4">
        <v>2020</v>
      </c>
      <c r="E7361" s="4">
        <v>6217.5431242053746</v>
      </c>
      <c r="F7361" s="4" t="s">
        <v>29</v>
      </c>
    </row>
    <row r="7362" spans="1:6" x14ac:dyDescent="0.25">
      <c r="A7362" s="4" t="s">
        <v>73</v>
      </c>
      <c r="B7362" s="4" t="s">
        <v>3</v>
      </c>
      <c r="C7362" s="4" t="s">
        <v>36</v>
      </c>
      <c r="D7362" s="4">
        <v>2021</v>
      </c>
      <c r="E7362" s="4">
        <v>6287.6291813833268</v>
      </c>
      <c r="F7362" s="4" t="s">
        <v>29</v>
      </c>
    </row>
    <row r="7363" spans="1:6" x14ac:dyDescent="0.25">
      <c r="A7363" s="4" t="s">
        <v>73</v>
      </c>
      <c r="B7363" s="4" t="s">
        <v>3</v>
      </c>
      <c r="C7363" s="4" t="s">
        <v>36</v>
      </c>
      <c r="D7363" s="4">
        <v>2022</v>
      </c>
      <c r="E7363" s="4">
        <v>6377.1379138480197</v>
      </c>
      <c r="F7363" s="4" t="s">
        <v>29</v>
      </c>
    </row>
    <row r="7364" spans="1:6" x14ac:dyDescent="0.25">
      <c r="A7364" s="4" t="s">
        <v>73</v>
      </c>
      <c r="B7364" s="4" t="s">
        <v>3</v>
      </c>
      <c r="C7364" s="4" t="s">
        <v>36</v>
      </c>
      <c r="D7364" s="4">
        <v>2023</v>
      </c>
      <c r="E7364" s="4">
        <v>6470.4979345496031</v>
      </c>
      <c r="F7364" s="4" t="s">
        <v>29</v>
      </c>
    </row>
    <row r="7365" spans="1:6" x14ac:dyDescent="0.25">
      <c r="A7365" s="4" t="s">
        <v>73</v>
      </c>
      <c r="B7365" s="4" t="s">
        <v>3</v>
      </c>
      <c r="C7365" s="4" t="s">
        <v>36</v>
      </c>
      <c r="D7365" s="4">
        <v>2024</v>
      </c>
      <c r="E7365" s="4">
        <v>6566.4458295092318</v>
      </c>
      <c r="F7365" s="4" t="s">
        <v>29</v>
      </c>
    </row>
    <row r="7366" spans="1:6" x14ac:dyDescent="0.25">
      <c r="A7366" s="4" t="s">
        <v>73</v>
      </c>
      <c r="B7366" s="4" t="s">
        <v>3</v>
      </c>
      <c r="C7366" s="4" t="s">
        <v>36</v>
      </c>
      <c r="D7366" s="4">
        <v>2025</v>
      </c>
      <c r="E7366" s="4">
        <v>6641.7140883865795</v>
      </c>
      <c r="F7366" s="4" t="s">
        <v>29</v>
      </c>
    </row>
    <row r="7367" spans="1:6" x14ac:dyDescent="0.25">
      <c r="A7367" s="4" t="s">
        <v>73</v>
      </c>
      <c r="B7367" s="4" t="s">
        <v>3</v>
      </c>
      <c r="C7367" s="4" t="s">
        <v>36</v>
      </c>
      <c r="D7367" s="4">
        <v>2026</v>
      </c>
      <c r="E7367" s="4">
        <v>6697.045699455497</v>
      </c>
      <c r="F7367" s="4" t="s">
        <v>29</v>
      </c>
    </row>
    <row r="7368" spans="1:6" x14ac:dyDescent="0.25">
      <c r="A7368" s="4" t="s">
        <v>73</v>
      </c>
      <c r="B7368" s="4" t="s">
        <v>3</v>
      </c>
      <c r="C7368" s="4" t="s">
        <v>36</v>
      </c>
      <c r="D7368" s="4">
        <v>2027</v>
      </c>
      <c r="E7368" s="4">
        <v>6729.0274529716226</v>
      </c>
      <c r="F7368" s="4" t="s">
        <v>29</v>
      </c>
    </row>
    <row r="7369" spans="1:6" x14ac:dyDescent="0.25">
      <c r="A7369" s="4" t="s">
        <v>73</v>
      </c>
      <c r="B7369" s="4" t="s">
        <v>3</v>
      </c>
      <c r="C7369" s="4" t="s">
        <v>36</v>
      </c>
      <c r="D7369" s="4">
        <v>2028</v>
      </c>
      <c r="E7369" s="4">
        <v>6744.0166135417812</v>
      </c>
      <c r="F7369" s="4" t="s">
        <v>29</v>
      </c>
    </row>
    <row r="7370" spans="1:6" x14ac:dyDescent="0.25">
      <c r="A7370" s="4" t="s">
        <v>73</v>
      </c>
      <c r="B7370" s="4" t="s">
        <v>3</v>
      </c>
      <c r="C7370" s="4" t="s">
        <v>36</v>
      </c>
      <c r="D7370" s="4">
        <v>2029</v>
      </c>
      <c r="E7370" s="4">
        <v>6764.3433708049834</v>
      </c>
      <c r="F7370" s="4" t="s">
        <v>29</v>
      </c>
    </row>
    <row r="7371" spans="1:6" x14ac:dyDescent="0.25">
      <c r="A7371" s="4" t="s">
        <v>73</v>
      </c>
      <c r="B7371" s="4" t="s">
        <v>3</v>
      </c>
      <c r="C7371" s="4" t="s">
        <v>36</v>
      </c>
      <c r="D7371" s="4">
        <v>2030</v>
      </c>
      <c r="E7371" s="4">
        <v>6787.2861732466963</v>
      </c>
      <c r="F7371" s="4" t="s">
        <v>29</v>
      </c>
    </row>
    <row r="7372" spans="1:6" x14ac:dyDescent="0.25">
      <c r="A7372" s="4" t="s">
        <v>73</v>
      </c>
      <c r="B7372" s="4" t="s">
        <v>3</v>
      </c>
      <c r="C7372" s="4" t="s">
        <v>36</v>
      </c>
      <c r="D7372" s="4">
        <v>2031</v>
      </c>
      <c r="E7372" s="4">
        <v>6814.3805236174876</v>
      </c>
      <c r="F7372" s="4" t="s">
        <v>29</v>
      </c>
    </row>
    <row r="7373" spans="1:6" x14ac:dyDescent="0.25">
      <c r="A7373" s="4" t="s">
        <v>73</v>
      </c>
      <c r="B7373" s="4" t="s">
        <v>3</v>
      </c>
      <c r="C7373" s="4" t="s">
        <v>36</v>
      </c>
      <c r="D7373" s="4">
        <v>2032</v>
      </c>
      <c r="E7373" s="4">
        <v>6844.279910698031</v>
      </c>
      <c r="F7373" s="4" t="s">
        <v>29</v>
      </c>
    </row>
    <row r="7374" spans="1:6" x14ac:dyDescent="0.25">
      <c r="A7374" s="4" t="s">
        <v>73</v>
      </c>
      <c r="B7374" s="4" t="s">
        <v>3</v>
      </c>
      <c r="C7374" s="4" t="s">
        <v>36</v>
      </c>
      <c r="D7374" s="4">
        <v>2033</v>
      </c>
      <c r="E7374" s="4">
        <v>6880.0384416735442</v>
      </c>
      <c r="F7374" s="4" t="s">
        <v>29</v>
      </c>
    </row>
    <row r="7375" spans="1:6" x14ac:dyDescent="0.25">
      <c r="A7375" s="4" t="s">
        <v>73</v>
      </c>
      <c r="B7375" s="4" t="s">
        <v>3</v>
      </c>
      <c r="C7375" s="4" t="s">
        <v>36</v>
      </c>
      <c r="D7375" s="4">
        <v>2034</v>
      </c>
      <c r="E7375" s="4">
        <v>6918.8287253513899</v>
      </c>
      <c r="F7375" s="4" t="s">
        <v>29</v>
      </c>
    </row>
    <row r="7376" spans="1:6" x14ac:dyDescent="0.25">
      <c r="A7376" s="4" t="s">
        <v>73</v>
      </c>
      <c r="B7376" s="4" t="s">
        <v>3</v>
      </c>
      <c r="C7376" s="4" t="s">
        <v>36</v>
      </c>
      <c r="D7376" s="4">
        <v>2035</v>
      </c>
      <c r="E7376" s="4">
        <v>6957.7068108586236</v>
      </c>
      <c r="F7376" s="4" t="s">
        <v>29</v>
      </c>
    </row>
    <row r="7377" spans="1:6" x14ac:dyDescent="0.25">
      <c r="A7377" s="4" t="s">
        <v>73</v>
      </c>
      <c r="B7377" s="4" t="s">
        <v>3</v>
      </c>
      <c r="C7377" s="4" t="s">
        <v>36</v>
      </c>
      <c r="D7377" s="4">
        <v>2036</v>
      </c>
      <c r="E7377" s="4">
        <v>7001.2625707680299</v>
      </c>
      <c r="F7377" s="4" t="s">
        <v>29</v>
      </c>
    </row>
    <row r="7378" spans="1:6" x14ac:dyDescent="0.25">
      <c r="A7378" s="4" t="s">
        <v>73</v>
      </c>
      <c r="B7378" s="4" t="s">
        <v>3</v>
      </c>
      <c r="C7378" s="4" t="s">
        <v>36</v>
      </c>
      <c r="D7378" s="4">
        <v>2037</v>
      </c>
      <c r="E7378" s="4">
        <v>7048.0856188746739</v>
      </c>
      <c r="F7378" s="4" t="s">
        <v>29</v>
      </c>
    </row>
    <row r="7379" spans="1:6" x14ac:dyDescent="0.25">
      <c r="A7379" s="4" t="s">
        <v>73</v>
      </c>
      <c r="B7379" s="4" t="s">
        <v>3</v>
      </c>
      <c r="C7379" s="4" t="s">
        <v>36</v>
      </c>
      <c r="D7379" s="4">
        <v>2038</v>
      </c>
      <c r="E7379" s="4">
        <v>7092.022138569434</v>
      </c>
      <c r="F7379" s="4" t="s">
        <v>29</v>
      </c>
    </row>
    <row r="7380" spans="1:6" x14ac:dyDescent="0.25">
      <c r="A7380" s="4" t="s">
        <v>73</v>
      </c>
      <c r="B7380" s="4" t="s">
        <v>3</v>
      </c>
      <c r="C7380" s="4" t="s">
        <v>36</v>
      </c>
      <c r="D7380" s="4">
        <v>2039</v>
      </c>
      <c r="E7380" s="4">
        <v>7136.1325800962022</v>
      </c>
      <c r="F7380" s="4" t="s">
        <v>29</v>
      </c>
    </row>
    <row r="7381" spans="1:6" x14ac:dyDescent="0.25">
      <c r="A7381" s="4" t="s">
        <v>73</v>
      </c>
      <c r="B7381" s="4" t="s">
        <v>3</v>
      </c>
      <c r="C7381" s="4" t="s">
        <v>36</v>
      </c>
      <c r="D7381" s="4">
        <v>2040</v>
      </c>
      <c r="E7381" s="4">
        <v>7180.4160282396506</v>
      </c>
      <c r="F7381" s="4" t="s">
        <v>29</v>
      </c>
    </row>
    <row r="7382" spans="1:6" x14ac:dyDescent="0.25">
      <c r="A7382" s="4" t="s">
        <v>73</v>
      </c>
      <c r="B7382" s="4" t="s">
        <v>4</v>
      </c>
      <c r="C7382" s="4" t="s">
        <v>36</v>
      </c>
      <c r="D7382" s="4">
        <v>2005</v>
      </c>
      <c r="E7382" s="4">
        <v>550</v>
      </c>
      <c r="F7382" s="4" t="s">
        <v>29</v>
      </c>
    </row>
    <row r="7383" spans="1:6" x14ac:dyDescent="0.25">
      <c r="A7383" s="4" t="s">
        <v>73</v>
      </c>
      <c r="B7383" s="4" t="s">
        <v>4</v>
      </c>
      <c r="C7383" s="4" t="s">
        <v>36</v>
      </c>
      <c r="D7383" s="4">
        <v>2006</v>
      </c>
      <c r="E7383" s="4">
        <v>600</v>
      </c>
      <c r="F7383" s="4" t="s">
        <v>29</v>
      </c>
    </row>
    <row r="7384" spans="1:6" x14ac:dyDescent="0.25">
      <c r="A7384" s="4" t="s">
        <v>73</v>
      </c>
      <c r="B7384" s="4" t="s">
        <v>4</v>
      </c>
      <c r="C7384" s="4" t="s">
        <v>36</v>
      </c>
      <c r="D7384" s="4">
        <v>2007</v>
      </c>
      <c r="E7384" s="4">
        <v>660</v>
      </c>
      <c r="F7384" s="4" t="s">
        <v>29</v>
      </c>
    </row>
    <row r="7385" spans="1:6" x14ac:dyDescent="0.25">
      <c r="A7385" s="4" t="s">
        <v>73</v>
      </c>
      <c r="B7385" s="4" t="s">
        <v>4</v>
      </c>
      <c r="C7385" s="4" t="s">
        <v>36</v>
      </c>
      <c r="D7385" s="4">
        <v>2008</v>
      </c>
      <c r="E7385" s="4">
        <v>720</v>
      </c>
      <c r="F7385" s="4" t="s">
        <v>29</v>
      </c>
    </row>
    <row r="7386" spans="1:6" x14ac:dyDescent="0.25">
      <c r="A7386" s="4" t="s">
        <v>73</v>
      </c>
      <c r="B7386" s="4" t="s">
        <v>4</v>
      </c>
      <c r="C7386" s="4" t="s">
        <v>36</v>
      </c>
      <c r="D7386" s="4">
        <v>2009</v>
      </c>
      <c r="E7386" s="4">
        <v>720</v>
      </c>
      <c r="F7386" s="4" t="s">
        <v>29</v>
      </c>
    </row>
    <row r="7387" spans="1:6" x14ac:dyDescent="0.25">
      <c r="A7387" s="4" t="s">
        <v>73</v>
      </c>
      <c r="B7387" s="4" t="s">
        <v>4</v>
      </c>
      <c r="C7387" s="4" t="s">
        <v>36</v>
      </c>
      <c r="D7387" s="4">
        <v>2010</v>
      </c>
      <c r="E7387" s="4">
        <v>790</v>
      </c>
      <c r="F7387" s="4" t="s">
        <v>29</v>
      </c>
    </row>
    <row r="7388" spans="1:6" x14ac:dyDescent="0.25">
      <c r="A7388" s="4" t="s">
        <v>73</v>
      </c>
      <c r="B7388" s="4" t="s">
        <v>4</v>
      </c>
      <c r="C7388" s="4" t="s">
        <v>36</v>
      </c>
      <c r="D7388" s="4">
        <v>2011</v>
      </c>
      <c r="E7388" s="4">
        <v>880</v>
      </c>
      <c r="F7388" s="4" t="s">
        <v>29</v>
      </c>
    </row>
    <row r="7389" spans="1:6" x14ac:dyDescent="0.25">
      <c r="A7389" s="4" t="s">
        <v>73</v>
      </c>
      <c r="B7389" s="4" t="s">
        <v>4</v>
      </c>
      <c r="C7389" s="4" t="s">
        <v>36</v>
      </c>
      <c r="D7389" s="4">
        <v>2012</v>
      </c>
      <c r="E7389" s="4">
        <v>900</v>
      </c>
      <c r="F7389" s="4" t="s">
        <v>29</v>
      </c>
    </row>
    <row r="7390" spans="1:6" x14ac:dyDescent="0.25">
      <c r="A7390" s="4" t="s">
        <v>73</v>
      </c>
      <c r="B7390" s="4" t="s">
        <v>4</v>
      </c>
      <c r="C7390" s="4" t="s">
        <v>36</v>
      </c>
      <c r="D7390" s="4">
        <v>2013</v>
      </c>
      <c r="E7390" s="4">
        <v>960</v>
      </c>
      <c r="F7390" s="4" t="s">
        <v>29</v>
      </c>
    </row>
    <row r="7391" spans="1:6" x14ac:dyDescent="0.25">
      <c r="A7391" s="4" t="s">
        <v>73</v>
      </c>
      <c r="B7391" s="4" t="s">
        <v>4</v>
      </c>
      <c r="C7391" s="4" t="s">
        <v>36</v>
      </c>
      <c r="D7391" s="4">
        <v>2014</v>
      </c>
      <c r="E7391" s="4">
        <v>1430</v>
      </c>
      <c r="F7391" s="4" t="s">
        <v>29</v>
      </c>
    </row>
    <row r="7392" spans="1:6" x14ac:dyDescent="0.25">
      <c r="A7392" s="4" t="s">
        <v>73</v>
      </c>
      <c r="B7392" s="4" t="s">
        <v>4</v>
      </c>
      <c r="C7392" s="4" t="s">
        <v>36</v>
      </c>
      <c r="D7392" s="4">
        <v>2015</v>
      </c>
      <c r="E7392" s="4">
        <v>1840</v>
      </c>
      <c r="F7392" s="4" t="s">
        <v>29</v>
      </c>
    </row>
    <row r="7393" spans="1:6" x14ac:dyDescent="0.25">
      <c r="A7393" s="4" t="s">
        <v>73</v>
      </c>
      <c r="B7393" s="4" t="s">
        <v>4</v>
      </c>
      <c r="C7393" s="4" t="s">
        <v>36</v>
      </c>
      <c r="D7393" s="4">
        <v>2016</v>
      </c>
      <c r="E7393" s="4">
        <v>2536.7909589041078</v>
      </c>
      <c r="F7393" s="4" t="s">
        <v>29</v>
      </c>
    </row>
    <row r="7394" spans="1:6" x14ac:dyDescent="0.25">
      <c r="A7394" s="4" t="s">
        <v>73</v>
      </c>
      <c r="B7394" s="4" t="s">
        <v>4</v>
      </c>
      <c r="C7394" s="4" t="s">
        <v>36</v>
      </c>
      <c r="D7394" s="4">
        <v>2017</v>
      </c>
      <c r="E7394" s="4">
        <v>2619.52808219178</v>
      </c>
      <c r="F7394" s="4" t="s">
        <v>29</v>
      </c>
    </row>
    <row r="7395" spans="1:6" x14ac:dyDescent="0.25">
      <c r="A7395" s="4" t="s">
        <v>73</v>
      </c>
      <c r="B7395" s="4" t="s">
        <v>4</v>
      </c>
      <c r="C7395" s="4" t="s">
        <v>36</v>
      </c>
      <c r="D7395" s="4">
        <v>2018</v>
      </c>
      <c r="E7395" s="4">
        <v>2854.1890629499831</v>
      </c>
      <c r="F7395" s="4" t="s">
        <v>29</v>
      </c>
    </row>
    <row r="7396" spans="1:6" x14ac:dyDescent="0.25">
      <c r="A7396" s="4" t="s">
        <v>73</v>
      </c>
      <c r="B7396" s="4" t="s">
        <v>4</v>
      </c>
      <c r="C7396" s="4" t="s">
        <v>36</v>
      </c>
      <c r="D7396" s="4">
        <v>2019</v>
      </c>
      <c r="E7396" s="4">
        <v>2888.938799996723</v>
      </c>
      <c r="F7396" s="4" t="s">
        <v>29</v>
      </c>
    </row>
    <row r="7397" spans="1:6" x14ac:dyDescent="0.25">
      <c r="A7397" s="4" t="s">
        <v>73</v>
      </c>
      <c r="B7397" s="4" t="s">
        <v>4</v>
      </c>
      <c r="C7397" s="4" t="s">
        <v>36</v>
      </c>
      <c r="D7397" s="4">
        <v>2020</v>
      </c>
      <c r="E7397" s="4">
        <v>2932.5565847204507</v>
      </c>
      <c r="F7397" s="4" t="s">
        <v>29</v>
      </c>
    </row>
    <row r="7398" spans="1:6" x14ac:dyDescent="0.25">
      <c r="A7398" s="4" t="s">
        <v>73</v>
      </c>
      <c r="B7398" s="4" t="s">
        <v>4</v>
      </c>
      <c r="C7398" s="4" t="s">
        <v>36</v>
      </c>
      <c r="D7398" s="4">
        <v>2021</v>
      </c>
      <c r="E7398" s="4">
        <v>2994.9757714848761</v>
      </c>
      <c r="F7398" s="4" t="s">
        <v>29</v>
      </c>
    </row>
    <row r="7399" spans="1:6" x14ac:dyDescent="0.25">
      <c r="A7399" s="4" t="s">
        <v>73</v>
      </c>
      <c r="B7399" s="4" t="s">
        <v>4</v>
      </c>
      <c r="C7399" s="4" t="s">
        <v>36</v>
      </c>
      <c r="D7399" s="4">
        <v>2022</v>
      </c>
      <c r="E7399" s="4">
        <v>3067.6866741526305</v>
      </c>
      <c r="F7399" s="4" t="s">
        <v>29</v>
      </c>
    </row>
    <row r="7400" spans="1:6" x14ac:dyDescent="0.25">
      <c r="A7400" s="4" t="s">
        <v>73</v>
      </c>
      <c r="B7400" s="4" t="s">
        <v>4</v>
      </c>
      <c r="C7400" s="4" t="s">
        <v>36</v>
      </c>
      <c r="D7400" s="4">
        <v>2023</v>
      </c>
      <c r="E7400" s="4">
        <v>3143.4147841167824</v>
      </c>
      <c r="F7400" s="4" t="s">
        <v>29</v>
      </c>
    </row>
    <row r="7401" spans="1:6" x14ac:dyDescent="0.25">
      <c r="A7401" s="4" t="s">
        <v>73</v>
      </c>
      <c r="B7401" s="4" t="s">
        <v>4</v>
      </c>
      <c r="C7401" s="4" t="s">
        <v>36</v>
      </c>
      <c r="D7401" s="4">
        <v>2024</v>
      </c>
      <c r="E7401" s="4">
        <v>3221.6113921739638</v>
      </c>
      <c r="F7401" s="4" t="s">
        <v>29</v>
      </c>
    </row>
    <row r="7402" spans="1:6" x14ac:dyDescent="0.25">
      <c r="A7402" s="4" t="s">
        <v>73</v>
      </c>
      <c r="B7402" s="4" t="s">
        <v>4</v>
      </c>
      <c r="C7402" s="4" t="s">
        <v>36</v>
      </c>
      <c r="D7402" s="4">
        <v>2025</v>
      </c>
      <c r="E7402" s="4">
        <v>3290.8020613372855</v>
      </c>
      <c r="F7402" s="4" t="s">
        <v>29</v>
      </c>
    </row>
    <row r="7403" spans="1:6" x14ac:dyDescent="0.25">
      <c r="A7403" s="4" t="s">
        <v>73</v>
      </c>
      <c r="B7403" s="4" t="s">
        <v>4</v>
      </c>
      <c r="C7403" s="4" t="s">
        <v>36</v>
      </c>
      <c r="D7403" s="4">
        <v>2026</v>
      </c>
      <c r="E7403" s="4">
        <v>3351.0711195397566</v>
      </c>
      <c r="F7403" s="4" t="s">
        <v>29</v>
      </c>
    </row>
    <row r="7404" spans="1:6" x14ac:dyDescent="0.25">
      <c r="A7404" s="4" t="s">
        <v>73</v>
      </c>
      <c r="B7404" s="4" t="s">
        <v>4</v>
      </c>
      <c r="C7404" s="4" t="s">
        <v>36</v>
      </c>
      <c r="D7404" s="4">
        <v>2027</v>
      </c>
      <c r="E7404" s="4">
        <v>3400.4115335406777</v>
      </c>
      <c r="F7404" s="4" t="s">
        <v>29</v>
      </c>
    </row>
    <row r="7405" spans="1:6" x14ac:dyDescent="0.25">
      <c r="A7405" s="4" t="s">
        <v>73</v>
      </c>
      <c r="B7405" s="4" t="s">
        <v>4</v>
      </c>
      <c r="C7405" s="4" t="s">
        <v>36</v>
      </c>
      <c r="D7405" s="4">
        <v>2028</v>
      </c>
      <c r="E7405" s="4">
        <v>3441.728513946136</v>
      </c>
      <c r="F7405" s="4" t="s">
        <v>29</v>
      </c>
    </row>
    <row r="7406" spans="1:6" x14ac:dyDescent="0.25">
      <c r="A7406" s="4" t="s">
        <v>73</v>
      </c>
      <c r="B7406" s="4" t="s">
        <v>4</v>
      </c>
      <c r="C7406" s="4" t="s">
        <v>36</v>
      </c>
      <c r="D7406" s="4">
        <v>2029</v>
      </c>
      <c r="E7406" s="4">
        <v>3486.2812603350094</v>
      </c>
      <c r="F7406" s="4" t="s">
        <v>29</v>
      </c>
    </row>
    <row r="7407" spans="1:6" x14ac:dyDescent="0.25">
      <c r="A7407" s="4" t="s">
        <v>73</v>
      </c>
      <c r="B7407" s="4" t="s">
        <v>4</v>
      </c>
      <c r="C7407" s="4" t="s">
        <v>36</v>
      </c>
      <c r="D7407" s="4">
        <v>2030</v>
      </c>
      <c r="E7407" s="4">
        <v>3532.7404833779715</v>
      </c>
      <c r="F7407" s="4" t="s">
        <v>29</v>
      </c>
    </row>
    <row r="7408" spans="1:6" x14ac:dyDescent="0.25">
      <c r="A7408" s="4" t="s">
        <v>73</v>
      </c>
      <c r="B7408" s="4" t="s">
        <v>4</v>
      </c>
      <c r="C7408" s="4" t="s">
        <v>36</v>
      </c>
      <c r="D7408" s="4">
        <v>2031</v>
      </c>
      <c r="E7408" s="4">
        <v>3581.96018189081</v>
      </c>
      <c r="F7408" s="4" t="s">
        <v>29</v>
      </c>
    </row>
    <row r="7409" spans="1:6" x14ac:dyDescent="0.25">
      <c r="A7409" s="4" t="s">
        <v>73</v>
      </c>
      <c r="B7409" s="4" t="s">
        <v>4</v>
      </c>
      <c r="C7409" s="4" t="s">
        <v>36</v>
      </c>
      <c r="D7409" s="4">
        <v>2032</v>
      </c>
      <c r="E7409" s="4">
        <v>3633.2972731063678</v>
      </c>
      <c r="F7409" s="4" t="s">
        <v>29</v>
      </c>
    </row>
    <row r="7410" spans="1:6" x14ac:dyDescent="0.25">
      <c r="A7410" s="4" t="s">
        <v>73</v>
      </c>
      <c r="B7410" s="4" t="s">
        <v>4</v>
      </c>
      <c r="C7410" s="4" t="s">
        <v>36</v>
      </c>
      <c r="D7410" s="4">
        <v>2033</v>
      </c>
      <c r="E7410" s="4">
        <v>3688.4409338471305</v>
      </c>
      <c r="F7410" s="4" t="s">
        <v>29</v>
      </c>
    </row>
    <row r="7411" spans="1:6" x14ac:dyDescent="0.25">
      <c r="A7411" s="4" t="s">
        <v>73</v>
      </c>
      <c r="B7411" s="4" t="s">
        <v>4</v>
      </c>
      <c r="C7411" s="4" t="s">
        <v>36</v>
      </c>
      <c r="D7411" s="4">
        <v>2034</v>
      </c>
      <c r="E7411" s="4">
        <v>3745.9618157824448</v>
      </c>
      <c r="F7411" s="4" t="s">
        <v>29</v>
      </c>
    </row>
    <row r="7412" spans="1:6" x14ac:dyDescent="0.25">
      <c r="A7412" s="4" t="s">
        <v>73</v>
      </c>
      <c r="B7412" s="4" t="s">
        <v>4</v>
      </c>
      <c r="C7412" s="4" t="s">
        <v>36</v>
      </c>
      <c r="D7412" s="4">
        <v>2035</v>
      </c>
      <c r="E7412" s="4">
        <v>3804.3081566216324</v>
      </c>
      <c r="F7412" s="4" t="s">
        <v>29</v>
      </c>
    </row>
    <row r="7413" spans="1:6" x14ac:dyDescent="0.25">
      <c r="A7413" s="4" t="s">
        <v>73</v>
      </c>
      <c r="B7413" s="4" t="s">
        <v>4</v>
      </c>
      <c r="C7413" s="4" t="s">
        <v>36</v>
      </c>
      <c r="D7413" s="4">
        <v>2036</v>
      </c>
      <c r="E7413" s="4">
        <v>3866.0256193759742</v>
      </c>
      <c r="F7413" s="4" t="s">
        <v>29</v>
      </c>
    </row>
    <row r="7414" spans="1:6" x14ac:dyDescent="0.25">
      <c r="A7414" s="4" t="s">
        <v>73</v>
      </c>
      <c r="B7414" s="4" t="s">
        <v>4</v>
      </c>
      <c r="C7414" s="4" t="s">
        <v>36</v>
      </c>
      <c r="D7414" s="4">
        <v>2037</v>
      </c>
      <c r="E7414" s="4">
        <v>3930.4143014232104</v>
      </c>
      <c r="F7414" s="4" t="s">
        <v>29</v>
      </c>
    </row>
    <row r="7415" spans="1:6" x14ac:dyDescent="0.25">
      <c r="A7415" s="4" t="s">
        <v>73</v>
      </c>
      <c r="B7415" s="4" t="s">
        <v>4</v>
      </c>
      <c r="C7415" s="4" t="s">
        <v>36</v>
      </c>
      <c r="D7415" s="4">
        <v>2038</v>
      </c>
      <c r="E7415" s="4">
        <v>3994.0733915783076</v>
      </c>
      <c r="F7415" s="4" t="s">
        <v>29</v>
      </c>
    </row>
    <row r="7416" spans="1:6" x14ac:dyDescent="0.25">
      <c r="A7416" s="4" t="s">
        <v>73</v>
      </c>
      <c r="B7416" s="4" t="s">
        <v>4</v>
      </c>
      <c r="C7416" s="4" t="s">
        <v>36</v>
      </c>
      <c r="D7416" s="4">
        <v>2039</v>
      </c>
      <c r="E7416" s="4">
        <v>4058.7066796190393</v>
      </c>
      <c r="F7416" s="4" t="s">
        <v>29</v>
      </c>
    </row>
    <row r="7417" spans="1:6" x14ac:dyDescent="0.25">
      <c r="A7417" s="4" t="s">
        <v>73</v>
      </c>
      <c r="B7417" s="4" t="s">
        <v>4</v>
      </c>
      <c r="C7417" s="4" t="s">
        <v>36</v>
      </c>
      <c r="D7417" s="4">
        <v>2040</v>
      </c>
      <c r="E7417" s="4">
        <v>4124.3276698247701</v>
      </c>
      <c r="F7417" s="4" t="s">
        <v>29</v>
      </c>
    </row>
    <row r="7418" spans="1:6" x14ac:dyDescent="0.25">
      <c r="A7418" s="4" t="s">
        <v>73</v>
      </c>
      <c r="B7418" s="4" t="s">
        <v>23</v>
      </c>
      <c r="C7418" s="4" t="s">
        <v>36</v>
      </c>
      <c r="D7418" s="4">
        <v>2005</v>
      </c>
      <c r="E7418" s="4">
        <v>6625.0814215309774</v>
      </c>
      <c r="F7418" s="4" t="s">
        <v>29</v>
      </c>
    </row>
    <row r="7419" spans="1:6" x14ac:dyDescent="0.25">
      <c r="A7419" s="4" t="s">
        <v>73</v>
      </c>
      <c r="B7419" s="4" t="s">
        <v>23</v>
      </c>
      <c r="C7419" s="4" t="s">
        <v>36</v>
      </c>
      <c r="D7419" s="4">
        <v>2006</v>
      </c>
      <c r="E7419" s="4">
        <v>6556.6333115719408</v>
      </c>
      <c r="F7419" s="4" t="s">
        <v>29</v>
      </c>
    </row>
    <row r="7420" spans="1:6" x14ac:dyDescent="0.25">
      <c r="A7420" s="4" t="s">
        <v>73</v>
      </c>
      <c r="B7420" s="4" t="s">
        <v>23</v>
      </c>
      <c r="C7420" s="4" t="s">
        <v>36</v>
      </c>
      <c r="D7420" s="4">
        <v>2007</v>
      </c>
      <c r="E7420" s="4">
        <v>5995.0273214285717</v>
      </c>
      <c r="F7420" s="4" t="s">
        <v>29</v>
      </c>
    </row>
    <row r="7421" spans="1:6" x14ac:dyDescent="0.25">
      <c r="A7421" s="4" t="s">
        <v>73</v>
      </c>
      <c r="B7421" s="4" t="s">
        <v>23</v>
      </c>
      <c r="C7421" s="4" t="s">
        <v>36</v>
      </c>
      <c r="D7421" s="4">
        <v>2008</v>
      </c>
      <c r="E7421" s="4">
        <v>5566.5833333333321</v>
      </c>
      <c r="F7421" s="4" t="s">
        <v>29</v>
      </c>
    </row>
    <row r="7422" spans="1:6" x14ac:dyDescent="0.25">
      <c r="A7422" s="4" t="s">
        <v>73</v>
      </c>
      <c r="B7422" s="4" t="s">
        <v>23</v>
      </c>
      <c r="C7422" s="4" t="s">
        <v>36</v>
      </c>
      <c r="D7422" s="4">
        <v>2009</v>
      </c>
      <c r="E7422" s="4">
        <v>5478.2216820276499</v>
      </c>
      <c r="F7422" s="4" t="s">
        <v>29</v>
      </c>
    </row>
    <row r="7423" spans="1:6" x14ac:dyDescent="0.25">
      <c r="A7423" s="4" t="s">
        <v>73</v>
      </c>
      <c r="B7423" s="4" t="s">
        <v>23</v>
      </c>
      <c r="C7423" s="4" t="s">
        <v>36</v>
      </c>
      <c r="D7423" s="4">
        <v>2010</v>
      </c>
      <c r="E7423" s="4">
        <v>5674.9128584229393</v>
      </c>
      <c r="F7423" s="4" t="s">
        <v>29</v>
      </c>
    </row>
    <row r="7424" spans="1:6" x14ac:dyDescent="0.25">
      <c r="A7424" s="4" t="s">
        <v>73</v>
      </c>
      <c r="B7424" s="4" t="s">
        <v>23</v>
      </c>
      <c r="C7424" s="4" t="s">
        <v>36</v>
      </c>
      <c r="D7424" s="4">
        <v>2011</v>
      </c>
      <c r="E7424" s="4">
        <v>5897.5430209933438</v>
      </c>
      <c r="F7424" s="4" t="s">
        <v>29</v>
      </c>
    </row>
    <row r="7425" spans="1:6" x14ac:dyDescent="0.25">
      <c r="A7425" s="4" t="s">
        <v>73</v>
      </c>
      <c r="B7425" s="4" t="s">
        <v>23</v>
      </c>
      <c r="C7425" s="4" t="s">
        <v>36</v>
      </c>
      <c r="D7425" s="4">
        <v>2012</v>
      </c>
      <c r="E7425" s="4">
        <v>6255.7563966135203</v>
      </c>
      <c r="F7425" s="4" t="s">
        <v>29</v>
      </c>
    </row>
    <row r="7426" spans="1:6" x14ac:dyDescent="0.25">
      <c r="A7426" s="4" t="s">
        <v>73</v>
      </c>
      <c r="B7426" s="4" t="s">
        <v>23</v>
      </c>
      <c r="C7426" s="4" t="s">
        <v>36</v>
      </c>
      <c r="D7426" s="4">
        <v>2013</v>
      </c>
      <c r="E7426" s="4">
        <v>6543.6676024065546</v>
      </c>
      <c r="F7426" s="4" t="s">
        <v>29</v>
      </c>
    </row>
    <row r="7427" spans="1:6" x14ac:dyDescent="0.25">
      <c r="A7427" s="4" t="s">
        <v>73</v>
      </c>
      <c r="B7427" s="4" t="s">
        <v>23</v>
      </c>
      <c r="C7427" s="4" t="s">
        <v>36</v>
      </c>
      <c r="D7427" s="4">
        <v>2014</v>
      </c>
      <c r="E7427" s="4">
        <v>7852.9239823348689</v>
      </c>
      <c r="F7427" s="4" t="s">
        <v>29</v>
      </c>
    </row>
    <row r="7428" spans="1:6" x14ac:dyDescent="0.25">
      <c r="A7428" s="4" t="s">
        <v>73</v>
      </c>
      <c r="B7428" s="4" t="s">
        <v>23</v>
      </c>
      <c r="C7428" s="4" t="s">
        <v>36</v>
      </c>
      <c r="D7428" s="4">
        <v>2015</v>
      </c>
      <c r="E7428" s="4">
        <v>8686.5470302099329</v>
      </c>
      <c r="F7428" s="4" t="s">
        <v>29</v>
      </c>
    </row>
    <row r="7429" spans="1:6" x14ac:dyDescent="0.25">
      <c r="A7429" s="4" t="s">
        <v>73</v>
      </c>
      <c r="B7429" s="4" t="s">
        <v>23</v>
      </c>
      <c r="C7429" s="4" t="s">
        <v>36</v>
      </c>
      <c r="D7429" s="4">
        <v>2016</v>
      </c>
      <c r="E7429" s="4">
        <v>10412.261685823754</v>
      </c>
      <c r="F7429" s="4" t="s">
        <v>29</v>
      </c>
    </row>
    <row r="7430" spans="1:6" x14ac:dyDescent="0.25">
      <c r="A7430" s="4" t="s">
        <v>73</v>
      </c>
      <c r="B7430" s="4" t="s">
        <v>23</v>
      </c>
      <c r="C7430" s="4" t="s">
        <v>36</v>
      </c>
      <c r="D7430" s="4">
        <v>2017</v>
      </c>
      <c r="E7430" s="4">
        <v>11690.181041818252</v>
      </c>
      <c r="F7430" s="4" t="s">
        <v>29</v>
      </c>
    </row>
    <row r="7431" spans="1:6" x14ac:dyDescent="0.25">
      <c r="A7431" s="4" t="s">
        <v>73</v>
      </c>
      <c r="B7431" s="4" t="s">
        <v>23</v>
      </c>
      <c r="C7431" s="4" t="s">
        <v>36</v>
      </c>
      <c r="D7431" s="4">
        <v>2018</v>
      </c>
      <c r="E7431" s="4">
        <v>12219.913849472599</v>
      </c>
      <c r="F7431" s="4" t="s">
        <v>29</v>
      </c>
    </row>
    <row r="7432" spans="1:6" x14ac:dyDescent="0.25">
      <c r="A7432" s="4" t="s">
        <v>73</v>
      </c>
      <c r="B7432" s="4" t="s">
        <v>23</v>
      </c>
      <c r="C7432" s="4" t="s">
        <v>36</v>
      </c>
      <c r="D7432" s="4">
        <v>2019</v>
      </c>
      <c r="E7432" s="4">
        <v>12100.849402441734</v>
      </c>
      <c r="F7432" s="4" t="s">
        <v>29</v>
      </c>
    </row>
    <row r="7433" spans="1:6" x14ac:dyDescent="0.25">
      <c r="A7433" s="4" t="s">
        <v>73</v>
      </c>
      <c r="B7433" s="4" t="s">
        <v>23</v>
      </c>
      <c r="C7433" s="4" t="s">
        <v>36</v>
      </c>
      <c r="D7433" s="4">
        <v>2020</v>
      </c>
      <c r="E7433" s="4">
        <v>11978.186179111026</v>
      </c>
      <c r="F7433" s="4" t="s">
        <v>29</v>
      </c>
    </row>
    <row r="7434" spans="1:6" x14ac:dyDescent="0.25">
      <c r="A7434" s="4" t="s">
        <v>73</v>
      </c>
      <c r="B7434" s="4" t="s">
        <v>23</v>
      </c>
      <c r="C7434" s="4" t="s">
        <v>36</v>
      </c>
      <c r="D7434" s="4">
        <v>2021</v>
      </c>
      <c r="E7434" s="4">
        <v>11968.637058294184</v>
      </c>
      <c r="F7434" s="4" t="s">
        <v>29</v>
      </c>
    </row>
    <row r="7435" spans="1:6" x14ac:dyDescent="0.25">
      <c r="A7435" s="4" t="s">
        <v>73</v>
      </c>
      <c r="B7435" s="4" t="s">
        <v>23</v>
      </c>
      <c r="C7435" s="4" t="s">
        <v>36</v>
      </c>
      <c r="D7435" s="4">
        <v>2022</v>
      </c>
      <c r="E7435" s="4">
        <v>12035.501671100708</v>
      </c>
      <c r="F7435" s="4" t="s">
        <v>29</v>
      </c>
    </row>
    <row r="7436" spans="1:6" x14ac:dyDescent="0.25">
      <c r="A7436" s="4" t="s">
        <v>73</v>
      </c>
      <c r="B7436" s="4" t="s">
        <v>23</v>
      </c>
      <c r="C7436" s="4" t="s">
        <v>36</v>
      </c>
      <c r="D7436" s="4">
        <v>2023</v>
      </c>
      <c r="E7436" s="4">
        <v>12126.646635350695</v>
      </c>
      <c r="F7436" s="4" t="s">
        <v>29</v>
      </c>
    </row>
    <row r="7437" spans="1:6" x14ac:dyDescent="0.25">
      <c r="A7437" s="4" t="s">
        <v>73</v>
      </c>
      <c r="B7437" s="4" t="s">
        <v>23</v>
      </c>
      <c r="C7437" s="4" t="s">
        <v>36</v>
      </c>
      <c r="D7437" s="4">
        <v>2024</v>
      </c>
      <c r="E7437" s="4">
        <v>12244.232009886502</v>
      </c>
      <c r="F7437" s="4" t="s">
        <v>29</v>
      </c>
    </row>
    <row r="7438" spans="1:6" x14ac:dyDescent="0.25">
      <c r="A7438" s="4" t="s">
        <v>73</v>
      </c>
      <c r="B7438" s="4" t="s">
        <v>23</v>
      </c>
      <c r="C7438" s="4" t="s">
        <v>36</v>
      </c>
      <c r="D7438" s="4">
        <v>2025</v>
      </c>
      <c r="E7438" s="4">
        <v>12368.942420262847</v>
      </c>
      <c r="F7438" s="4" t="s">
        <v>29</v>
      </c>
    </row>
    <row r="7439" spans="1:6" x14ac:dyDescent="0.25">
      <c r="A7439" s="4" t="s">
        <v>73</v>
      </c>
      <c r="B7439" s="4" t="s">
        <v>23</v>
      </c>
      <c r="C7439" s="4" t="s">
        <v>36</v>
      </c>
      <c r="D7439" s="4">
        <v>2026</v>
      </c>
      <c r="E7439" s="4">
        <v>12471.672555708134</v>
      </c>
      <c r="F7439" s="4" t="s">
        <v>29</v>
      </c>
    </row>
    <row r="7440" spans="1:6" x14ac:dyDescent="0.25">
      <c r="A7440" s="4" t="s">
        <v>73</v>
      </c>
      <c r="B7440" s="4" t="s">
        <v>23</v>
      </c>
      <c r="C7440" s="4" t="s">
        <v>36</v>
      </c>
      <c r="D7440" s="4">
        <v>2027</v>
      </c>
      <c r="E7440" s="4">
        <v>12553.942287978178</v>
      </c>
      <c r="F7440" s="4" t="s">
        <v>29</v>
      </c>
    </row>
    <row r="7441" spans="1:6" x14ac:dyDescent="0.25">
      <c r="A7441" s="4" t="s">
        <v>73</v>
      </c>
      <c r="B7441" s="4" t="s">
        <v>23</v>
      </c>
      <c r="C7441" s="4" t="s">
        <v>36</v>
      </c>
      <c r="D7441" s="4">
        <v>2028</v>
      </c>
      <c r="E7441" s="4">
        <v>12623.219249502037</v>
      </c>
      <c r="F7441" s="4" t="s">
        <v>29</v>
      </c>
    </row>
    <row r="7442" spans="1:6" x14ac:dyDescent="0.25">
      <c r="A7442" s="4" t="s">
        <v>73</v>
      </c>
      <c r="B7442" s="4" t="s">
        <v>23</v>
      </c>
      <c r="C7442" s="4" t="s">
        <v>36</v>
      </c>
      <c r="D7442" s="4">
        <v>2029</v>
      </c>
      <c r="E7442" s="4">
        <v>12707.549177977537</v>
      </c>
      <c r="F7442" s="4" t="s">
        <v>29</v>
      </c>
    </row>
    <row r="7443" spans="1:6" x14ac:dyDescent="0.25">
      <c r="A7443" s="4" t="s">
        <v>73</v>
      </c>
      <c r="B7443" s="4" t="s">
        <v>23</v>
      </c>
      <c r="C7443" s="4" t="s">
        <v>36</v>
      </c>
      <c r="D7443" s="4">
        <v>2030</v>
      </c>
      <c r="E7443" s="4">
        <v>12800.086960230712</v>
      </c>
      <c r="F7443" s="4" t="s">
        <v>29</v>
      </c>
    </row>
    <row r="7444" spans="1:6" x14ac:dyDescent="0.25">
      <c r="A7444" s="4" t="s">
        <v>73</v>
      </c>
      <c r="B7444" s="4" t="s">
        <v>23</v>
      </c>
      <c r="C7444" s="4" t="s">
        <v>36</v>
      </c>
      <c r="D7444" s="4">
        <v>2031</v>
      </c>
      <c r="E7444" s="4">
        <v>12903.190144941062</v>
      </c>
      <c r="F7444" s="4" t="s">
        <v>29</v>
      </c>
    </row>
    <row r="7445" spans="1:6" x14ac:dyDescent="0.25">
      <c r="A7445" s="4" t="s">
        <v>73</v>
      </c>
      <c r="B7445" s="4" t="s">
        <v>23</v>
      </c>
      <c r="C7445" s="4" t="s">
        <v>36</v>
      </c>
      <c r="D7445" s="4">
        <v>2032</v>
      </c>
      <c r="E7445" s="4">
        <v>13016.69395713739</v>
      </c>
      <c r="F7445" s="4" t="s">
        <v>29</v>
      </c>
    </row>
    <row r="7446" spans="1:6" x14ac:dyDescent="0.25">
      <c r="A7446" s="4" t="s">
        <v>73</v>
      </c>
      <c r="B7446" s="4" t="s">
        <v>23</v>
      </c>
      <c r="C7446" s="4" t="s">
        <v>36</v>
      </c>
      <c r="D7446" s="4">
        <v>2033</v>
      </c>
      <c r="E7446" s="4">
        <v>13145.141190714119</v>
      </c>
      <c r="F7446" s="4" t="s">
        <v>29</v>
      </c>
    </row>
    <row r="7447" spans="1:6" x14ac:dyDescent="0.25">
      <c r="A7447" s="4" t="s">
        <v>73</v>
      </c>
      <c r="B7447" s="4" t="s">
        <v>23</v>
      </c>
      <c r="C7447" s="4" t="s">
        <v>36</v>
      </c>
      <c r="D7447" s="4">
        <v>2034</v>
      </c>
      <c r="E7447" s="4">
        <v>13284.090173843084</v>
      </c>
      <c r="F7447" s="4" t="s">
        <v>29</v>
      </c>
    </row>
    <row r="7448" spans="1:6" x14ac:dyDescent="0.25">
      <c r="A7448" s="4" t="s">
        <v>73</v>
      </c>
      <c r="B7448" s="4" t="s">
        <v>23</v>
      </c>
      <c r="C7448" s="4" t="s">
        <v>36</v>
      </c>
      <c r="D7448" s="4">
        <v>2035</v>
      </c>
      <c r="E7448" s="4">
        <v>13424.140404917267</v>
      </c>
      <c r="F7448" s="4" t="s">
        <v>29</v>
      </c>
    </row>
    <row r="7449" spans="1:6" x14ac:dyDescent="0.25">
      <c r="A7449" s="4" t="s">
        <v>73</v>
      </c>
      <c r="B7449" s="4" t="s">
        <v>23</v>
      </c>
      <c r="C7449" s="4" t="s">
        <v>36</v>
      </c>
      <c r="D7449" s="4">
        <v>2036</v>
      </c>
      <c r="E7449" s="4">
        <v>13572.651458695604</v>
      </c>
      <c r="F7449" s="4" t="s">
        <v>29</v>
      </c>
    </row>
    <row r="7450" spans="1:6" x14ac:dyDescent="0.25">
      <c r="A7450" s="4" t="s">
        <v>73</v>
      </c>
      <c r="B7450" s="4" t="s">
        <v>23</v>
      </c>
      <c r="C7450" s="4" t="s">
        <v>36</v>
      </c>
      <c r="D7450" s="4">
        <v>2037</v>
      </c>
      <c r="E7450" s="4">
        <v>13735.030926412393</v>
      </c>
      <c r="F7450" s="4" t="s">
        <v>29</v>
      </c>
    </row>
    <row r="7451" spans="1:6" x14ac:dyDescent="0.25">
      <c r="A7451" s="4" t="s">
        <v>73</v>
      </c>
      <c r="B7451" s="4" t="s">
        <v>23</v>
      </c>
      <c r="C7451" s="4" t="s">
        <v>36</v>
      </c>
      <c r="D7451" s="4">
        <v>2038</v>
      </c>
      <c r="E7451" s="4">
        <v>13897.946293999657</v>
      </c>
      <c r="F7451" s="4" t="s">
        <v>29</v>
      </c>
    </row>
    <row r="7452" spans="1:6" x14ac:dyDescent="0.25">
      <c r="A7452" s="4" t="s">
        <v>73</v>
      </c>
      <c r="B7452" s="4" t="s">
        <v>23</v>
      </c>
      <c r="C7452" s="4" t="s">
        <v>36</v>
      </c>
      <c r="D7452" s="4">
        <v>2039</v>
      </c>
      <c r="E7452" s="4">
        <v>14065.490043598315</v>
      </c>
      <c r="F7452" s="4" t="s">
        <v>29</v>
      </c>
    </row>
    <row r="7453" spans="1:6" x14ac:dyDescent="0.25">
      <c r="A7453" s="4" t="s">
        <v>73</v>
      </c>
      <c r="B7453" s="4" t="s">
        <v>23</v>
      </c>
      <c r="C7453" s="4" t="s">
        <v>36</v>
      </c>
      <c r="D7453" s="4">
        <v>2040</v>
      </c>
      <c r="E7453" s="4">
        <v>14238.659684972541</v>
      </c>
      <c r="F7453" s="4" t="s">
        <v>29</v>
      </c>
    </row>
    <row r="7454" spans="1:6" x14ac:dyDescent="0.25">
      <c r="A7454" s="4" t="s">
        <v>74</v>
      </c>
      <c r="B7454" s="4" t="s">
        <v>1</v>
      </c>
      <c r="C7454" s="4" t="s">
        <v>36</v>
      </c>
      <c r="D7454" s="4">
        <v>2005</v>
      </c>
      <c r="E7454" s="4">
        <v>61608.885781863297</v>
      </c>
      <c r="F7454" s="4" t="s">
        <v>29</v>
      </c>
    </row>
    <row r="7455" spans="1:6" x14ac:dyDescent="0.25">
      <c r="A7455" s="4" t="s">
        <v>74</v>
      </c>
      <c r="B7455" s="4" t="s">
        <v>1</v>
      </c>
      <c r="C7455" s="4" t="s">
        <v>36</v>
      </c>
      <c r="D7455" s="4">
        <v>2006</v>
      </c>
      <c r="E7455" s="4">
        <v>59160.558397498877</v>
      </c>
      <c r="F7455" s="4" t="s">
        <v>29</v>
      </c>
    </row>
    <row r="7456" spans="1:6" x14ac:dyDescent="0.25">
      <c r="A7456" s="4" t="s">
        <v>74</v>
      </c>
      <c r="B7456" s="4" t="s">
        <v>1</v>
      </c>
      <c r="C7456" s="4" t="s">
        <v>36</v>
      </c>
      <c r="D7456" s="4">
        <v>2007</v>
      </c>
      <c r="E7456" s="4">
        <v>57156.982398125292</v>
      </c>
      <c r="F7456" s="4" t="s">
        <v>29</v>
      </c>
    </row>
    <row r="7457" spans="1:6" x14ac:dyDescent="0.25">
      <c r="A7457" s="4" t="s">
        <v>74</v>
      </c>
      <c r="B7457" s="4" t="s">
        <v>1</v>
      </c>
      <c r="C7457" s="4" t="s">
        <v>36</v>
      </c>
      <c r="D7457" s="4">
        <v>2008</v>
      </c>
      <c r="E7457" s="4">
        <v>55079.4261325193</v>
      </c>
      <c r="F7457" s="4" t="s">
        <v>29</v>
      </c>
    </row>
    <row r="7458" spans="1:6" x14ac:dyDescent="0.25">
      <c r="A7458" s="4" t="s">
        <v>74</v>
      </c>
      <c r="B7458" s="4" t="s">
        <v>1</v>
      </c>
      <c r="C7458" s="4" t="s">
        <v>36</v>
      </c>
      <c r="D7458" s="4">
        <v>2009</v>
      </c>
      <c r="E7458" s="4">
        <v>50836.217720381457</v>
      </c>
      <c r="F7458" s="4" t="s">
        <v>29</v>
      </c>
    </row>
    <row r="7459" spans="1:6" x14ac:dyDescent="0.25">
      <c r="A7459" s="4" t="s">
        <v>74</v>
      </c>
      <c r="B7459" s="4" t="s">
        <v>1</v>
      </c>
      <c r="C7459" s="4" t="s">
        <v>36</v>
      </c>
      <c r="D7459" s="4">
        <v>2010</v>
      </c>
      <c r="E7459" s="4">
        <v>51338.873677928677</v>
      </c>
      <c r="F7459" s="4" t="s">
        <v>29</v>
      </c>
    </row>
    <row r="7460" spans="1:6" x14ac:dyDescent="0.25">
      <c r="A7460" s="4" t="s">
        <v>74</v>
      </c>
      <c r="B7460" s="4" t="s">
        <v>1</v>
      </c>
      <c r="C7460" s="4" t="s">
        <v>36</v>
      </c>
      <c r="D7460" s="4">
        <v>2011</v>
      </c>
      <c r="E7460" s="4">
        <v>56341.617267120324</v>
      </c>
      <c r="F7460" s="4" t="s">
        <v>29</v>
      </c>
    </row>
    <row r="7461" spans="1:6" x14ac:dyDescent="0.25">
      <c r="A7461" s="4" t="s">
        <v>74</v>
      </c>
      <c r="B7461" s="4" t="s">
        <v>1</v>
      </c>
      <c r="C7461" s="4" t="s">
        <v>36</v>
      </c>
      <c r="D7461" s="4">
        <v>2012</v>
      </c>
      <c r="E7461" s="4">
        <v>65504.216617338796</v>
      </c>
      <c r="F7461" s="4" t="s">
        <v>29</v>
      </c>
    </row>
    <row r="7462" spans="1:6" x14ac:dyDescent="0.25">
      <c r="A7462" s="4" t="s">
        <v>74</v>
      </c>
      <c r="B7462" s="4" t="s">
        <v>1</v>
      </c>
      <c r="C7462" s="4" t="s">
        <v>36</v>
      </c>
      <c r="D7462" s="4">
        <v>2013</v>
      </c>
      <c r="E7462" s="4">
        <v>69200.576338328712</v>
      </c>
      <c r="F7462" s="4" t="s">
        <v>29</v>
      </c>
    </row>
    <row r="7463" spans="1:6" x14ac:dyDescent="0.25">
      <c r="A7463" s="4" t="s">
        <v>74</v>
      </c>
      <c r="B7463" s="4" t="s">
        <v>1</v>
      </c>
      <c r="C7463" s="4" t="s">
        <v>36</v>
      </c>
      <c r="D7463" s="4">
        <v>2014</v>
      </c>
      <c r="E7463" s="4">
        <v>71051.166299791337</v>
      </c>
      <c r="F7463" s="4" t="s">
        <v>29</v>
      </c>
    </row>
    <row r="7464" spans="1:6" x14ac:dyDescent="0.25">
      <c r="A7464" s="4" t="s">
        <v>74</v>
      </c>
      <c r="B7464" s="4" t="s">
        <v>1</v>
      </c>
      <c r="C7464" s="4" t="s">
        <v>36</v>
      </c>
      <c r="D7464" s="4">
        <v>2015</v>
      </c>
      <c r="E7464" s="4">
        <v>64074.35544146796</v>
      </c>
      <c r="F7464" s="4" t="s">
        <v>29</v>
      </c>
    </row>
    <row r="7465" spans="1:6" x14ac:dyDescent="0.25">
      <c r="A7465" s="4" t="s">
        <v>74</v>
      </c>
      <c r="B7465" s="4" t="s">
        <v>1</v>
      </c>
      <c r="C7465" s="4" t="s">
        <v>36</v>
      </c>
      <c r="D7465" s="4">
        <v>2016</v>
      </c>
      <c r="E7465" s="4">
        <v>53323.447957963377</v>
      </c>
      <c r="F7465" s="4" t="s">
        <v>29</v>
      </c>
    </row>
    <row r="7466" spans="1:6" x14ac:dyDescent="0.25">
      <c r="A7466" s="4" t="s">
        <v>74</v>
      </c>
      <c r="B7466" s="4" t="s">
        <v>1</v>
      </c>
      <c r="C7466" s="4" t="s">
        <v>36</v>
      </c>
      <c r="D7466" s="4">
        <v>2017</v>
      </c>
      <c r="E7466" s="4">
        <v>53315.231226348718</v>
      </c>
      <c r="F7466" s="4" t="s">
        <v>29</v>
      </c>
    </row>
    <row r="7467" spans="1:6" x14ac:dyDescent="0.25">
      <c r="A7467" s="4" t="s">
        <v>74</v>
      </c>
      <c r="B7467" s="4" t="s">
        <v>1</v>
      </c>
      <c r="C7467" s="4" t="s">
        <v>36</v>
      </c>
      <c r="D7467" s="4">
        <v>2018</v>
      </c>
      <c r="E7467" s="4">
        <v>54344.354991857785</v>
      </c>
      <c r="F7467" s="4" t="s">
        <v>29</v>
      </c>
    </row>
    <row r="7468" spans="1:6" x14ac:dyDescent="0.25">
      <c r="A7468" s="4" t="s">
        <v>74</v>
      </c>
      <c r="B7468" s="4" t="s">
        <v>1</v>
      </c>
      <c r="C7468" s="4" t="s">
        <v>36</v>
      </c>
      <c r="D7468" s="4">
        <v>2019</v>
      </c>
      <c r="E7468" s="4">
        <v>54875.50906894244</v>
      </c>
      <c r="F7468" s="4" t="s">
        <v>29</v>
      </c>
    </row>
    <row r="7469" spans="1:6" x14ac:dyDescent="0.25">
      <c r="A7469" s="4" t="s">
        <v>74</v>
      </c>
      <c r="B7469" s="4" t="s">
        <v>1</v>
      </c>
      <c r="C7469" s="4" t="s">
        <v>36</v>
      </c>
      <c r="D7469" s="4">
        <v>2020</v>
      </c>
      <c r="E7469" s="4">
        <v>54649.037723472196</v>
      </c>
      <c r="F7469" s="4" t="s">
        <v>29</v>
      </c>
    </row>
    <row r="7470" spans="1:6" x14ac:dyDescent="0.25">
      <c r="A7470" s="4" t="s">
        <v>74</v>
      </c>
      <c r="B7470" s="4" t="s">
        <v>1</v>
      </c>
      <c r="C7470" s="4" t="s">
        <v>36</v>
      </c>
      <c r="D7470" s="4">
        <v>2021</v>
      </c>
      <c r="E7470" s="4">
        <v>54411.54111355864</v>
      </c>
      <c r="F7470" s="4" t="s">
        <v>29</v>
      </c>
    </row>
    <row r="7471" spans="1:6" x14ac:dyDescent="0.25">
      <c r="A7471" s="4" t="s">
        <v>74</v>
      </c>
      <c r="B7471" s="4" t="s">
        <v>1</v>
      </c>
      <c r="C7471" s="4" t="s">
        <v>36</v>
      </c>
      <c r="D7471" s="4">
        <v>2022</v>
      </c>
      <c r="E7471" s="4">
        <v>54382.474506856379</v>
      </c>
      <c r="F7471" s="4" t="s">
        <v>29</v>
      </c>
    </row>
    <row r="7472" spans="1:6" x14ac:dyDescent="0.25">
      <c r="A7472" s="4" t="s">
        <v>74</v>
      </c>
      <c r="B7472" s="4" t="s">
        <v>1</v>
      </c>
      <c r="C7472" s="4" t="s">
        <v>36</v>
      </c>
      <c r="D7472" s="4">
        <v>2023</v>
      </c>
      <c r="E7472" s="4">
        <v>54751.862883647824</v>
      </c>
      <c r="F7472" s="4" t="s">
        <v>29</v>
      </c>
    </row>
    <row r="7473" spans="1:6" x14ac:dyDescent="0.25">
      <c r="A7473" s="4" t="s">
        <v>74</v>
      </c>
      <c r="B7473" s="4" t="s">
        <v>1</v>
      </c>
      <c r="C7473" s="4" t="s">
        <v>36</v>
      </c>
      <c r="D7473" s="4">
        <v>2024</v>
      </c>
      <c r="E7473" s="4">
        <v>55557.317303357384</v>
      </c>
      <c r="F7473" s="4" t="s">
        <v>29</v>
      </c>
    </row>
    <row r="7474" spans="1:6" x14ac:dyDescent="0.25">
      <c r="A7474" s="4" t="s">
        <v>74</v>
      </c>
      <c r="B7474" s="4" t="s">
        <v>1</v>
      </c>
      <c r="C7474" s="4" t="s">
        <v>36</v>
      </c>
      <c r="D7474" s="4">
        <v>2025</v>
      </c>
      <c r="E7474" s="4">
        <v>56595.261640144898</v>
      </c>
      <c r="F7474" s="4" t="s">
        <v>29</v>
      </c>
    </row>
    <row r="7475" spans="1:6" x14ac:dyDescent="0.25">
      <c r="A7475" s="4" t="s">
        <v>74</v>
      </c>
      <c r="B7475" s="4" t="s">
        <v>1</v>
      </c>
      <c r="C7475" s="4" t="s">
        <v>36</v>
      </c>
      <c r="D7475" s="4">
        <v>2026</v>
      </c>
      <c r="E7475" s="4">
        <v>57567.871099585333</v>
      </c>
      <c r="F7475" s="4" t="s">
        <v>29</v>
      </c>
    </row>
    <row r="7476" spans="1:6" x14ac:dyDescent="0.25">
      <c r="A7476" s="4" t="s">
        <v>74</v>
      </c>
      <c r="B7476" s="4" t="s">
        <v>1</v>
      </c>
      <c r="C7476" s="4" t="s">
        <v>36</v>
      </c>
      <c r="D7476" s="4">
        <v>2027</v>
      </c>
      <c r="E7476" s="4">
        <v>58393.451320185835</v>
      </c>
      <c r="F7476" s="4" t="s">
        <v>29</v>
      </c>
    </row>
    <row r="7477" spans="1:6" x14ac:dyDescent="0.25">
      <c r="A7477" s="4" t="s">
        <v>74</v>
      </c>
      <c r="B7477" s="4" t="s">
        <v>1</v>
      </c>
      <c r="C7477" s="4" t="s">
        <v>36</v>
      </c>
      <c r="D7477" s="4">
        <v>2028</v>
      </c>
      <c r="E7477" s="4">
        <v>59060.399402139672</v>
      </c>
      <c r="F7477" s="4" t="s">
        <v>29</v>
      </c>
    </row>
    <row r="7478" spans="1:6" x14ac:dyDescent="0.25">
      <c r="A7478" s="4" t="s">
        <v>74</v>
      </c>
      <c r="B7478" s="4" t="s">
        <v>1</v>
      </c>
      <c r="C7478" s="4" t="s">
        <v>36</v>
      </c>
      <c r="D7478" s="4">
        <v>2029</v>
      </c>
      <c r="E7478" s="4">
        <v>59552.01198903747</v>
      </c>
      <c r="F7478" s="4" t="s">
        <v>29</v>
      </c>
    </row>
    <row r="7479" spans="1:6" x14ac:dyDescent="0.25">
      <c r="A7479" s="4" t="s">
        <v>74</v>
      </c>
      <c r="B7479" s="4" t="s">
        <v>1</v>
      </c>
      <c r="C7479" s="4" t="s">
        <v>36</v>
      </c>
      <c r="D7479" s="4">
        <v>2030</v>
      </c>
      <c r="E7479" s="4">
        <v>59859.922282208288</v>
      </c>
      <c r="F7479" s="4" t="s">
        <v>29</v>
      </c>
    </row>
    <row r="7480" spans="1:6" x14ac:dyDescent="0.25">
      <c r="A7480" s="4" t="s">
        <v>74</v>
      </c>
      <c r="B7480" s="4" t="s">
        <v>1</v>
      </c>
      <c r="C7480" s="4" t="s">
        <v>36</v>
      </c>
      <c r="D7480" s="4">
        <v>2031</v>
      </c>
      <c r="E7480" s="4">
        <v>60046.844619095435</v>
      </c>
      <c r="F7480" s="4" t="s">
        <v>29</v>
      </c>
    </row>
    <row r="7481" spans="1:6" x14ac:dyDescent="0.25">
      <c r="A7481" s="4" t="s">
        <v>74</v>
      </c>
      <c r="B7481" s="4" t="s">
        <v>1</v>
      </c>
      <c r="C7481" s="4" t="s">
        <v>36</v>
      </c>
      <c r="D7481" s="4">
        <v>2032</v>
      </c>
      <c r="E7481" s="4">
        <v>60155.501889187675</v>
      </c>
      <c r="F7481" s="4" t="s">
        <v>29</v>
      </c>
    </row>
    <row r="7482" spans="1:6" x14ac:dyDescent="0.25">
      <c r="A7482" s="4" t="s">
        <v>74</v>
      </c>
      <c r="B7482" s="4" t="s">
        <v>1</v>
      </c>
      <c r="C7482" s="4" t="s">
        <v>36</v>
      </c>
      <c r="D7482" s="4">
        <v>2033</v>
      </c>
      <c r="E7482" s="4">
        <v>60234.741265567514</v>
      </c>
      <c r="F7482" s="4" t="s">
        <v>29</v>
      </c>
    </row>
    <row r="7483" spans="1:6" x14ac:dyDescent="0.25">
      <c r="A7483" s="4" t="s">
        <v>74</v>
      </c>
      <c r="B7483" s="4" t="s">
        <v>1</v>
      </c>
      <c r="C7483" s="4" t="s">
        <v>36</v>
      </c>
      <c r="D7483" s="4">
        <v>2034</v>
      </c>
      <c r="E7483" s="4">
        <v>60294.288851975718</v>
      </c>
      <c r="F7483" s="4" t="s">
        <v>29</v>
      </c>
    </row>
    <row r="7484" spans="1:6" x14ac:dyDescent="0.25">
      <c r="A7484" s="4" t="s">
        <v>74</v>
      </c>
      <c r="B7484" s="4" t="s">
        <v>1</v>
      </c>
      <c r="C7484" s="4" t="s">
        <v>36</v>
      </c>
      <c r="D7484" s="4">
        <v>2035</v>
      </c>
      <c r="E7484" s="4">
        <v>60320.953498620715</v>
      </c>
      <c r="F7484" s="4" t="s">
        <v>29</v>
      </c>
    </row>
    <row r="7485" spans="1:6" x14ac:dyDescent="0.25">
      <c r="A7485" s="4" t="s">
        <v>74</v>
      </c>
      <c r="B7485" s="4" t="s">
        <v>1</v>
      </c>
      <c r="C7485" s="4" t="s">
        <v>36</v>
      </c>
      <c r="D7485" s="4">
        <v>2036</v>
      </c>
      <c r="E7485" s="4">
        <v>60295.068617677789</v>
      </c>
      <c r="F7485" s="4" t="s">
        <v>29</v>
      </c>
    </row>
    <row r="7486" spans="1:6" x14ac:dyDescent="0.25">
      <c r="A7486" s="4" t="s">
        <v>74</v>
      </c>
      <c r="B7486" s="4" t="s">
        <v>1</v>
      </c>
      <c r="C7486" s="4" t="s">
        <v>36</v>
      </c>
      <c r="D7486" s="4">
        <v>2037</v>
      </c>
      <c r="E7486" s="4">
        <v>60194.554338240079</v>
      </c>
      <c r="F7486" s="4" t="s">
        <v>29</v>
      </c>
    </row>
    <row r="7487" spans="1:6" x14ac:dyDescent="0.25">
      <c r="A7487" s="4" t="s">
        <v>74</v>
      </c>
      <c r="B7487" s="4" t="s">
        <v>1</v>
      </c>
      <c r="C7487" s="4" t="s">
        <v>36</v>
      </c>
      <c r="D7487" s="4">
        <v>2038</v>
      </c>
      <c r="E7487" s="4">
        <v>60008.343485391728</v>
      </c>
      <c r="F7487" s="4" t="s">
        <v>29</v>
      </c>
    </row>
    <row r="7488" spans="1:6" x14ac:dyDescent="0.25">
      <c r="A7488" s="4" t="s">
        <v>74</v>
      </c>
      <c r="B7488" s="4" t="s">
        <v>1</v>
      </c>
      <c r="C7488" s="4" t="s">
        <v>36</v>
      </c>
      <c r="D7488" s="4">
        <v>2039</v>
      </c>
      <c r="E7488" s="4">
        <v>59712.424354078445</v>
      </c>
      <c r="F7488" s="4" t="s">
        <v>29</v>
      </c>
    </row>
    <row r="7489" spans="1:6" x14ac:dyDescent="0.25">
      <c r="A7489" s="4" t="s">
        <v>74</v>
      </c>
      <c r="B7489" s="4" t="s">
        <v>1</v>
      </c>
      <c r="C7489" s="4" t="s">
        <v>36</v>
      </c>
      <c r="D7489" s="4">
        <v>2040</v>
      </c>
      <c r="E7489" s="4">
        <v>59326.210768036362</v>
      </c>
      <c r="F7489" s="4" t="s">
        <v>29</v>
      </c>
    </row>
    <row r="7490" spans="1:6" x14ac:dyDescent="0.25">
      <c r="A7490" s="4" t="s">
        <v>74</v>
      </c>
      <c r="B7490" s="4" t="s">
        <v>2</v>
      </c>
      <c r="C7490" s="4" t="s">
        <v>36</v>
      </c>
      <c r="D7490" s="4">
        <v>2005</v>
      </c>
      <c r="E7490" s="4">
        <v>29193.593812990777</v>
      </c>
      <c r="F7490" s="4" t="s">
        <v>29</v>
      </c>
    </row>
    <row r="7491" spans="1:6" x14ac:dyDescent="0.25">
      <c r="A7491" s="4" t="s">
        <v>74</v>
      </c>
      <c r="B7491" s="4" t="s">
        <v>2</v>
      </c>
      <c r="C7491" s="4" t="s">
        <v>36</v>
      </c>
      <c r="D7491" s="4">
        <v>2006</v>
      </c>
      <c r="E7491" s="4">
        <v>27160.952141415612</v>
      </c>
      <c r="F7491" s="4" t="s">
        <v>29</v>
      </c>
    </row>
    <row r="7492" spans="1:6" x14ac:dyDescent="0.25">
      <c r="A7492" s="4" t="s">
        <v>74</v>
      </c>
      <c r="B7492" s="4" t="s">
        <v>2</v>
      </c>
      <c r="C7492" s="4" t="s">
        <v>36</v>
      </c>
      <c r="D7492" s="4">
        <v>2007</v>
      </c>
      <c r="E7492" s="4">
        <v>26214.863449288954</v>
      </c>
      <c r="F7492" s="4" t="s">
        <v>29</v>
      </c>
    </row>
    <row r="7493" spans="1:6" x14ac:dyDescent="0.25">
      <c r="A7493" s="4" t="s">
        <v>74</v>
      </c>
      <c r="B7493" s="4" t="s">
        <v>2</v>
      </c>
      <c r="C7493" s="4" t="s">
        <v>36</v>
      </c>
      <c r="D7493" s="4">
        <v>2008</v>
      </c>
      <c r="E7493" s="4">
        <v>24858.490534147371</v>
      </c>
      <c r="F7493" s="4" t="s">
        <v>29</v>
      </c>
    </row>
    <row r="7494" spans="1:6" x14ac:dyDescent="0.25">
      <c r="A7494" s="4" t="s">
        <v>74</v>
      </c>
      <c r="B7494" s="4" t="s">
        <v>2</v>
      </c>
      <c r="C7494" s="4" t="s">
        <v>36</v>
      </c>
      <c r="D7494" s="4">
        <v>2009</v>
      </c>
      <c r="E7494" s="4">
        <v>22446.045407498725</v>
      </c>
      <c r="F7494" s="4" t="s">
        <v>29</v>
      </c>
    </row>
    <row r="7495" spans="1:6" x14ac:dyDescent="0.25">
      <c r="A7495" s="4" t="s">
        <v>74</v>
      </c>
      <c r="B7495" s="4" t="s">
        <v>2</v>
      </c>
      <c r="C7495" s="4" t="s">
        <v>36</v>
      </c>
      <c r="D7495" s="4">
        <v>2010</v>
      </c>
      <c r="E7495" s="4">
        <v>21617.565081031888</v>
      </c>
      <c r="F7495" s="4" t="s">
        <v>29</v>
      </c>
    </row>
    <row r="7496" spans="1:6" x14ac:dyDescent="0.25">
      <c r="A7496" s="4" t="s">
        <v>74</v>
      </c>
      <c r="B7496" s="4" t="s">
        <v>2</v>
      </c>
      <c r="C7496" s="4" t="s">
        <v>36</v>
      </c>
      <c r="D7496" s="4">
        <v>2011</v>
      </c>
      <c r="E7496" s="4">
        <v>21535.350062628768</v>
      </c>
      <c r="F7496" s="4" t="s">
        <v>29</v>
      </c>
    </row>
    <row r="7497" spans="1:6" x14ac:dyDescent="0.25">
      <c r="A7497" s="4" t="s">
        <v>74</v>
      </c>
      <c r="B7497" s="4" t="s">
        <v>2</v>
      </c>
      <c r="C7497" s="4" t="s">
        <v>36</v>
      </c>
      <c r="D7497" s="4">
        <v>2012</v>
      </c>
      <c r="E7497" s="4">
        <v>22936.758509477593</v>
      </c>
      <c r="F7497" s="4" t="s">
        <v>29</v>
      </c>
    </row>
    <row r="7498" spans="1:6" x14ac:dyDescent="0.25">
      <c r="A7498" s="4" t="s">
        <v>74</v>
      </c>
      <c r="B7498" s="4" t="s">
        <v>2</v>
      </c>
      <c r="C7498" s="4" t="s">
        <v>36</v>
      </c>
      <c r="D7498" s="4">
        <v>2013</v>
      </c>
      <c r="E7498" s="4">
        <v>23326.349274190499</v>
      </c>
      <c r="F7498" s="4" t="s">
        <v>29</v>
      </c>
    </row>
    <row r="7499" spans="1:6" x14ac:dyDescent="0.25">
      <c r="A7499" s="4" t="s">
        <v>74</v>
      </c>
      <c r="B7499" s="4" t="s">
        <v>2</v>
      </c>
      <c r="C7499" s="4" t="s">
        <v>36</v>
      </c>
      <c r="D7499" s="4">
        <v>2014</v>
      </c>
      <c r="E7499" s="4">
        <v>22640.786462625441</v>
      </c>
      <c r="F7499" s="4" t="s">
        <v>29</v>
      </c>
    </row>
    <row r="7500" spans="1:6" x14ac:dyDescent="0.25">
      <c r="A7500" s="4" t="s">
        <v>74</v>
      </c>
      <c r="B7500" s="4" t="s">
        <v>2</v>
      </c>
      <c r="C7500" s="4" t="s">
        <v>36</v>
      </c>
      <c r="D7500" s="4">
        <v>2015</v>
      </c>
      <c r="E7500" s="4">
        <v>20228.204740943693</v>
      </c>
      <c r="F7500" s="4" t="s">
        <v>29</v>
      </c>
    </row>
    <row r="7501" spans="1:6" x14ac:dyDescent="0.25">
      <c r="A7501" s="4" t="s">
        <v>74</v>
      </c>
      <c r="B7501" s="4" t="s">
        <v>2</v>
      </c>
      <c r="C7501" s="4" t="s">
        <v>36</v>
      </c>
      <c r="D7501" s="4">
        <v>2016</v>
      </c>
      <c r="E7501" s="4">
        <v>17488.412924688299</v>
      </c>
      <c r="F7501" s="4" t="s">
        <v>29</v>
      </c>
    </row>
    <row r="7502" spans="1:6" x14ac:dyDescent="0.25">
      <c r="A7502" s="4" t="s">
        <v>74</v>
      </c>
      <c r="B7502" s="4" t="s">
        <v>2</v>
      </c>
      <c r="C7502" s="4" t="s">
        <v>36</v>
      </c>
      <c r="D7502" s="4">
        <v>2017</v>
      </c>
      <c r="E7502" s="4">
        <v>17204.000523056242</v>
      </c>
      <c r="F7502" s="4" t="s">
        <v>29</v>
      </c>
    </row>
    <row r="7503" spans="1:6" x14ac:dyDescent="0.25">
      <c r="A7503" s="4" t="s">
        <v>74</v>
      </c>
      <c r="B7503" s="4" t="s">
        <v>2</v>
      </c>
      <c r="C7503" s="4" t="s">
        <v>36</v>
      </c>
      <c r="D7503" s="4">
        <v>2018</v>
      </c>
      <c r="E7503" s="4">
        <v>16181.945772342844</v>
      </c>
      <c r="F7503" s="4" t="s">
        <v>29</v>
      </c>
    </row>
    <row r="7504" spans="1:6" x14ac:dyDescent="0.25">
      <c r="A7504" s="4" t="s">
        <v>74</v>
      </c>
      <c r="B7504" s="4" t="s">
        <v>2</v>
      </c>
      <c r="C7504" s="4" t="s">
        <v>36</v>
      </c>
      <c r="D7504" s="4">
        <v>2019</v>
      </c>
      <c r="E7504" s="4">
        <v>15181.392219121621</v>
      </c>
      <c r="F7504" s="4" t="s">
        <v>29</v>
      </c>
    </row>
    <row r="7505" spans="1:6" x14ac:dyDescent="0.25">
      <c r="A7505" s="4" t="s">
        <v>74</v>
      </c>
      <c r="B7505" s="4" t="s">
        <v>2</v>
      </c>
      <c r="C7505" s="4" t="s">
        <v>36</v>
      </c>
      <c r="D7505" s="4">
        <v>2020</v>
      </c>
      <c r="E7505" s="4">
        <v>14239.265554239504</v>
      </c>
      <c r="F7505" s="4" t="s">
        <v>29</v>
      </c>
    </row>
    <row r="7506" spans="1:6" x14ac:dyDescent="0.25">
      <c r="A7506" s="4" t="s">
        <v>74</v>
      </c>
      <c r="B7506" s="4" t="s">
        <v>2</v>
      </c>
      <c r="C7506" s="4" t="s">
        <v>36</v>
      </c>
      <c r="D7506" s="4">
        <v>2021</v>
      </c>
      <c r="E7506" s="4">
        <v>13501.308332104352</v>
      </c>
      <c r="F7506" s="4" t="s">
        <v>29</v>
      </c>
    </row>
    <row r="7507" spans="1:6" x14ac:dyDescent="0.25">
      <c r="A7507" s="4" t="s">
        <v>74</v>
      </c>
      <c r="B7507" s="4" t="s">
        <v>2</v>
      </c>
      <c r="C7507" s="4" t="s">
        <v>36</v>
      </c>
      <c r="D7507" s="4">
        <v>2022</v>
      </c>
      <c r="E7507" s="4">
        <v>13007.245081555238</v>
      </c>
      <c r="F7507" s="4" t="s">
        <v>29</v>
      </c>
    </row>
    <row r="7508" spans="1:6" x14ac:dyDescent="0.25">
      <c r="A7508" s="4" t="s">
        <v>74</v>
      </c>
      <c r="B7508" s="4" t="s">
        <v>2</v>
      </c>
      <c r="C7508" s="4" t="s">
        <v>36</v>
      </c>
      <c r="D7508" s="4">
        <v>2023</v>
      </c>
      <c r="E7508" s="4">
        <v>12762.341970071888</v>
      </c>
      <c r="F7508" s="4" t="s">
        <v>29</v>
      </c>
    </row>
    <row r="7509" spans="1:6" x14ac:dyDescent="0.25">
      <c r="A7509" s="4" t="s">
        <v>74</v>
      </c>
      <c r="B7509" s="4" t="s">
        <v>2</v>
      </c>
      <c r="C7509" s="4" t="s">
        <v>36</v>
      </c>
      <c r="D7509" s="4">
        <v>2024</v>
      </c>
      <c r="E7509" s="4">
        <v>12749.625649301854</v>
      </c>
      <c r="F7509" s="4" t="s">
        <v>29</v>
      </c>
    </row>
    <row r="7510" spans="1:6" x14ac:dyDescent="0.25">
      <c r="A7510" s="4" t="s">
        <v>74</v>
      </c>
      <c r="B7510" s="4" t="s">
        <v>2</v>
      </c>
      <c r="C7510" s="4" t="s">
        <v>36</v>
      </c>
      <c r="D7510" s="4">
        <v>2025</v>
      </c>
      <c r="E7510" s="4">
        <v>12890.978755162896</v>
      </c>
      <c r="F7510" s="4" t="s">
        <v>29</v>
      </c>
    </row>
    <row r="7511" spans="1:6" x14ac:dyDescent="0.25">
      <c r="A7511" s="4" t="s">
        <v>74</v>
      </c>
      <c r="B7511" s="4" t="s">
        <v>2</v>
      </c>
      <c r="C7511" s="4" t="s">
        <v>36</v>
      </c>
      <c r="D7511" s="4">
        <v>2026</v>
      </c>
      <c r="E7511" s="4">
        <v>13085.199382149936</v>
      </c>
      <c r="F7511" s="4" t="s">
        <v>29</v>
      </c>
    </row>
    <row r="7512" spans="1:6" x14ac:dyDescent="0.25">
      <c r="A7512" s="4" t="s">
        <v>74</v>
      </c>
      <c r="B7512" s="4" t="s">
        <v>2</v>
      </c>
      <c r="C7512" s="4" t="s">
        <v>36</v>
      </c>
      <c r="D7512" s="4">
        <v>2027</v>
      </c>
      <c r="E7512" s="4">
        <v>13291.179406801577</v>
      </c>
      <c r="F7512" s="4" t="s">
        <v>29</v>
      </c>
    </row>
    <row r="7513" spans="1:6" x14ac:dyDescent="0.25">
      <c r="A7513" s="4" t="s">
        <v>74</v>
      </c>
      <c r="B7513" s="4" t="s">
        <v>2</v>
      </c>
      <c r="C7513" s="4" t="s">
        <v>36</v>
      </c>
      <c r="D7513" s="4">
        <v>2028</v>
      </c>
      <c r="E7513" s="4">
        <v>13481.167730925425</v>
      </c>
      <c r="F7513" s="4" t="s">
        <v>29</v>
      </c>
    </row>
    <row r="7514" spans="1:6" x14ac:dyDescent="0.25">
      <c r="A7514" s="4" t="s">
        <v>74</v>
      </c>
      <c r="B7514" s="4" t="s">
        <v>2</v>
      </c>
      <c r="C7514" s="4" t="s">
        <v>36</v>
      </c>
      <c r="D7514" s="4">
        <v>2029</v>
      </c>
      <c r="E7514" s="4">
        <v>13636.818853335064</v>
      </c>
      <c r="F7514" s="4" t="s">
        <v>29</v>
      </c>
    </row>
    <row r="7515" spans="1:6" x14ac:dyDescent="0.25">
      <c r="A7515" s="4" t="s">
        <v>74</v>
      </c>
      <c r="B7515" s="4" t="s">
        <v>2</v>
      </c>
      <c r="C7515" s="4" t="s">
        <v>36</v>
      </c>
      <c r="D7515" s="4">
        <v>2030</v>
      </c>
      <c r="E7515" s="4">
        <v>13754.610100104594</v>
      </c>
      <c r="F7515" s="4" t="s">
        <v>29</v>
      </c>
    </row>
    <row r="7516" spans="1:6" x14ac:dyDescent="0.25">
      <c r="A7516" s="4" t="s">
        <v>74</v>
      </c>
      <c r="B7516" s="4" t="s">
        <v>2</v>
      </c>
      <c r="C7516" s="4" t="s">
        <v>36</v>
      </c>
      <c r="D7516" s="4">
        <v>2031</v>
      </c>
      <c r="E7516" s="4">
        <v>13849.512624626004</v>
      </c>
      <c r="F7516" s="4" t="s">
        <v>29</v>
      </c>
    </row>
    <row r="7517" spans="1:6" x14ac:dyDescent="0.25">
      <c r="A7517" s="4" t="s">
        <v>74</v>
      </c>
      <c r="B7517" s="4" t="s">
        <v>2</v>
      </c>
      <c r="C7517" s="4" t="s">
        <v>36</v>
      </c>
      <c r="D7517" s="4">
        <v>2032</v>
      </c>
      <c r="E7517" s="4">
        <v>13934.013290829913</v>
      </c>
      <c r="F7517" s="4" t="s">
        <v>29</v>
      </c>
    </row>
    <row r="7518" spans="1:6" x14ac:dyDescent="0.25">
      <c r="A7518" s="4" t="s">
        <v>74</v>
      </c>
      <c r="B7518" s="4" t="s">
        <v>2</v>
      </c>
      <c r="C7518" s="4" t="s">
        <v>36</v>
      </c>
      <c r="D7518" s="4">
        <v>2033</v>
      </c>
      <c r="E7518" s="4">
        <v>14012.222727928278</v>
      </c>
      <c r="F7518" s="4" t="s">
        <v>29</v>
      </c>
    </row>
    <row r="7519" spans="1:6" x14ac:dyDescent="0.25">
      <c r="A7519" s="4" t="s">
        <v>74</v>
      </c>
      <c r="B7519" s="4" t="s">
        <v>2</v>
      </c>
      <c r="C7519" s="4" t="s">
        <v>36</v>
      </c>
      <c r="D7519" s="4">
        <v>2034</v>
      </c>
      <c r="E7519" s="4">
        <v>14083.848625982286</v>
      </c>
      <c r="F7519" s="4" t="s">
        <v>29</v>
      </c>
    </row>
    <row r="7520" spans="1:6" x14ac:dyDescent="0.25">
      <c r="A7520" s="4" t="s">
        <v>74</v>
      </c>
      <c r="B7520" s="4" t="s">
        <v>2</v>
      </c>
      <c r="C7520" s="4" t="s">
        <v>36</v>
      </c>
      <c r="D7520" s="4">
        <v>2035</v>
      </c>
      <c r="E7520" s="4">
        <v>14147.4953425981</v>
      </c>
      <c r="F7520" s="4" t="s">
        <v>29</v>
      </c>
    </row>
    <row r="7521" spans="1:6" x14ac:dyDescent="0.25">
      <c r="A7521" s="4" t="s">
        <v>74</v>
      </c>
      <c r="B7521" s="4" t="s">
        <v>2</v>
      </c>
      <c r="C7521" s="4" t="s">
        <v>36</v>
      </c>
      <c r="D7521" s="4">
        <v>2036</v>
      </c>
      <c r="E7521" s="4">
        <v>14197.324116562535</v>
      </c>
      <c r="F7521" s="4" t="s">
        <v>29</v>
      </c>
    </row>
    <row r="7522" spans="1:6" x14ac:dyDescent="0.25">
      <c r="A7522" s="4" t="s">
        <v>74</v>
      </c>
      <c r="B7522" s="4" t="s">
        <v>2</v>
      </c>
      <c r="C7522" s="4" t="s">
        <v>36</v>
      </c>
      <c r="D7522" s="4">
        <v>2037</v>
      </c>
      <c r="E7522" s="4">
        <v>14227.462128390185</v>
      </c>
      <c r="F7522" s="4" t="s">
        <v>29</v>
      </c>
    </row>
    <row r="7523" spans="1:6" x14ac:dyDescent="0.25">
      <c r="A7523" s="4" t="s">
        <v>74</v>
      </c>
      <c r="B7523" s="4" t="s">
        <v>2</v>
      </c>
      <c r="C7523" s="4" t="s">
        <v>36</v>
      </c>
      <c r="D7523" s="4">
        <v>2038</v>
      </c>
      <c r="E7523" s="4">
        <v>14232.374729186189</v>
      </c>
      <c r="F7523" s="4" t="s">
        <v>29</v>
      </c>
    </row>
    <row r="7524" spans="1:6" x14ac:dyDescent="0.25">
      <c r="A7524" s="4" t="s">
        <v>74</v>
      </c>
      <c r="B7524" s="4" t="s">
        <v>2</v>
      </c>
      <c r="C7524" s="4" t="s">
        <v>36</v>
      </c>
      <c r="D7524" s="4">
        <v>2039</v>
      </c>
      <c r="E7524" s="4">
        <v>14204.169215700713</v>
      </c>
      <c r="F7524" s="4" t="s">
        <v>29</v>
      </c>
    </row>
    <row r="7525" spans="1:6" x14ac:dyDescent="0.25">
      <c r="A7525" s="4" t="s">
        <v>74</v>
      </c>
      <c r="B7525" s="4" t="s">
        <v>2</v>
      </c>
      <c r="C7525" s="4" t="s">
        <v>36</v>
      </c>
      <c r="D7525" s="4">
        <v>2040</v>
      </c>
      <c r="E7525" s="4">
        <v>14147.818339506293</v>
      </c>
      <c r="F7525" s="4" t="s">
        <v>29</v>
      </c>
    </row>
    <row r="7526" spans="1:6" x14ac:dyDescent="0.25">
      <c r="A7526" s="4" t="s">
        <v>74</v>
      </c>
      <c r="B7526" s="4" t="s">
        <v>3</v>
      </c>
      <c r="C7526" s="4" t="s">
        <v>36</v>
      </c>
      <c r="D7526" s="4">
        <v>2005</v>
      </c>
      <c r="E7526" s="4">
        <v>20570</v>
      </c>
      <c r="F7526" s="4" t="s">
        <v>29</v>
      </c>
    </row>
    <row r="7527" spans="1:6" x14ac:dyDescent="0.25">
      <c r="A7527" s="4" t="s">
        <v>74</v>
      </c>
      <c r="B7527" s="4" t="s">
        <v>3</v>
      </c>
      <c r="C7527" s="4" t="s">
        <v>36</v>
      </c>
      <c r="D7527" s="4">
        <v>2006</v>
      </c>
      <c r="E7527" s="4">
        <v>21350</v>
      </c>
      <c r="F7527" s="4" t="s">
        <v>29</v>
      </c>
    </row>
    <row r="7528" spans="1:6" x14ac:dyDescent="0.25">
      <c r="A7528" s="4" t="s">
        <v>74</v>
      </c>
      <c r="B7528" s="4" t="s">
        <v>3</v>
      </c>
      <c r="C7528" s="4" t="s">
        <v>36</v>
      </c>
      <c r="D7528" s="4">
        <v>2007</v>
      </c>
      <c r="E7528" s="4">
        <v>21260</v>
      </c>
      <c r="F7528" s="4" t="s">
        <v>29</v>
      </c>
    </row>
    <row r="7529" spans="1:6" x14ac:dyDescent="0.25">
      <c r="A7529" s="4" t="s">
        <v>74</v>
      </c>
      <c r="B7529" s="4" t="s">
        <v>3</v>
      </c>
      <c r="C7529" s="4" t="s">
        <v>36</v>
      </c>
      <c r="D7529" s="4">
        <v>2008</v>
      </c>
      <c r="E7529" s="4">
        <v>20070</v>
      </c>
      <c r="F7529" s="4" t="s">
        <v>29</v>
      </c>
    </row>
    <row r="7530" spans="1:6" x14ac:dyDescent="0.25">
      <c r="A7530" s="4" t="s">
        <v>74</v>
      </c>
      <c r="B7530" s="4" t="s">
        <v>3</v>
      </c>
      <c r="C7530" s="4" t="s">
        <v>36</v>
      </c>
      <c r="D7530" s="4">
        <v>2009</v>
      </c>
      <c r="E7530" s="4">
        <v>18840</v>
      </c>
      <c r="F7530" s="4" t="s">
        <v>29</v>
      </c>
    </row>
    <row r="7531" spans="1:6" x14ac:dyDescent="0.25">
      <c r="A7531" s="4" t="s">
        <v>74</v>
      </c>
      <c r="B7531" s="4" t="s">
        <v>3</v>
      </c>
      <c r="C7531" s="4" t="s">
        <v>36</v>
      </c>
      <c r="D7531" s="4">
        <v>2010</v>
      </c>
      <c r="E7531" s="4">
        <v>18330</v>
      </c>
      <c r="F7531" s="4" t="s">
        <v>29</v>
      </c>
    </row>
    <row r="7532" spans="1:6" x14ac:dyDescent="0.25">
      <c r="A7532" s="4" t="s">
        <v>74</v>
      </c>
      <c r="B7532" s="4" t="s">
        <v>3</v>
      </c>
      <c r="C7532" s="4" t="s">
        <v>36</v>
      </c>
      <c r="D7532" s="4">
        <v>2011</v>
      </c>
      <c r="E7532" s="4">
        <v>17720</v>
      </c>
      <c r="F7532" s="4" t="s">
        <v>29</v>
      </c>
    </row>
    <row r="7533" spans="1:6" x14ac:dyDescent="0.25">
      <c r="A7533" s="4" t="s">
        <v>74</v>
      </c>
      <c r="B7533" s="4" t="s">
        <v>3</v>
      </c>
      <c r="C7533" s="4" t="s">
        <v>36</v>
      </c>
      <c r="D7533" s="4">
        <v>2012</v>
      </c>
      <c r="E7533" s="4">
        <v>17290</v>
      </c>
      <c r="F7533" s="4" t="s">
        <v>29</v>
      </c>
    </row>
    <row r="7534" spans="1:6" x14ac:dyDescent="0.25">
      <c r="A7534" s="4" t="s">
        <v>74</v>
      </c>
      <c r="B7534" s="4" t="s">
        <v>3</v>
      </c>
      <c r="C7534" s="4" t="s">
        <v>36</v>
      </c>
      <c r="D7534" s="4">
        <v>2013</v>
      </c>
      <c r="E7534" s="4">
        <v>18160</v>
      </c>
      <c r="F7534" s="4" t="s">
        <v>29</v>
      </c>
    </row>
    <row r="7535" spans="1:6" x14ac:dyDescent="0.25">
      <c r="A7535" s="4" t="s">
        <v>74</v>
      </c>
      <c r="B7535" s="4" t="s">
        <v>3</v>
      </c>
      <c r="C7535" s="4" t="s">
        <v>36</v>
      </c>
      <c r="D7535" s="4">
        <v>2014</v>
      </c>
      <c r="E7535" s="4">
        <v>21230</v>
      </c>
      <c r="F7535" s="4" t="s">
        <v>29</v>
      </c>
    </row>
    <row r="7536" spans="1:6" x14ac:dyDescent="0.25">
      <c r="A7536" s="4" t="s">
        <v>74</v>
      </c>
      <c r="B7536" s="4" t="s">
        <v>3</v>
      </c>
      <c r="C7536" s="4" t="s">
        <v>36</v>
      </c>
      <c r="D7536" s="4">
        <v>2015</v>
      </c>
      <c r="E7536" s="4">
        <v>26690</v>
      </c>
      <c r="F7536" s="4" t="s">
        <v>29</v>
      </c>
    </row>
    <row r="7537" spans="1:6" x14ac:dyDescent="0.25">
      <c r="A7537" s="4" t="s">
        <v>74</v>
      </c>
      <c r="B7537" s="4" t="s">
        <v>3</v>
      </c>
      <c r="C7537" s="4" t="s">
        <v>36</v>
      </c>
      <c r="D7537" s="4">
        <v>2016</v>
      </c>
      <c r="E7537" s="4">
        <v>27711.679452054788</v>
      </c>
      <c r="F7537" s="4" t="s">
        <v>29</v>
      </c>
    </row>
    <row r="7538" spans="1:6" x14ac:dyDescent="0.25">
      <c r="A7538" s="4" t="s">
        <v>74</v>
      </c>
      <c r="B7538" s="4" t="s">
        <v>3</v>
      </c>
      <c r="C7538" s="4" t="s">
        <v>36</v>
      </c>
      <c r="D7538" s="4">
        <v>2017</v>
      </c>
      <c r="E7538" s="4">
        <v>33352.013972602741</v>
      </c>
      <c r="F7538" s="4" t="s">
        <v>29</v>
      </c>
    </row>
    <row r="7539" spans="1:6" x14ac:dyDescent="0.25">
      <c r="A7539" s="4" t="s">
        <v>74</v>
      </c>
      <c r="B7539" s="4" t="s">
        <v>3</v>
      </c>
      <c r="C7539" s="4" t="s">
        <v>36</v>
      </c>
      <c r="D7539" s="4">
        <v>2018</v>
      </c>
      <c r="E7539" s="4">
        <v>33799.475597628392</v>
      </c>
      <c r="F7539" s="4" t="s">
        <v>29</v>
      </c>
    </row>
    <row r="7540" spans="1:6" x14ac:dyDescent="0.25">
      <c r="A7540" s="4" t="s">
        <v>74</v>
      </c>
      <c r="B7540" s="4" t="s">
        <v>3</v>
      </c>
      <c r="C7540" s="4" t="s">
        <v>36</v>
      </c>
      <c r="D7540" s="4">
        <v>2019</v>
      </c>
      <c r="E7540" s="4">
        <v>33283.953677472775</v>
      </c>
      <c r="F7540" s="4" t="s">
        <v>29</v>
      </c>
    </row>
    <row r="7541" spans="1:6" x14ac:dyDescent="0.25">
      <c r="A7541" s="4" t="s">
        <v>74</v>
      </c>
      <c r="B7541" s="4" t="s">
        <v>3</v>
      </c>
      <c r="C7541" s="4" t="s">
        <v>36</v>
      </c>
      <c r="D7541" s="4">
        <v>2020</v>
      </c>
      <c r="E7541" s="4">
        <v>32757.970029941916</v>
      </c>
      <c r="F7541" s="4" t="s">
        <v>29</v>
      </c>
    </row>
    <row r="7542" spans="1:6" x14ac:dyDescent="0.25">
      <c r="A7542" s="4" t="s">
        <v>74</v>
      </c>
      <c r="B7542" s="4" t="s">
        <v>3</v>
      </c>
      <c r="C7542" s="4" t="s">
        <v>36</v>
      </c>
      <c r="D7542" s="4">
        <v>2021</v>
      </c>
      <c r="E7542" s="4">
        <v>32309.444778950434</v>
      </c>
      <c r="F7542" s="4" t="s">
        <v>29</v>
      </c>
    </row>
    <row r="7543" spans="1:6" x14ac:dyDescent="0.25">
      <c r="A7543" s="4" t="s">
        <v>74</v>
      </c>
      <c r="B7543" s="4" t="s">
        <v>3</v>
      </c>
      <c r="C7543" s="4" t="s">
        <v>36</v>
      </c>
      <c r="D7543" s="4">
        <v>2022</v>
      </c>
      <c r="E7543" s="4">
        <v>31977.121856319958</v>
      </c>
      <c r="F7543" s="4" t="s">
        <v>29</v>
      </c>
    </row>
    <row r="7544" spans="1:6" x14ac:dyDescent="0.25">
      <c r="A7544" s="4" t="s">
        <v>74</v>
      </c>
      <c r="B7544" s="4" t="s">
        <v>3</v>
      </c>
      <c r="C7544" s="4" t="s">
        <v>36</v>
      </c>
      <c r="D7544" s="4">
        <v>2023</v>
      </c>
      <c r="E7544" s="4">
        <v>31728.063255560359</v>
      </c>
      <c r="F7544" s="4" t="s">
        <v>29</v>
      </c>
    </row>
    <row r="7545" spans="1:6" x14ac:dyDescent="0.25">
      <c r="A7545" s="4" t="s">
        <v>74</v>
      </c>
      <c r="B7545" s="4" t="s">
        <v>3</v>
      </c>
      <c r="C7545" s="4" t="s">
        <v>36</v>
      </c>
      <c r="D7545" s="4">
        <v>2024</v>
      </c>
      <c r="E7545" s="4">
        <v>31601.856218454472</v>
      </c>
      <c r="F7545" s="4" t="s">
        <v>29</v>
      </c>
    </row>
    <row r="7546" spans="1:6" x14ac:dyDescent="0.25">
      <c r="A7546" s="4" t="s">
        <v>74</v>
      </c>
      <c r="B7546" s="4" t="s">
        <v>3</v>
      </c>
      <c r="C7546" s="4" t="s">
        <v>36</v>
      </c>
      <c r="D7546" s="4">
        <v>2025</v>
      </c>
      <c r="E7546" s="4">
        <v>31154.370440255876</v>
      </c>
      <c r="F7546" s="4" t="s">
        <v>29</v>
      </c>
    </row>
    <row r="7547" spans="1:6" x14ac:dyDescent="0.25">
      <c r="A7547" s="4" t="s">
        <v>74</v>
      </c>
      <c r="B7547" s="4" t="s">
        <v>3</v>
      </c>
      <c r="C7547" s="4" t="s">
        <v>36</v>
      </c>
      <c r="D7547" s="4">
        <v>2026</v>
      </c>
      <c r="E7547" s="4">
        <v>30896.984643731164</v>
      </c>
      <c r="F7547" s="4" t="s">
        <v>29</v>
      </c>
    </row>
    <row r="7548" spans="1:6" x14ac:dyDescent="0.25">
      <c r="A7548" s="4" t="s">
        <v>74</v>
      </c>
      <c r="B7548" s="4" t="s">
        <v>3</v>
      </c>
      <c r="C7548" s="4" t="s">
        <v>36</v>
      </c>
      <c r="D7548" s="4">
        <v>2027</v>
      </c>
      <c r="E7548" s="4">
        <v>30565.566073010275</v>
      </c>
      <c r="F7548" s="4" t="s">
        <v>29</v>
      </c>
    </row>
    <row r="7549" spans="1:6" x14ac:dyDescent="0.25">
      <c r="A7549" s="4" t="s">
        <v>74</v>
      </c>
      <c r="B7549" s="4" t="s">
        <v>3</v>
      </c>
      <c r="C7549" s="4" t="s">
        <v>36</v>
      </c>
      <c r="D7549" s="4">
        <v>2028</v>
      </c>
      <c r="E7549" s="4">
        <v>30199.956210198121</v>
      </c>
      <c r="F7549" s="4" t="s">
        <v>29</v>
      </c>
    </row>
    <row r="7550" spans="1:6" x14ac:dyDescent="0.25">
      <c r="A7550" s="4" t="s">
        <v>74</v>
      </c>
      <c r="B7550" s="4" t="s">
        <v>3</v>
      </c>
      <c r="C7550" s="4" t="s">
        <v>36</v>
      </c>
      <c r="D7550" s="4">
        <v>2029</v>
      </c>
      <c r="E7550" s="4">
        <v>29894.600320478432</v>
      </c>
      <c r="F7550" s="4" t="s">
        <v>29</v>
      </c>
    </row>
    <row r="7551" spans="1:6" x14ac:dyDescent="0.25">
      <c r="A7551" s="4" t="s">
        <v>74</v>
      </c>
      <c r="B7551" s="4" t="s">
        <v>3</v>
      </c>
      <c r="C7551" s="4" t="s">
        <v>36</v>
      </c>
      <c r="D7551" s="4">
        <v>2030</v>
      </c>
      <c r="E7551" s="4">
        <v>29612.215346744822</v>
      </c>
      <c r="F7551" s="4" t="s">
        <v>29</v>
      </c>
    </row>
    <row r="7552" spans="1:6" x14ac:dyDescent="0.25">
      <c r="A7552" s="4" t="s">
        <v>74</v>
      </c>
      <c r="B7552" s="4" t="s">
        <v>3</v>
      </c>
      <c r="C7552" s="4" t="s">
        <v>36</v>
      </c>
      <c r="D7552" s="4">
        <v>2031</v>
      </c>
      <c r="E7552" s="4">
        <v>29346.407998823248</v>
      </c>
      <c r="F7552" s="4" t="s">
        <v>29</v>
      </c>
    </row>
    <row r="7553" spans="1:6" x14ac:dyDescent="0.25">
      <c r="A7553" s="4" t="s">
        <v>74</v>
      </c>
      <c r="B7553" s="4" t="s">
        <v>3</v>
      </c>
      <c r="C7553" s="4" t="s">
        <v>36</v>
      </c>
      <c r="D7553" s="4">
        <v>2032</v>
      </c>
      <c r="E7553" s="4">
        <v>29086.875815649655</v>
      </c>
      <c r="F7553" s="4" t="s">
        <v>29</v>
      </c>
    </row>
    <row r="7554" spans="1:6" x14ac:dyDescent="0.25">
      <c r="A7554" s="4" t="s">
        <v>74</v>
      </c>
      <c r="B7554" s="4" t="s">
        <v>3</v>
      </c>
      <c r="C7554" s="4" t="s">
        <v>36</v>
      </c>
      <c r="D7554" s="4">
        <v>2033</v>
      </c>
      <c r="E7554" s="4">
        <v>28852.288979803114</v>
      </c>
      <c r="F7554" s="4" t="s">
        <v>29</v>
      </c>
    </row>
    <row r="7555" spans="1:6" x14ac:dyDescent="0.25">
      <c r="A7555" s="4" t="s">
        <v>74</v>
      </c>
      <c r="B7555" s="4" t="s">
        <v>3</v>
      </c>
      <c r="C7555" s="4" t="s">
        <v>36</v>
      </c>
      <c r="D7555" s="4">
        <v>2034</v>
      </c>
      <c r="E7555" s="4">
        <v>28662.059356715446</v>
      </c>
      <c r="F7555" s="4" t="s">
        <v>29</v>
      </c>
    </row>
    <row r="7556" spans="1:6" x14ac:dyDescent="0.25">
      <c r="A7556" s="4" t="s">
        <v>74</v>
      </c>
      <c r="B7556" s="4" t="s">
        <v>3</v>
      </c>
      <c r="C7556" s="4" t="s">
        <v>36</v>
      </c>
      <c r="D7556" s="4">
        <v>2035</v>
      </c>
      <c r="E7556" s="4">
        <v>28483.881774206591</v>
      </c>
      <c r="F7556" s="4" t="s">
        <v>29</v>
      </c>
    </row>
    <row r="7557" spans="1:6" x14ac:dyDescent="0.25">
      <c r="A7557" s="4" t="s">
        <v>74</v>
      </c>
      <c r="B7557" s="4" t="s">
        <v>3</v>
      </c>
      <c r="C7557" s="4" t="s">
        <v>36</v>
      </c>
      <c r="D7557" s="4">
        <v>2036</v>
      </c>
      <c r="E7557" s="4">
        <v>28352.276419674097</v>
      </c>
      <c r="F7557" s="4" t="s">
        <v>29</v>
      </c>
    </row>
    <row r="7558" spans="1:6" x14ac:dyDescent="0.25">
      <c r="A7558" s="4" t="s">
        <v>74</v>
      </c>
      <c r="B7558" s="4" t="s">
        <v>3</v>
      </c>
      <c r="C7558" s="4" t="s">
        <v>36</v>
      </c>
      <c r="D7558" s="4">
        <v>2037</v>
      </c>
      <c r="E7558" s="4">
        <v>28249.60400192787</v>
      </c>
      <c r="F7558" s="4" t="s">
        <v>29</v>
      </c>
    </row>
    <row r="7559" spans="1:6" x14ac:dyDescent="0.25">
      <c r="A7559" s="4" t="s">
        <v>74</v>
      </c>
      <c r="B7559" s="4" t="s">
        <v>3</v>
      </c>
      <c r="C7559" s="4" t="s">
        <v>36</v>
      </c>
      <c r="D7559" s="4">
        <v>2038</v>
      </c>
      <c r="E7559" s="4">
        <v>28130.457052726455</v>
      </c>
      <c r="F7559" s="4" t="s">
        <v>29</v>
      </c>
    </row>
    <row r="7560" spans="1:6" x14ac:dyDescent="0.25">
      <c r="A7560" s="4" t="s">
        <v>74</v>
      </c>
      <c r="B7560" s="4" t="s">
        <v>3</v>
      </c>
      <c r="C7560" s="4" t="s">
        <v>36</v>
      </c>
      <c r="D7560" s="4">
        <v>2039</v>
      </c>
      <c r="E7560" s="4">
        <v>28021.704489491309</v>
      </c>
      <c r="F7560" s="4" t="s">
        <v>29</v>
      </c>
    </row>
    <row r="7561" spans="1:6" x14ac:dyDescent="0.25">
      <c r="A7561" s="4" t="s">
        <v>74</v>
      </c>
      <c r="B7561" s="4" t="s">
        <v>3</v>
      </c>
      <c r="C7561" s="4" t="s">
        <v>36</v>
      </c>
      <c r="D7561" s="4">
        <v>2040</v>
      </c>
      <c r="E7561" s="4">
        <v>27911.903406337187</v>
      </c>
      <c r="F7561" s="4" t="s">
        <v>29</v>
      </c>
    </row>
    <row r="7562" spans="1:6" x14ac:dyDescent="0.25">
      <c r="A7562" s="4" t="s">
        <v>74</v>
      </c>
      <c r="B7562" s="4" t="s">
        <v>4</v>
      </c>
      <c r="C7562" s="4" t="s">
        <v>36</v>
      </c>
      <c r="D7562" s="4">
        <v>2005</v>
      </c>
      <c r="E7562" s="4">
        <v>1540</v>
      </c>
      <c r="F7562" s="4" t="s">
        <v>29</v>
      </c>
    </row>
    <row r="7563" spans="1:6" x14ac:dyDescent="0.25">
      <c r="A7563" s="4" t="s">
        <v>74</v>
      </c>
      <c r="B7563" s="4" t="s">
        <v>4</v>
      </c>
      <c r="C7563" s="4" t="s">
        <v>36</v>
      </c>
      <c r="D7563" s="4">
        <v>2006</v>
      </c>
      <c r="E7563" s="4">
        <v>1750</v>
      </c>
      <c r="F7563" s="4" t="s">
        <v>29</v>
      </c>
    </row>
    <row r="7564" spans="1:6" x14ac:dyDescent="0.25">
      <c r="A7564" s="4" t="s">
        <v>74</v>
      </c>
      <c r="B7564" s="4" t="s">
        <v>4</v>
      </c>
      <c r="C7564" s="4" t="s">
        <v>36</v>
      </c>
      <c r="D7564" s="4">
        <v>2007</v>
      </c>
      <c r="E7564" s="4">
        <v>2090</v>
      </c>
      <c r="F7564" s="4" t="s">
        <v>29</v>
      </c>
    </row>
    <row r="7565" spans="1:6" x14ac:dyDescent="0.25">
      <c r="A7565" s="4" t="s">
        <v>74</v>
      </c>
      <c r="B7565" s="4" t="s">
        <v>4</v>
      </c>
      <c r="C7565" s="4" t="s">
        <v>36</v>
      </c>
      <c r="D7565" s="4">
        <v>2008</v>
      </c>
      <c r="E7565" s="4">
        <v>2410</v>
      </c>
      <c r="F7565" s="4" t="s">
        <v>29</v>
      </c>
    </row>
    <row r="7566" spans="1:6" x14ac:dyDescent="0.25">
      <c r="A7566" s="4" t="s">
        <v>74</v>
      </c>
      <c r="B7566" s="4" t="s">
        <v>4</v>
      </c>
      <c r="C7566" s="4" t="s">
        <v>36</v>
      </c>
      <c r="D7566" s="4">
        <v>2009</v>
      </c>
      <c r="E7566" s="4">
        <v>2180</v>
      </c>
      <c r="F7566" s="4" t="s">
        <v>29</v>
      </c>
    </row>
    <row r="7567" spans="1:6" x14ac:dyDescent="0.25">
      <c r="A7567" s="4" t="s">
        <v>74</v>
      </c>
      <c r="B7567" s="4" t="s">
        <v>4</v>
      </c>
      <c r="C7567" s="4" t="s">
        <v>36</v>
      </c>
      <c r="D7567" s="4">
        <v>2010</v>
      </c>
      <c r="E7567" s="4">
        <v>1920</v>
      </c>
      <c r="F7567" s="4" t="s">
        <v>29</v>
      </c>
    </row>
    <row r="7568" spans="1:6" x14ac:dyDescent="0.25">
      <c r="A7568" s="4" t="s">
        <v>74</v>
      </c>
      <c r="B7568" s="4" t="s">
        <v>4</v>
      </c>
      <c r="C7568" s="4" t="s">
        <v>36</v>
      </c>
      <c r="D7568" s="4">
        <v>2011</v>
      </c>
      <c r="E7568" s="4">
        <v>1940</v>
      </c>
      <c r="F7568" s="4" t="s">
        <v>29</v>
      </c>
    </row>
    <row r="7569" spans="1:6" x14ac:dyDescent="0.25">
      <c r="A7569" s="4" t="s">
        <v>74</v>
      </c>
      <c r="B7569" s="4" t="s">
        <v>4</v>
      </c>
      <c r="C7569" s="4" t="s">
        <v>36</v>
      </c>
      <c r="D7569" s="4">
        <v>2012</v>
      </c>
      <c r="E7569" s="4">
        <v>2000</v>
      </c>
      <c r="F7569" s="4" t="s">
        <v>29</v>
      </c>
    </row>
    <row r="7570" spans="1:6" x14ac:dyDescent="0.25">
      <c r="A7570" s="4" t="s">
        <v>74</v>
      </c>
      <c r="B7570" s="4" t="s">
        <v>4</v>
      </c>
      <c r="C7570" s="4" t="s">
        <v>36</v>
      </c>
      <c r="D7570" s="4">
        <v>2013</v>
      </c>
      <c r="E7570" s="4">
        <v>2590</v>
      </c>
      <c r="F7570" s="4" t="s">
        <v>29</v>
      </c>
    </row>
    <row r="7571" spans="1:6" x14ac:dyDescent="0.25">
      <c r="A7571" s="4" t="s">
        <v>74</v>
      </c>
      <c r="B7571" s="4" t="s">
        <v>4</v>
      </c>
      <c r="C7571" s="4" t="s">
        <v>36</v>
      </c>
      <c r="D7571" s="4">
        <v>2014</v>
      </c>
      <c r="E7571" s="4">
        <v>3780</v>
      </c>
      <c r="F7571" s="4" t="s">
        <v>29</v>
      </c>
    </row>
    <row r="7572" spans="1:6" x14ac:dyDescent="0.25">
      <c r="A7572" s="4" t="s">
        <v>74</v>
      </c>
      <c r="B7572" s="4" t="s">
        <v>4</v>
      </c>
      <c r="C7572" s="4" t="s">
        <v>36</v>
      </c>
      <c r="D7572" s="4">
        <v>2015</v>
      </c>
      <c r="E7572" s="4">
        <v>3730</v>
      </c>
      <c r="F7572" s="4" t="s">
        <v>29</v>
      </c>
    </row>
    <row r="7573" spans="1:6" x14ac:dyDescent="0.25">
      <c r="A7573" s="4" t="s">
        <v>74</v>
      </c>
      <c r="B7573" s="4" t="s">
        <v>4</v>
      </c>
      <c r="C7573" s="4" t="s">
        <v>36</v>
      </c>
      <c r="D7573" s="4">
        <v>2016</v>
      </c>
      <c r="E7573" s="4">
        <v>7631.3205479452108</v>
      </c>
      <c r="F7573" s="4" t="s">
        <v>29</v>
      </c>
    </row>
    <row r="7574" spans="1:6" x14ac:dyDescent="0.25">
      <c r="A7574" s="4" t="s">
        <v>74</v>
      </c>
      <c r="B7574" s="4" t="s">
        <v>4</v>
      </c>
      <c r="C7574" s="4" t="s">
        <v>36</v>
      </c>
      <c r="D7574" s="4">
        <v>2017</v>
      </c>
      <c r="E7574" s="4">
        <v>9506.986027397259</v>
      </c>
      <c r="F7574" s="4" t="s">
        <v>29</v>
      </c>
    </row>
    <row r="7575" spans="1:6" x14ac:dyDescent="0.25">
      <c r="A7575" s="4" t="s">
        <v>74</v>
      </c>
      <c r="B7575" s="4" t="s">
        <v>4</v>
      </c>
      <c r="C7575" s="4" t="s">
        <v>36</v>
      </c>
      <c r="D7575" s="4">
        <v>2018</v>
      </c>
      <c r="E7575" s="4">
        <v>9729.9263236218048</v>
      </c>
      <c r="F7575" s="4" t="s">
        <v>29</v>
      </c>
    </row>
    <row r="7576" spans="1:6" x14ac:dyDescent="0.25">
      <c r="A7576" s="4" t="s">
        <v>74</v>
      </c>
      <c r="B7576" s="4" t="s">
        <v>4</v>
      </c>
      <c r="C7576" s="4" t="s">
        <v>36</v>
      </c>
      <c r="D7576" s="4">
        <v>2019</v>
      </c>
      <c r="E7576" s="4">
        <v>9667.0949986590786</v>
      </c>
      <c r="F7576" s="4" t="s">
        <v>29</v>
      </c>
    </row>
    <row r="7577" spans="1:6" x14ac:dyDescent="0.25">
      <c r="A7577" s="4" t="s">
        <v>74</v>
      </c>
      <c r="B7577" s="4" t="s">
        <v>4</v>
      </c>
      <c r="C7577" s="4" t="s">
        <v>36</v>
      </c>
      <c r="D7577" s="4">
        <v>2020</v>
      </c>
      <c r="E7577" s="4">
        <v>9591.2228937090131</v>
      </c>
      <c r="F7577" s="4" t="s">
        <v>29</v>
      </c>
    </row>
    <row r="7578" spans="1:6" x14ac:dyDescent="0.25">
      <c r="A7578" s="4" t="s">
        <v>74</v>
      </c>
      <c r="B7578" s="4" t="s">
        <v>4</v>
      </c>
      <c r="C7578" s="4" t="s">
        <v>36</v>
      </c>
      <c r="D7578" s="4">
        <v>2021</v>
      </c>
      <c r="E7578" s="4">
        <v>9544.2241952438926</v>
      </c>
      <c r="F7578" s="4" t="s">
        <v>29</v>
      </c>
    </row>
    <row r="7579" spans="1:6" x14ac:dyDescent="0.25">
      <c r="A7579" s="4" t="s">
        <v>74</v>
      </c>
      <c r="B7579" s="4" t="s">
        <v>4</v>
      </c>
      <c r="C7579" s="4" t="s">
        <v>36</v>
      </c>
      <c r="D7579" s="4">
        <v>2022</v>
      </c>
      <c r="E7579" s="4">
        <v>9535.8895571562643</v>
      </c>
      <c r="F7579" s="4" t="s">
        <v>29</v>
      </c>
    </row>
    <row r="7580" spans="1:6" x14ac:dyDescent="0.25">
      <c r="A7580" s="4" t="s">
        <v>74</v>
      </c>
      <c r="B7580" s="4" t="s">
        <v>4</v>
      </c>
      <c r="C7580" s="4" t="s">
        <v>36</v>
      </c>
      <c r="D7580" s="4">
        <v>2023</v>
      </c>
      <c r="E7580" s="4">
        <v>9546.5408765499233</v>
      </c>
      <c r="F7580" s="4" t="s">
        <v>29</v>
      </c>
    </row>
    <row r="7581" spans="1:6" x14ac:dyDescent="0.25">
      <c r="A7581" s="4" t="s">
        <v>74</v>
      </c>
      <c r="B7581" s="4" t="s">
        <v>4</v>
      </c>
      <c r="C7581" s="4" t="s">
        <v>36</v>
      </c>
      <c r="D7581" s="4">
        <v>2024</v>
      </c>
      <c r="E7581" s="4">
        <v>9585.6122830457298</v>
      </c>
      <c r="F7581" s="4" t="s">
        <v>29</v>
      </c>
    </row>
    <row r="7582" spans="1:6" x14ac:dyDescent="0.25">
      <c r="A7582" s="4" t="s">
        <v>74</v>
      </c>
      <c r="B7582" s="4" t="s">
        <v>4</v>
      </c>
      <c r="C7582" s="4" t="s">
        <v>36</v>
      </c>
      <c r="D7582" s="4">
        <v>2025</v>
      </c>
      <c r="E7582" s="4">
        <v>9608.8221470836743</v>
      </c>
      <c r="F7582" s="4" t="s">
        <v>29</v>
      </c>
    </row>
    <row r="7583" spans="1:6" x14ac:dyDescent="0.25">
      <c r="A7583" s="4" t="s">
        <v>74</v>
      </c>
      <c r="B7583" s="4" t="s">
        <v>4</v>
      </c>
      <c r="C7583" s="4" t="s">
        <v>36</v>
      </c>
      <c r="D7583" s="4">
        <v>2026</v>
      </c>
      <c r="E7583" s="4">
        <v>9623.7885076874536</v>
      </c>
      <c r="F7583" s="4" t="s">
        <v>29</v>
      </c>
    </row>
    <row r="7584" spans="1:6" x14ac:dyDescent="0.25">
      <c r="A7584" s="4" t="s">
        <v>74</v>
      </c>
      <c r="B7584" s="4" t="s">
        <v>4</v>
      </c>
      <c r="C7584" s="4" t="s">
        <v>36</v>
      </c>
      <c r="D7584" s="4">
        <v>2027</v>
      </c>
      <c r="E7584" s="4">
        <v>9614.8212505089105</v>
      </c>
      <c r="F7584" s="4" t="s">
        <v>29</v>
      </c>
    </row>
    <row r="7585" spans="1:6" x14ac:dyDescent="0.25">
      <c r="A7585" s="4" t="s">
        <v>74</v>
      </c>
      <c r="B7585" s="4" t="s">
        <v>4</v>
      </c>
      <c r="C7585" s="4" t="s">
        <v>36</v>
      </c>
      <c r="D7585" s="4">
        <v>2028</v>
      </c>
      <c r="E7585" s="4">
        <v>9593.8711756663506</v>
      </c>
      <c r="F7585" s="4" t="s">
        <v>29</v>
      </c>
    </row>
    <row r="7586" spans="1:6" x14ac:dyDescent="0.25">
      <c r="A7586" s="4" t="s">
        <v>74</v>
      </c>
      <c r="B7586" s="4" t="s">
        <v>4</v>
      </c>
      <c r="C7586" s="4" t="s">
        <v>36</v>
      </c>
      <c r="D7586" s="4">
        <v>2029</v>
      </c>
      <c r="E7586" s="4">
        <v>9590.8946099392433</v>
      </c>
      <c r="F7586" s="4" t="s">
        <v>29</v>
      </c>
    </row>
    <row r="7587" spans="1:6" x14ac:dyDescent="0.25">
      <c r="A7587" s="4" t="s">
        <v>74</v>
      </c>
      <c r="B7587" s="4" t="s">
        <v>4</v>
      </c>
      <c r="C7587" s="4" t="s">
        <v>36</v>
      </c>
      <c r="D7587" s="4">
        <v>2030</v>
      </c>
      <c r="E7587" s="4">
        <v>9594.3611983524697</v>
      </c>
      <c r="F7587" s="4" t="s">
        <v>29</v>
      </c>
    </row>
    <row r="7588" spans="1:6" x14ac:dyDescent="0.25">
      <c r="A7588" s="4" t="s">
        <v>74</v>
      </c>
      <c r="B7588" s="4" t="s">
        <v>4</v>
      </c>
      <c r="C7588" s="4" t="s">
        <v>36</v>
      </c>
      <c r="D7588" s="4">
        <v>2031</v>
      </c>
      <c r="E7588" s="4">
        <v>9602.3805728817479</v>
      </c>
      <c r="F7588" s="4" t="s">
        <v>29</v>
      </c>
    </row>
    <row r="7589" spans="1:6" x14ac:dyDescent="0.25">
      <c r="A7589" s="4" t="s">
        <v>74</v>
      </c>
      <c r="B7589" s="4" t="s">
        <v>4</v>
      </c>
      <c r="C7589" s="4" t="s">
        <v>36</v>
      </c>
      <c r="D7589" s="4">
        <v>2032</v>
      </c>
      <c r="E7589" s="4">
        <v>9611.6918293596846</v>
      </c>
      <c r="F7589" s="4" t="s">
        <v>29</v>
      </c>
    </row>
    <row r="7590" spans="1:6" x14ac:dyDescent="0.25">
      <c r="A7590" s="4" t="s">
        <v>74</v>
      </c>
      <c r="B7590" s="4" t="s">
        <v>4</v>
      </c>
      <c r="C7590" s="4" t="s">
        <v>36</v>
      </c>
      <c r="D7590" s="4">
        <v>2033</v>
      </c>
      <c r="E7590" s="4">
        <v>9628.5708979380724</v>
      </c>
      <c r="F7590" s="4" t="s">
        <v>29</v>
      </c>
    </row>
    <row r="7591" spans="1:6" x14ac:dyDescent="0.25">
      <c r="A7591" s="4" t="s">
        <v>74</v>
      </c>
      <c r="B7591" s="4" t="s">
        <v>4</v>
      </c>
      <c r="C7591" s="4" t="s">
        <v>36</v>
      </c>
      <c r="D7591" s="4">
        <v>2034</v>
      </c>
      <c r="E7591" s="4">
        <v>9659.7914041863551</v>
      </c>
      <c r="F7591" s="4" t="s">
        <v>29</v>
      </c>
    </row>
    <row r="7592" spans="1:6" x14ac:dyDescent="0.25">
      <c r="A7592" s="4" t="s">
        <v>74</v>
      </c>
      <c r="B7592" s="4" t="s">
        <v>4</v>
      </c>
      <c r="C7592" s="4" t="s">
        <v>36</v>
      </c>
      <c r="D7592" s="4">
        <v>2035</v>
      </c>
      <c r="E7592" s="4">
        <v>9694.7882918581327</v>
      </c>
      <c r="F7592" s="4" t="s">
        <v>29</v>
      </c>
    </row>
    <row r="7593" spans="1:6" x14ac:dyDescent="0.25">
      <c r="A7593" s="4" t="s">
        <v>74</v>
      </c>
      <c r="B7593" s="4" t="s">
        <v>4</v>
      </c>
      <c r="C7593" s="4" t="s">
        <v>36</v>
      </c>
      <c r="D7593" s="4">
        <v>2036</v>
      </c>
      <c r="E7593" s="4">
        <v>9745.5395325806112</v>
      </c>
      <c r="F7593" s="4" t="s">
        <v>29</v>
      </c>
    </row>
    <row r="7594" spans="1:6" x14ac:dyDescent="0.25">
      <c r="A7594" s="4" t="s">
        <v>74</v>
      </c>
      <c r="B7594" s="4" t="s">
        <v>4</v>
      </c>
      <c r="C7594" s="4" t="s">
        <v>36</v>
      </c>
      <c r="D7594" s="4">
        <v>2037</v>
      </c>
      <c r="E7594" s="4">
        <v>9806.3889688930012</v>
      </c>
      <c r="F7594" s="4" t="s">
        <v>29</v>
      </c>
    </row>
    <row r="7595" spans="1:6" x14ac:dyDescent="0.25">
      <c r="A7595" s="4" t="s">
        <v>74</v>
      </c>
      <c r="B7595" s="4" t="s">
        <v>4</v>
      </c>
      <c r="C7595" s="4" t="s">
        <v>36</v>
      </c>
      <c r="D7595" s="4">
        <v>2038</v>
      </c>
      <c r="E7595" s="4">
        <v>9861.7125060104172</v>
      </c>
      <c r="F7595" s="4" t="s">
        <v>29</v>
      </c>
    </row>
    <row r="7596" spans="1:6" x14ac:dyDescent="0.25">
      <c r="A7596" s="4" t="s">
        <v>74</v>
      </c>
      <c r="B7596" s="4" t="s">
        <v>4</v>
      </c>
      <c r="C7596" s="4" t="s">
        <v>36</v>
      </c>
      <c r="D7596" s="4">
        <v>2039</v>
      </c>
      <c r="E7596" s="4">
        <v>9920.8502877598021</v>
      </c>
      <c r="F7596" s="4" t="s">
        <v>29</v>
      </c>
    </row>
    <row r="7597" spans="1:6" x14ac:dyDescent="0.25">
      <c r="A7597" s="4" t="s">
        <v>74</v>
      </c>
      <c r="B7597" s="4" t="s">
        <v>4</v>
      </c>
      <c r="C7597" s="4" t="s">
        <v>36</v>
      </c>
      <c r="D7597" s="4">
        <v>2040</v>
      </c>
      <c r="E7597" s="4">
        <v>9979.8174797541433</v>
      </c>
      <c r="F7597" s="4" t="s">
        <v>29</v>
      </c>
    </row>
    <row r="7598" spans="1:6" x14ac:dyDescent="0.25">
      <c r="A7598" s="4" t="s">
        <v>74</v>
      </c>
      <c r="B7598" s="4" t="s">
        <v>5</v>
      </c>
      <c r="C7598" s="4" t="s">
        <v>36</v>
      </c>
      <c r="D7598" s="4">
        <v>2005</v>
      </c>
      <c r="E7598" s="4">
        <v>99600</v>
      </c>
      <c r="F7598" s="4" t="s">
        <v>29</v>
      </c>
    </row>
    <row r="7599" spans="1:6" x14ac:dyDescent="0.25">
      <c r="A7599" s="4" t="s">
        <v>74</v>
      </c>
      <c r="B7599" s="4" t="s">
        <v>5</v>
      </c>
      <c r="C7599" s="4" t="s">
        <v>36</v>
      </c>
      <c r="D7599" s="4">
        <v>2006</v>
      </c>
      <c r="E7599" s="4">
        <v>120900</v>
      </c>
      <c r="F7599" s="4" t="s">
        <v>29</v>
      </c>
    </row>
    <row r="7600" spans="1:6" x14ac:dyDescent="0.25">
      <c r="A7600" s="4" t="s">
        <v>74</v>
      </c>
      <c r="B7600" s="4" t="s">
        <v>5</v>
      </c>
      <c r="C7600" s="4" t="s">
        <v>36</v>
      </c>
      <c r="D7600" s="4">
        <v>2007</v>
      </c>
      <c r="E7600" s="4">
        <v>124700</v>
      </c>
      <c r="F7600" s="4" t="s">
        <v>29</v>
      </c>
    </row>
    <row r="7601" spans="1:6" x14ac:dyDescent="0.25">
      <c r="A7601" s="4" t="s">
        <v>74</v>
      </c>
      <c r="B7601" s="4" t="s">
        <v>5</v>
      </c>
      <c r="C7601" s="4" t="s">
        <v>36</v>
      </c>
      <c r="D7601" s="4">
        <v>2008</v>
      </c>
      <c r="E7601" s="4">
        <v>114700</v>
      </c>
      <c r="F7601" s="4" t="s">
        <v>29</v>
      </c>
    </row>
    <row r="7602" spans="1:6" x14ac:dyDescent="0.25">
      <c r="A7602" s="4" t="s">
        <v>74</v>
      </c>
      <c r="B7602" s="4" t="s">
        <v>5</v>
      </c>
      <c r="C7602" s="4" t="s">
        <v>36</v>
      </c>
      <c r="D7602" s="4">
        <v>2009</v>
      </c>
      <c r="E7602" s="4">
        <v>131200</v>
      </c>
      <c r="F7602" s="4" t="s">
        <v>29</v>
      </c>
    </row>
    <row r="7603" spans="1:6" x14ac:dyDescent="0.25">
      <c r="A7603" s="4" t="s">
        <v>74</v>
      </c>
      <c r="B7603" s="4" t="s">
        <v>5</v>
      </c>
      <c r="C7603" s="4" t="s">
        <v>36</v>
      </c>
      <c r="D7603" s="4">
        <v>2010</v>
      </c>
      <c r="E7603" s="4">
        <v>136242.99205479454</v>
      </c>
      <c r="F7603" s="4" t="s">
        <v>29</v>
      </c>
    </row>
    <row r="7604" spans="1:6" x14ac:dyDescent="0.25">
      <c r="A7604" s="4" t="s">
        <v>74</v>
      </c>
      <c r="B7604" s="4" t="s">
        <v>5</v>
      </c>
      <c r="C7604" s="4" t="s">
        <v>36</v>
      </c>
      <c r="D7604" s="4">
        <v>2011</v>
      </c>
      <c r="E7604" s="4">
        <v>141899.05890410958</v>
      </c>
      <c r="F7604" s="4" t="s">
        <v>29</v>
      </c>
    </row>
    <row r="7605" spans="1:6" x14ac:dyDescent="0.25">
      <c r="A7605" s="4" t="s">
        <v>74</v>
      </c>
      <c r="B7605" s="4" t="s">
        <v>5</v>
      </c>
      <c r="C7605" s="4" t="s">
        <v>36</v>
      </c>
      <c r="D7605" s="4">
        <v>2012</v>
      </c>
      <c r="E7605" s="4">
        <v>148216.19643835619</v>
      </c>
      <c r="F7605" s="4" t="s">
        <v>29</v>
      </c>
    </row>
    <row r="7606" spans="1:6" x14ac:dyDescent="0.25">
      <c r="A7606" s="4" t="s">
        <v>74</v>
      </c>
      <c r="B7606" s="4" t="s">
        <v>5</v>
      </c>
      <c r="C7606" s="4" t="s">
        <v>36</v>
      </c>
      <c r="D7606" s="4">
        <v>2013</v>
      </c>
      <c r="E7606" s="4">
        <v>155178.08602739728</v>
      </c>
      <c r="F7606" s="4" t="s">
        <v>29</v>
      </c>
    </row>
    <row r="7607" spans="1:6" x14ac:dyDescent="0.25">
      <c r="A7607" s="4" t="s">
        <v>74</v>
      </c>
      <c r="B7607" s="4" t="s">
        <v>5</v>
      </c>
      <c r="C7607" s="4" t="s">
        <v>36</v>
      </c>
      <c r="D7607" s="4">
        <v>2014</v>
      </c>
      <c r="E7607" s="4">
        <v>152653.42301369866</v>
      </c>
      <c r="F7607" s="4" t="s">
        <v>29</v>
      </c>
    </row>
    <row r="7608" spans="1:6" x14ac:dyDescent="0.25">
      <c r="A7608" s="4" t="s">
        <v>74</v>
      </c>
      <c r="B7608" s="4" t="s">
        <v>5</v>
      </c>
      <c r="C7608" s="4" t="s">
        <v>36</v>
      </c>
      <c r="D7608" s="4">
        <v>2015</v>
      </c>
      <c r="E7608" s="4">
        <v>184650.64986301371</v>
      </c>
      <c r="F7608" s="4" t="s">
        <v>29</v>
      </c>
    </row>
    <row r="7609" spans="1:6" x14ac:dyDescent="0.25">
      <c r="A7609" s="4" t="s">
        <v>74</v>
      </c>
      <c r="B7609" s="4" t="s">
        <v>5</v>
      </c>
      <c r="C7609" s="4" t="s">
        <v>36</v>
      </c>
      <c r="D7609" s="4">
        <v>2016</v>
      </c>
      <c r="E7609" s="4">
        <v>182833.43972602743</v>
      </c>
      <c r="F7609" s="4" t="s">
        <v>29</v>
      </c>
    </row>
    <row r="7610" spans="1:6" x14ac:dyDescent="0.25">
      <c r="A7610" s="4" t="s">
        <v>74</v>
      </c>
      <c r="B7610" s="4" t="s">
        <v>5</v>
      </c>
      <c r="C7610" s="4" t="s">
        <v>36</v>
      </c>
      <c r="D7610" s="4">
        <v>2017</v>
      </c>
      <c r="E7610" s="4">
        <v>202815.78219178083</v>
      </c>
      <c r="F7610" s="4" t="s">
        <v>29</v>
      </c>
    </row>
    <row r="7611" spans="1:6" x14ac:dyDescent="0.25">
      <c r="A7611" s="4" t="s">
        <v>74</v>
      </c>
      <c r="B7611" s="4" t="s">
        <v>5</v>
      </c>
      <c r="C7611" s="4" t="s">
        <v>36</v>
      </c>
      <c r="D7611" s="4">
        <v>2018</v>
      </c>
      <c r="E7611" s="4">
        <v>234799.82978469165</v>
      </c>
      <c r="F7611" s="4" t="s">
        <v>29</v>
      </c>
    </row>
    <row r="7612" spans="1:6" x14ac:dyDescent="0.25">
      <c r="A7612" s="4" t="s">
        <v>74</v>
      </c>
      <c r="B7612" s="4" t="s">
        <v>5</v>
      </c>
      <c r="C7612" s="4" t="s">
        <v>36</v>
      </c>
      <c r="D7612" s="4">
        <v>2019</v>
      </c>
      <c r="E7612" s="4">
        <v>254156.63379981264</v>
      </c>
      <c r="F7612" s="4" t="s">
        <v>29</v>
      </c>
    </row>
    <row r="7613" spans="1:6" x14ac:dyDescent="0.25">
      <c r="A7613" s="4" t="s">
        <v>74</v>
      </c>
      <c r="B7613" s="4" t="s">
        <v>5</v>
      </c>
      <c r="C7613" s="4" t="s">
        <v>36</v>
      </c>
      <c r="D7613" s="4">
        <v>2020</v>
      </c>
      <c r="E7613" s="4">
        <v>259617.83437279184</v>
      </c>
      <c r="F7613" s="4" t="s">
        <v>29</v>
      </c>
    </row>
    <row r="7614" spans="1:6" x14ac:dyDescent="0.25">
      <c r="A7614" s="4" t="s">
        <v>74</v>
      </c>
      <c r="B7614" s="4" t="s">
        <v>5</v>
      </c>
      <c r="C7614" s="4" t="s">
        <v>36</v>
      </c>
      <c r="D7614" s="4">
        <v>2021</v>
      </c>
      <c r="E7614" s="4">
        <v>261022.58625520545</v>
      </c>
      <c r="F7614" s="4" t="s">
        <v>29</v>
      </c>
    </row>
    <row r="7615" spans="1:6" x14ac:dyDescent="0.25">
      <c r="A7615" s="4" t="s">
        <v>74</v>
      </c>
      <c r="B7615" s="4" t="s">
        <v>5</v>
      </c>
      <c r="C7615" s="4" t="s">
        <v>36</v>
      </c>
      <c r="D7615" s="4">
        <v>2022</v>
      </c>
      <c r="E7615" s="4">
        <v>261826.63235775448</v>
      </c>
      <c r="F7615" s="4" t="s">
        <v>29</v>
      </c>
    </row>
    <row r="7616" spans="1:6" x14ac:dyDescent="0.25">
      <c r="A7616" s="4" t="s">
        <v>74</v>
      </c>
      <c r="B7616" s="4" t="s">
        <v>5</v>
      </c>
      <c r="C7616" s="4" t="s">
        <v>36</v>
      </c>
      <c r="D7616" s="4">
        <v>2023</v>
      </c>
      <c r="E7616" s="4">
        <v>261826.61697683489</v>
      </c>
      <c r="F7616" s="4" t="s">
        <v>29</v>
      </c>
    </row>
    <row r="7617" spans="1:6" x14ac:dyDescent="0.25">
      <c r="A7617" s="4" t="s">
        <v>74</v>
      </c>
      <c r="B7617" s="4" t="s">
        <v>5</v>
      </c>
      <c r="C7617" s="4" t="s">
        <v>36</v>
      </c>
      <c r="D7617" s="4">
        <v>2024</v>
      </c>
      <c r="E7617" s="4">
        <v>261826.62684564892</v>
      </c>
      <c r="F7617" s="4" t="s">
        <v>29</v>
      </c>
    </row>
    <row r="7618" spans="1:6" x14ac:dyDescent="0.25">
      <c r="A7618" s="4" t="s">
        <v>74</v>
      </c>
      <c r="B7618" s="4" t="s">
        <v>5</v>
      </c>
      <c r="C7618" s="4" t="s">
        <v>36</v>
      </c>
      <c r="D7618" s="4">
        <v>2025</v>
      </c>
      <c r="E7618" s="4">
        <v>261826.62716015082</v>
      </c>
      <c r="F7618" s="4" t="s">
        <v>29</v>
      </c>
    </row>
    <row r="7619" spans="1:6" x14ac:dyDescent="0.25">
      <c r="A7619" s="4" t="s">
        <v>74</v>
      </c>
      <c r="B7619" s="4" t="s">
        <v>5</v>
      </c>
      <c r="C7619" s="4" t="s">
        <v>36</v>
      </c>
      <c r="D7619" s="4">
        <v>2026</v>
      </c>
      <c r="E7619" s="4">
        <v>261826.62703786089</v>
      </c>
      <c r="F7619" s="4" t="s">
        <v>29</v>
      </c>
    </row>
    <row r="7620" spans="1:6" x14ac:dyDescent="0.25">
      <c r="A7620" s="4" t="s">
        <v>74</v>
      </c>
      <c r="B7620" s="4" t="s">
        <v>5</v>
      </c>
      <c r="C7620" s="4" t="s">
        <v>36</v>
      </c>
      <c r="D7620" s="4">
        <v>2027</v>
      </c>
      <c r="E7620" s="4">
        <v>261826.627032105</v>
      </c>
      <c r="F7620" s="4" t="s">
        <v>29</v>
      </c>
    </row>
    <row r="7621" spans="1:6" x14ac:dyDescent="0.25">
      <c r="A7621" s="4" t="s">
        <v>74</v>
      </c>
      <c r="B7621" s="4" t="s">
        <v>5</v>
      </c>
      <c r="C7621" s="4" t="s">
        <v>36</v>
      </c>
      <c r="D7621" s="4">
        <v>2028</v>
      </c>
      <c r="E7621" s="4">
        <v>261826.62703364203</v>
      </c>
      <c r="F7621" s="4" t="s">
        <v>29</v>
      </c>
    </row>
    <row r="7622" spans="1:6" x14ac:dyDescent="0.25">
      <c r="A7622" s="4" t="s">
        <v>74</v>
      </c>
      <c r="B7622" s="4" t="s">
        <v>5</v>
      </c>
      <c r="C7622" s="4" t="s">
        <v>36</v>
      </c>
      <c r="D7622" s="4">
        <v>2029</v>
      </c>
      <c r="E7622" s="4">
        <v>261826.62703373685</v>
      </c>
      <c r="F7622" s="4" t="s">
        <v>29</v>
      </c>
    </row>
    <row r="7623" spans="1:6" x14ac:dyDescent="0.25">
      <c r="A7623" s="4" t="s">
        <v>74</v>
      </c>
      <c r="B7623" s="4" t="s">
        <v>5</v>
      </c>
      <c r="C7623" s="4" t="s">
        <v>36</v>
      </c>
      <c r="D7623" s="4">
        <v>2030</v>
      </c>
      <c r="E7623" s="4">
        <v>261826.6270337177</v>
      </c>
      <c r="F7623" s="4" t="s">
        <v>29</v>
      </c>
    </row>
    <row r="7624" spans="1:6" x14ac:dyDescent="0.25">
      <c r="A7624" s="4" t="s">
        <v>74</v>
      </c>
      <c r="B7624" s="4" t="s">
        <v>5</v>
      </c>
      <c r="C7624" s="4" t="s">
        <v>36</v>
      </c>
      <c r="D7624" s="4">
        <v>2031</v>
      </c>
      <c r="E7624" s="4">
        <v>261826.62703371618</v>
      </c>
      <c r="F7624" s="4" t="s">
        <v>29</v>
      </c>
    </row>
    <row r="7625" spans="1:6" x14ac:dyDescent="0.25">
      <c r="A7625" s="4" t="s">
        <v>74</v>
      </c>
      <c r="B7625" s="4" t="s">
        <v>5</v>
      </c>
      <c r="C7625" s="4" t="s">
        <v>36</v>
      </c>
      <c r="D7625" s="4">
        <v>2032</v>
      </c>
      <c r="E7625" s="4">
        <v>260918.32669880448</v>
      </c>
      <c r="F7625" s="4" t="s">
        <v>29</v>
      </c>
    </row>
    <row r="7626" spans="1:6" x14ac:dyDescent="0.25">
      <c r="A7626" s="4" t="s">
        <v>74</v>
      </c>
      <c r="B7626" s="4" t="s">
        <v>5</v>
      </c>
      <c r="C7626" s="4" t="s">
        <v>36</v>
      </c>
      <c r="D7626" s="4">
        <v>2033</v>
      </c>
      <c r="E7626" s="4">
        <v>259282.81498821205</v>
      </c>
      <c r="F7626" s="4" t="s">
        <v>29</v>
      </c>
    </row>
    <row r="7627" spans="1:6" x14ac:dyDescent="0.25">
      <c r="A7627" s="4" t="s">
        <v>74</v>
      </c>
      <c r="B7627" s="4" t="s">
        <v>5</v>
      </c>
      <c r="C7627" s="4" t="s">
        <v>36</v>
      </c>
      <c r="D7627" s="4">
        <v>2034</v>
      </c>
      <c r="E7627" s="4">
        <v>257306.25213540083</v>
      </c>
      <c r="F7627" s="4" t="s">
        <v>29</v>
      </c>
    </row>
    <row r="7628" spans="1:6" x14ac:dyDescent="0.25">
      <c r="A7628" s="4" t="s">
        <v>74</v>
      </c>
      <c r="B7628" s="4" t="s">
        <v>5</v>
      </c>
      <c r="C7628" s="4" t="s">
        <v>36</v>
      </c>
      <c r="D7628" s="4">
        <v>2035</v>
      </c>
      <c r="E7628" s="4">
        <v>255047.42373339791</v>
      </c>
      <c r="F7628" s="4" t="s">
        <v>29</v>
      </c>
    </row>
    <row r="7629" spans="1:6" x14ac:dyDescent="0.25">
      <c r="A7629" s="4" t="s">
        <v>74</v>
      </c>
      <c r="B7629" s="4" t="s">
        <v>5</v>
      </c>
      <c r="C7629" s="4" t="s">
        <v>36</v>
      </c>
      <c r="D7629" s="4">
        <v>2036</v>
      </c>
      <c r="E7629" s="4">
        <v>253110.69799736829</v>
      </c>
      <c r="F7629" s="4" t="s">
        <v>29</v>
      </c>
    </row>
    <row r="7630" spans="1:6" x14ac:dyDescent="0.25">
      <c r="A7630" s="4" t="s">
        <v>74</v>
      </c>
      <c r="B7630" s="4" t="s">
        <v>5</v>
      </c>
      <c r="C7630" s="4" t="s">
        <v>36</v>
      </c>
      <c r="D7630" s="4">
        <v>2037</v>
      </c>
      <c r="E7630" s="4">
        <v>251755.76001759677</v>
      </c>
      <c r="F7630" s="4" t="s">
        <v>29</v>
      </c>
    </row>
    <row r="7631" spans="1:6" x14ac:dyDescent="0.25">
      <c r="A7631" s="4" t="s">
        <v>74</v>
      </c>
      <c r="B7631" s="4" t="s">
        <v>5</v>
      </c>
      <c r="C7631" s="4" t="s">
        <v>36</v>
      </c>
      <c r="D7631" s="4">
        <v>2038</v>
      </c>
      <c r="E7631" s="4">
        <v>250686.36867928831</v>
      </c>
      <c r="F7631" s="4" t="s">
        <v>29</v>
      </c>
    </row>
    <row r="7632" spans="1:6" x14ac:dyDescent="0.25">
      <c r="A7632" s="4" t="s">
        <v>74</v>
      </c>
      <c r="B7632" s="4" t="s">
        <v>5</v>
      </c>
      <c r="C7632" s="4" t="s">
        <v>36</v>
      </c>
      <c r="D7632" s="4">
        <v>2039</v>
      </c>
      <c r="E7632" s="4">
        <v>249629.7396919489</v>
      </c>
      <c r="F7632" s="4" t="s">
        <v>29</v>
      </c>
    </row>
    <row r="7633" spans="1:6" x14ac:dyDescent="0.25">
      <c r="A7633" s="4" t="s">
        <v>74</v>
      </c>
      <c r="B7633" s="4" t="s">
        <v>5</v>
      </c>
      <c r="C7633" s="4" t="s">
        <v>36</v>
      </c>
      <c r="D7633" s="4">
        <v>2040</v>
      </c>
      <c r="E7633" s="4">
        <v>248585.7207468806</v>
      </c>
      <c r="F7633" s="4" t="s">
        <v>29</v>
      </c>
    </row>
    <row r="7634" spans="1:6" x14ac:dyDescent="0.25">
      <c r="A7634" s="4" t="s">
        <v>74</v>
      </c>
      <c r="B7634" s="4" t="s">
        <v>6</v>
      </c>
      <c r="C7634" s="4" t="s">
        <v>36</v>
      </c>
      <c r="D7634" s="4">
        <v>2005</v>
      </c>
      <c r="E7634" s="4">
        <v>69700</v>
      </c>
      <c r="F7634" s="4" t="s">
        <v>29</v>
      </c>
    </row>
    <row r="7635" spans="1:6" x14ac:dyDescent="0.25">
      <c r="A7635" s="4" t="s">
        <v>74</v>
      </c>
      <c r="B7635" s="4" t="s">
        <v>6</v>
      </c>
      <c r="C7635" s="4" t="s">
        <v>36</v>
      </c>
      <c r="D7635" s="4">
        <v>2006</v>
      </c>
      <c r="E7635" s="4">
        <v>78500</v>
      </c>
      <c r="F7635" s="4" t="s">
        <v>29</v>
      </c>
    </row>
    <row r="7636" spans="1:6" x14ac:dyDescent="0.25">
      <c r="A7636" s="4" t="s">
        <v>74</v>
      </c>
      <c r="B7636" s="4" t="s">
        <v>6</v>
      </c>
      <c r="C7636" s="4" t="s">
        <v>36</v>
      </c>
      <c r="D7636" s="4">
        <v>2007</v>
      </c>
      <c r="E7636" s="4">
        <v>85200</v>
      </c>
      <c r="F7636" s="4" t="s">
        <v>29</v>
      </c>
    </row>
    <row r="7637" spans="1:6" x14ac:dyDescent="0.25">
      <c r="A7637" s="4" t="s">
        <v>74</v>
      </c>
      <c r="B7637" s="4" t="s">
        <v>6</v>
      </c>
      <c r="C7637" s="4" t="s">
        <v>36</v>
      </c>
      <c r="D7637" s="4">
        <v>2008</v>
      </c>
      <c r="E7637" s="4">
        <v>92700</v>
      </c>
      <c r="F7637" s="4" t="s">
        <v>29</v>
      </c>
    </row>
    <row r="7638" spans="1:6" x14ac:dyDescent="0.25">
      <c r="A7638" s="4" t="s">
        <v>74</v>
      </c>
      <c r="B7638" s="4" t="s">
        <v>6</v>
      </c>
      <c r="C7638" s="4" t="s">
        <v>36</v>
      </c>
      <c r="D7638" s="4">
        <v>2009</v>
      </c>
      <c r="E7638" s="4">
        <v>105500</v>
      </c>
      <c r="F7638" s="4" t="s">
        <v>29</v>
      </c>
    </row>
    <row r="7639" spans="1:6" x14ac:dyDescent="0.25">
      <c r="A7639" s="4" t="s">
        <v>74</v>
      </c>
      <c r="B7639" s="4" t="s">
        <v>6</v>
      </c>
      <c r="C7639" s="4" t="s">
        <v>36</v>
      </c>
      <c r="D7639" s="4">
        <v>2010</v>
      </c>
      <c r="E7639" s="4">
        <v>119629.14712328766</v>
      </c>
      <c r="F7639" s="4" t="s">
        <v>29</v>
      </c>
    </row>
    <row r="7640" spans="1:6" x14ac:dyDescent="0.25">
      <c r="A7640" s="4" t="s">
        <v>74</v>
      </c>
      <c r="B7640" s="4" t="s">
        <v>6</v>
      </c>
      <c r="C7640" s="4" t="s">
        <v>36</v>
      </c>
      <c r="D7640" s="4">
        <v>2011</v>
      </c>
      <c r="E7640" s="4">
        <v>134719.58268493149</v>
      </c>
      <c r="F7640" s="4" t="s">
        <v>29</v>
      </c>
    </row>
    <row r="7641" spans="1:6" x14ac:dyDescent="0.25">
      <c r="A7641" s="4" t="s">
        <v>74</v>
      </c>
      <c r="B7641" s="4" t="s">
        <v>6</v>
      </c>
      <c r="C7641" s="4" t="s">
        <v>36</v>
      </c>
      <c r="D7641" s="4">
        <v>2012</v>
      </c>
      <c r="E7641" s="4">
        <v>157385.20219178079</v>
      </c>
      <c r="F7641" s="4" t="s">
        <v>29</v>
      </c>
    </row>
    <row r="7642" spans="1:6" x14ac:dyDescent="0.25">
      <c r="A7642" s="4" t="s">
        <v>74</v>
      </c>
      <c r="B7642" s="4" t="s">
        <v>6</v>
      </c>
      <c r="C7642" s="4" t="s">
        <v>36</v>
      </c>
      <c r="D7642" s="4">
        <v>2013</v>
      </c>
      <c r="E7642" s="4">
        <v>175859.07172602741</v>
      </c>
      <c r="F7642" s="4" t="s">
        <v>29</v>
      </c>
    </row>
    <row r="7643" spans="1:6" x14ac:dyDescent="0.25">
      <c r="A7643" s="4" t="s">
        <v>74</v>
      </c>
      <c r="B7643" s="4" t="s">
        <v>6</v>
      </c>
      <c r="C7643" s="4" t="s">
        <v>36</v>
      </c>
      <c r="D7643" s="4">
        <v>2014</v>
      </c>
      <c r="E7643" s="4">
        <v>200748.64076712329</v>
      </c>
      <c r="F7643" s="4" t="s">
        <v>29</v>
      </c>
    </row>
    <row r="7644" spans="1:6" x14ac:dyDescent="0.25">
      <c r="A7644" s="4" t="s">
        <v>74</v>
      </c>
      <c r="B7644" s="4" t="s">
        <v>6</v>
      </c>
      <c r="C7644" s="4" t="s">
        <v>36</v>
      </c>
      <c r="D7644" s="4">
        <v>2015</v>
      </c>
      <c r="E7644" s="4">
        <v>216516.94391559192</v>
      </c>
      <c r="F7644" s="4" t="s">
        <v>29</v>
      </c>
    </row>
    <row r="7645" spans="1:6" x14ac:dyDescent="0.25">
      <c r="A7645" s="4" t="s">
        <v>74</v>
      </c>
      <c r="B7645" s="4" t="s">
        <v>6</v>
      </c>
      <c r="C7645" s="4" t="s">
        <v>36</v>
      </c>
      <c r="D7645" s="4">
        <v>2016</v>
      </c>
      <c r="E7645" s="4">
        <v>222306.83333061248</v>
      </c>
      <c r="F7645" s="4" t="s">
        <v>29</v>
      </c>
    </row>
    <row r="7646" spans="1:6" x14ac:dyDescent="0.25">
      <c r="A7646" s="4" t="s">
        <v>74</v>
      </c>
      <c r="B7646" s="4" t="s">
        <v>6</v>
      </c>
      <c r="C7646" s="4" t="s">
        <v>36</v>
      </c>
      <c r="D7646" s="4">
        <v>2017</v>
      </c>
      <c r="E7646" s="4">
        <v>245914.92329379948</v>
      </c>
      <c r="F7646" s="4" t="s">
        <v>29</v>
      </c>
    </row>
    <row r="7647" spans="1:6" x14ac:dyDescent="0.25">
      <c r="A7647" s="4" t="s">
        <v>74</v>
      </c>
      <c r="B7647" s="4" t="s">
        <v>6</v>
      </c>
      <c r="C7647" s="4" t="s">
        <v>36</v>
      </c>
      <c r="D7647" s="4">
        <v>2018</v>
      </c>
      <c r="E7647" s="4">
        <v>261640.34547641588</v>
      </c>
      <c r="F7647" s="4" t="s">
        <v>29</v>
      </c>
    </row>
    <row r="7648" spans="1:6" x14ac:dyDescent="0.25">
      <c r="A7648" s="4" t="s">
        <v>74</v>
      </c>
      <c r="B7648" s="4" t="s">
        <v>6</v>
      </c>
      <c r="C7648" s="4" t="s">
        <v>36</v>
      </c>
      <c r="D7648" s="4">
        <v>2019</v>
      </c>
      <c r="E7648" s="4">
        <v>273757.26348823449</v>
      </c>
      <c r="F7648" s="4" t="s">
        <v>29</v>
      </c>
    </row>
    <row r="7649" spans="1:6" x14ac:dyDescent="0.25">
      <c r="A7649" s="4" t="s">
        <v>74</v>
      </c>
      <c r="B7649" s="4" t="s">
        <v>6</v>
      </c>
      <c r="C7649" s="4" t="s">
        <v>36</v>
      </c>
      <c r="D7649" s="4">
        <v>2020</v>
      </c>
      <c r="E7649" s="4">
        <v>283681.48916161514</v>
      </c>
      <c r="F7649" s="4" t="s">
        <v>29</v>
      </c>
    </row>
    <row r="7650" spans="1:6" x14ac:dyDescent="0.25">
      <c r="A7650" s="4" t="s">
        <v>74</v>
      </c>
      <c r="B7650" s="4" t="s">
        <v>6</v>
      </c>
      <c r="C7650" s="4" t="s">
        <v>36</v>
      </c>
      <c r="D7650" s="4">
        <v>2021</v>
      </c>
      <c r="E7650" s="4">
        <v>288325.86230611883</v>
      </c>
      <c r="F7650" s="4" t="s">
        <v>29</v>
      </c>
    </row>
    <row r="7651" spans="1:6" x14ac:dyDescent="0.25">
      <c r="A7651" s="4" t="s">
        <v>74</v>
      </c>
      <c r="B7651" s="4" t="s">
        <v>6</v>
      </c>
      <c r="C7651" s="4" t="s">
        <v>36</v>
      </c>
      <c r="D7651" s="4">
        <v>2022</v>
      </c>
      <c r="E7651" s="4">
        <v>292682.61261761619</v>
      </c>
      <c r="F7651" s="4" t="s">
        <v>29</v>
      </c>
    </row>
    <row r="7652" spans="1:6" x14ac:dyDescent="0.25">
      <c r="A7652" s="4" t="s">
        <v>74</v>
      </c>
      <c r="B7652" s="4" t="s">
        <v>6</v>
      </c>
      <c r="C7652" s="4" t="s">
        <v>36</v>
      </c>
      <c r="D7652" s="4">
        <v>2023</v>
      </c>
      <c r="E7652" s="4">
        <v>305074.30851720634</v>
      </c>
      <c r="F7652" s="4" t="s">
        <v>29</v>
      </c>
    </row>
    <row r="7653" spans="1:6" x14ac:dyDescent="0.25">
      <c r="A7653" s="4" t="s">
        <v>74</v>
      </c>
      <c r="B7653" s="4" t="s">
        <v>6</v>
      </c>
      <c r="C7653" s="4" t="s">
        <v>36</v>
      </c>
      <c r="D7653" s="4">
        <v>2024</v>
      </c>
      <c r="E7653" s="4">
        <v>321274.03996566811</v>
      </c>
      <c r="F7653" s="4" t="s">
        <v>29</v>
      </c>
    </row>
    <row r="7654" spans="1:6" x14ac:dyDescent="0.25">
      <c r="A7654" s="4" t="s">
        <v>74</v>
      </c>
      <c r="B7654" s="4" t="s">
        <v>6</v>
      </c>
      <c r="C7654" s="4" t="s">
        <v>36</v>
      </c>
      <c r="D7654" s="4">
        <v>2025</v>
      </c>
      <c r="E7654" s="4">
        <v>335609.62472703506</v>
      </c>
      <c r="F7654" s="4" t="s">
        <v>29</v>
      </c>
    </row>
    <row r="7655" spans="1:6" x14ac:dyDescent="0.25">
      <c r="A7655" s="4" t="s">
        <v>74</v>
      </c>
      <c r="B7655" s="4" t="s">
        <v>6</v>
      </c>
      <c r="C7655" s="4" t="s">
        <v>36</v>
      </c>
      <c r="D7655" s="4">
        <v>2026</v>
      </c>
      <c r="E7655" s="4">
        <v>358666.522715092</v>
      </c>
      <c r="F7655" s="4" t="s">
        <v>29</v>
      </c>
    </row>
    <row r="7656" spans="1:6" x14ac:dyDescent="0.25">
      <c r="A7656" s="4" t="s">
        <v>74</v>
      </c>
      <c r="B7656" s="4" t="s">
        <v>6</v>
      </c>
      <c r="C7656" s="4" t="s">
        <v>36</v>
      </c>
      <c r="D7656" s="4">
        <v>2027</v>
      </c>
      <c r="E7656" s="4">
        <v>375954.56890337222</v>
      </c>
      <c r="F7656" s="4" t="s">
        <v>29</v>
      </c>
    </row>
    <row r="7657" spans="1:6" x14ac:dyDescent="0.25">
      <c r="A7657" s="4" t="s">
        <v>74</v>
      </c>
      <c r="B7657" s="4" t="s">
        <v>6</v>
      </c>
      <c r="C7657" s="4" t="s">
        <v>36</v>
      </c>
      <c r="D7657" s="4">
        <v>2028</v>
      </c>
      <c r="E7657" s="4">
        <v>392071.23514178494</v>
      </c>
      <c r="F7657" s="4" t="s">
        <v>29</v>
      </c>
    </row>
    <row r="7658" spans="1:6" x14ac:dyDescent="0.25">
      <c r="A7658" s="4" t="s">
        <v>74</v>
      </c>
      <c r="B7658" s="4" t="s">
        <v>6</v>
      </c>
      <c r="C7658" s="4" t="s">
        <v>36</v>
      </c>
      <c r="D7658" s="4">
        <v>2029</v>
      </c>
      <c r="E7658" s="4">
        <v>396020.8430790946</v>
      </c>
      <c r="F7658" s="4" t="s">
        <v>29</v>
      </c>
    </row>
    <row r="7659" spans="1:6" x14ac:dyDescent="0.25">
      <c r="A7659" s="4" t="s">
        <v>74</v>
      </c>
      <c r="B7659" s="4" t="s">
        <v>6</v>
      </c>
      <c r="C7659" s="4" t="s">
        <v>36</v>
      </c>
      <c r="D7659" s="4">
        <v>2030</v>
      </c>
      <c r="E7659" s="4">
        <v>398516.49347736349</v>
      </c>
      <c r="F7659" s="4" t="s">
        <v>29</v>
      </c>
    </row>
    <row r="7660" spans="1:6" x14ac:dyDescent="0.25">
      <c r="A7660" s="4" t="s">
        <v>74</v>
      </c>
      <c r="B7660" s="4" t="s">
        <v>6</v>
      </c>
      <c r="C7660" s="4" t="s">
        <v>36</v>
      </c>
      <c r="D7660" s="4">
        <v>2031</v>
      </c>
      <c r="E7660" s="4">
        <v>399981.98961715098</v>
      </c>
      <c r="F7660" s="4" t="s">
        <v>29</v>
      </c>
    </row>
    <row r="7661" spans="1:6" x14ac:dyDescent="0.25">
      <c r="A7661" s="4" t="s">
        <v>74</v>
      </c>
      <c r="B7661" s="4" t="s">
        <v>6</v>
      </c>
      <c r="C7661" s="4" t="s">
        <v>36</v>
      </c>
      <c r="D7661" s="4">
        <v>2032</v>
      </c>
      <c r="E7661" s="4">
        <v>406483.74690376862</v>
      </c>
      <c r="F7661" s="4" t="s">
        <v>29</v>
      </c>
    </row>
    <row r="7662" spans="1:6" x14ac:dyDescent="0.25">
      <c r="A7662" s="4" t="s">
        <v>74</v>
      </c>
      <c r="B7662" s="4" t="s">
        <v>6</v>
      </c>
      <c r="C7662" s="4" t="s">
        <v>36</v>
      </c>
      <c r="D7662" s="4">
        <v>2033</v>
      </c>
      <c r="E7662" s="4">
        <v>408398.46783496527</v>
      </c>
      <c r="F7662" s="4" t="s">
        <v>29</v>
      </c>
    </row>
    <row r="7663" spans="1:6" x14ac:dyDescent="0.25">
      <c r="A7663" s="4" t="s">
        <v>74</v>
      </c>
      <c r="B7663" s="4" t="s">
        <v>6</v>
      </c>
      <c r="C7663" s="4" t="s">
        <v>36</v>
      </c>
      <c r="D7663" s="4">
        <v>2034</v>
      </c>
      <c r="E7663" s="4">
        <v>408362.33826701279</v>
      </c>
      <c r="F7663" s="4" t="s">
        <v>29</v>
      </c>
    </row>
    <row r="7664" spans="1:6" x14ac:dyDescent="0.25">
      <c r="A7664" s="4" t="s">
        <v>74</v>
      </c>
      <c r="B7664" s="4" t="s">
        <v>6</v>
      </c>
      <c r="C7664" s="4" t="s">
        <v>36</v>
      </c>
      <c r="D7664" s="4">
        <v>2035</v>
      </c>
      <c r="E7664" s="4">
        <v>408283.81619107048</v>
      </c>
      <c r="F7664" s="4" t="s">
        <v>29</v>
      </c>
    </row>
    <row r="7665" spans="1:6" x14ac:dyDescent="0.25">
      <c r="A7665" s="4" t="s">
        <v>74</v>
      </c>
      <c r="B7665" s="4" t="s">
        <v>6</v>
      </c>
      <c r="C7665" s="4" t="s">
        <v>36</v>
      </c>
      <c r="D7665" s="4">
        <v>2036</v>
      </c>
      <c r="E7665" s="4">
        <v>408191.4548739554</v>
      </c>
      <c r="F7665" s="4" t="s">
        <v>29</v>
      </c>
    </row>
    <row r="7666" spans="1:6" x14ac:dyDescent="0.25">
      <c r="A7666" s="4" t="s">
        <v>74</v>
      </c>
      <c r="B7666" s="4" t="s">
        <v>6</v>
      </c>
      <c r="C7666" s="4" t="s">
        <v>36</v>
      </c>
      <c r="D7666" s="4">
        <v>2037</v>
      </c>
      <c r="E7666" s="4">
        <v>408086.24288439628</v>
      </c>
      <c r="F7666" s="4" t="s">
        <v>29</v>
      </c>
    </row>
    <row r="7667" spans="1:6" x14ac:dyDescent="0.25">
      <c r="A7667" s="4" t="s">
        <v>74</v>
      </c>
      <c r="B7667" s="4" t="s">
        <v>6</v>
      </c>
      <c r="C7667" s="4" t="s">
        <v>36</v>
      </c>
      <c r="D7667" s="4">
        <v>2038</v>
      </c>
      <c r="E7667" s="4">
        <v>407967.49344223941</v>
      </c>
      <c r="F7667" s="4" t="s">
        <v>29</v>
      </c>
    </row>
    <row r="7668" spans="1:6" x14ac:dyDescent="0.25">
      <c r="A7668" s="4" t="s">
        <v>74</v>
      </c>
      <c r="B7668" s="4" t="s">
        <v>6</v>
      </c>
      <c r="C7668" s="4" t="s">
        <v>36</v>
      </c>
      <c r="D7668" s="4">
        <v>2039</v>
      </c>
      <c r="E7668" s="4">
        <v>407834.09337303642</v>
      </c>
      <c r="F7668" s="4" t="s">
        <v>29</v>
      </c>
    </row>
    <row r="7669" spans="1:6" x14ac:dyDescent="0.25">
      <c r="A7669" s="4" t="s">
        <v>74</v>
      </c>
      <c r="B7669" s="4" t="s">
        <v>6</v>
      </c>
      <c r="C7669" s="4" t="s">
        <v>36</v>
      </c>
      <c r="D7669" s="4">
        <v>2040</v>
      </c>
      <c r="E7669" s="4">
        <v>407686.2596495343</v>
      </c>
      <c r="F7669" s="4" t="s">
        <v>29</v>
      </c>
    </row>
    <row r="7670" spans="1:6" x14ac:dyDescent="0.25">
      <c r="A7670" s="4" t="s">
        <v>74</v>
      </c>
      <c r="B7670" s="4" t="s">
        <v>23</v>
      </c>
      <c r="C7670" s="4" t="s">
        <v>36</v>
      </c>
      <c r="D7670" s="4">
        <v>2005</v>
      </c>
      <c r="E7670" s="4">
        <v>282212.47959485406</v>
      </c>
      <c r="F7670" s="4" t="s">
        <v>29</v>
      </c>
    </row>
    <row r="7671" spans="1:6" x14ac:dyDescent="0.25">
      <c r="A7671" s="4" t="s">
        <v>74</v>
      </c>
      <c r="B7671" s="4" t="s">
        <v>23</v>
      </c>
      <c r="C7671" s="4" t="s">
        <v>36</v>
      </c>
      <c r="D7671" s="4">
        <v>2006</v>
      </c>
      <c r="E7671" s="4">
        <v>308821.51053891447</v>
      </c>
      <c r="F7671" s="4" t="s">
        <v>29</v>
      </c>
    </row>
    <row r="7672" spans="1:6" x14ac:dyDescent="0.25">
      <c r="A7672" s="4" t="s">
        <v>74</v>
      </c>
      <c r="B7672" s="4" t="s">
        <v>23</v>
      </c>
      <c r="C7672" s="4" t="s">
        <v>36</v>
      </c>
      <c r="D7672" s="4">
        <v>2007</v>
      </c>
      <c r="E7672" s="4">
        <v>316621.84584741422</v>
      </c>
      <c r="F7672" s="4" t="s">
        <v>29</v>
      </c>
    </row>
    <row r="7673" spans="1:6" x14ac:dyDescent="0.25">
      <c r="A7673" s="4" t="s">
        <v>74</v>
      </c>
      <c r="B7673" s="4" t="s">
        <v>23</v>
      </c>
      <c r="C7673" s="4" t="s">
        <v>36</v>
      </c>
      <c r="D7673" s="4">
        <v>2008</v>
      </c>
      <c r="E7673" s="4">
        <v>309817.91666666669</v>
      </c>
      <c r="F7673" s="4" t="s">
        <v>29</v>
      </c>
    </row>
    <row r="7674" spans="1:6" x14ac:dyDescent="0.25">
      <c r="A7674" s="4" t="s">
        <v>74</v>
      </c>
      <c r="B7674" s="4" t="s">
        <v>23</v>
      </c>
      <c r="C7674" s="4" t="s">
        <v>36</v>
      </c>
      <c r="D7674" s="4">
        <v>2009</v>
      </c>
      <c r="E7674" s="4">
        <v>331002.26312788017</v>
      </c>
      <c r="F7674" s="4" t="s">
        <v>29</v>
      </c>
    </row>
    <row r="7675" spans="1:6" x14ac:dyDescent="0.25">
      <c r="A7675" s="4" t="s">
        <v>74</v>
      </c>
      <c r="B7675" s="4" t="s">
        <v>23</v>
      </c>
      <c r="C7675" s="4" t="s">
        <v>36</v>
      </c>
      <c r="D7675" s="4">
        <v>2010</v>
      </c>
      <c r="E7675" s="4">
        <v>349078.57793704275</v>
      </c>
      <c r="F7675" s="4" t="s">
        <v>29</v>
      </c>
    </row>
    <row r="7676" spans="1:6" x14ac:dyDescent="0.25">
      <c r="A7676" s="4" t="s">
        <v>74</v>
      </c>
      <c r="B7676" s="4" t="s">
        <v>23</v>
      </c>
      <c r="C7676" s="4" t="s">
        <v>36</v>
      </c>
      <c r="D7676" s="4">
        <v>2011</v>
      </c>
      <c r="E7676" s="4">
        <v>374155.60891879012</v>
      </c>
      <c r="F7676" s="4" t="s">
        <v>29</v>
      </c>
    </row>
    <row r="7677" spans="1:6" x14ac:dyDescent="0.25">
      <c r="A7677" s="4" t="s">
        <v>74</v>
      </c>
      <c r="B7677" s="4" t="s">
        <v>23</v>
      </c>
      <c r="C7677" s="4" t="s">
        <v>36</v>
      </c>
      <c r="D7677" s="4">
        <v>2012</v>
      </c>
      <c r="E7677" s="4">
        <v>413332.3737569534</v>
      </c>
      <c r="F7677" s="4" t="s">
        <v>29</v>
      </c>
    </row>
    <row r="7678" spans="1:6" x14ac:dyDescent="0.25">
      <c r="A7678" s="4" t="s">
        <v>74</v>
      </c>
      <c r="B7678" s="4" t="s">
        <v>23</v>
      </c>
      <c r="C7678" s="4" t="s">
        <v>36</v>
      </c>
      <c r="D7678" s="4">
        <v>2013</v>
      </c>
      <c r="E7678" s="4">
        <v>444314.08336594386</v>
      </c>
      <c r="F7678" s="4" t="s">
        <v>29</v>
      </c>
    </row>
    <row r="7679" spans="1:6" x14ac:dyDescent="0.25">
      <c r="A7679" s="4" t="s">
        <v>74</v>
      </c>
      <c r="B7679" s="4" t="s">
        <v>23</v>
      </c>
      <c r="C7679" s="4" t="s">
        <v>36</v>
      </c>
      <c r="D7679" s="4">
        <v>2014</v>
      </c>
      <c r="E7679" s="4">
        <v>472104.01654323877</v>
      </c>
      <c r="F7679" s="4" t="s">
        <v>29</v>
      </c>
    </row>
    <row r="7680" spans="1:6" x14ac:dyDescent="0.25">
      <c r="A7680" s="4" t="s">
        <v>74</v>
      </c>
      <c r="B7680" s="4" t="s">
        <v>23</v>
      </c>
      <c r="C7680" s="4" t="s">
        <v>36</v>
      </c>
      <c r="D7680" s="4">
        <v>2015</v>
      </c>
      <c r="E7680" s="4">
        <v>515890.15396101726</v>
      </c>
      <c r="F7680" s="4" t="s">
        <v>29</v>
      </c>
    </row>
    <row r="7681" spans="1:6" x14ac:dyDescent="0.25">
      <c r="A7681" s="4" t="s">
        <v>74</v>
      </c>
      <c r="B7681" s="4" t="s">
        <v>23</v>
      </c>
      <c r="C7681" s="4" t="s">
        <v>36</v>
      </c>
      <c r="D7681" s="4">
        <v>2016</v>
      </c>
      <c r="E7681" s="4">
        <v>511295.13393929158</v>
      </c>
      <c r="F7681" s="4" t="s">
        <v>29</v>
      </c>
    </row>
    <row r="7682" spans="1:6" x14ac:dyDescent="0.25">
      <c r="A7682" s="4" t="s">
        <v>74</v>
      </c>
      <c r="B7682" s="4" t="s">
        <v>23</v>
      </c>
      <c r="C7682" s="4" t="s">
        <v>36</v>
      </c>
      <c r="D7682" s="4">
        <v>2017</v>
      </c>
      <c r="E7682" s="4">
        <v>562108.93723498529</v>
      </c>
      <c r="F7682" s="4" t="s">
        <v>29</v>
      </c>
    </row>
    <row r="7683" spans="1:6" x14ac:dyDescent="0.25">
      <c r="A7683" s="4" t="s">
        <v>74</v>
      </c>
      <c r="B7683" s="4" t="s">
        <v>23</v>
      </c>
      <c r="C7683" s="4" t="s">
        <v>36</v>
      </c>
      <c r="D7683" s="4">
        <v>2018</v>
      </c>
      <c r="E7683" s="4">
        <v>610495.87794655841</v>
      </c>
      <c r="F7683" s="4" t="s">
        <v>29</v>
      </c>
    </row>
    <row r="7684" spans="1:6" x14ac:dyDescent="0.25">
      <c r="A7684" s="4" t="s">
        <v>74</v>
      </c>
      <c r="B7684" s="4" t="s">
        <v>23</v>
      </c>
      <c r="C7684" s="4" t="s">
        <v>36</v>
      </c>
      <c r="D7684" s="4">
        <v>2019</v>
      </c>
      <c r="E7684" s="4">
        <v>640921.84725224308</v>
      </c>
      <c r="F7684" s="4" t="s">
        <v>29</v>
      </c>
    </row>
    <row r="7685" spans="1:6" x14ac:dyDescent="0.25">
      <c r="A7685" s="4" t="s">
        <v>74</v>
      </c>
      <c r="B7685" s="4" t="s">
        <v>23</v>
      </c>
      <c r="C7685" s="4" t="s">
        <v>36</v>
      </c>
      <c r="D7685" s="4">
        <v>2020</v>
      </c>
      <c r="E7685" s="4">
        <v>654536.81973576965</v>
      </c>
      <c r="F7685" s="4" t="s">
        <v>29</v>
      </c>
    </row>
    <row r="7686" spans="1:6" x14ac:dyDescent="0.25">
      <c r="A7686" s="4" t="s">
        <v>74</v>
      </c>
      <c r="B7686" s="4" t="s">
        <v>23</v>
      </c>
      <c r="C7686" s="4" t="s">
        <v>36</v>
      </c>
      <c r="D7686" s="4">
        <v>2021</v>
      </c>
      <c r="E7686" s="4">
        <v>659114.96698118164</v>
      </c>
      <c r="F7686" s="4" t="s">
        <v>29</v>
      </c>
    </row>
    <row r="7687" spans="1:6" x14ac:dyDescent="0.25">
      <c r="A7687" s="4" t="s">
        <v>74</v>
      </c>
      <c r="B7687" s="4" t="s">
        <v>23</v>
      </c>
      <c r="C7687" s="4" t="s">
        <v>36</v>
      </c>
      <c r="D7687" s="4">
        <v>2022</v>
      </c>
      <c r="E7687" s="4">
        <v>663411.97597725852</v>
      </c>
      <c r="F7687" s="4" t="s">
        <v>29</v>
      </c>
    </row>
    <row r="7688" spans="1:6" x14ac:dyDescent="0.25">
      <c r="A7688" s="4" t="s">
        <v>74</v>
      </c>
      <c r="B7688" s="4" t="s">
        <v>23</v>
      </c>
      <c r="C7688" s="4" t="s">
        <v>36</v>
      </c>
      <c r="D7688" s="4">
        <v>2023</v>
      </c>
      <c r="E7688" s="4">
        <v>675689.73447987123</v>
      </c>
      <c r="F7688" s="4" t="s">
        <v>29</v>
      </c>
    </row>
    <row r="7689" spans="1:6" x14ac:dyDescent="0.25">
      <c r="A7689" s="4" t="s">
        <v>74</v>
      </c>
      <c r="B7689" s="4" t="s">
        <v>23</v>
      </c>
      <c r="C7689" s="4" t="s">
        <v>36</v>
      </c>
      <c r="D7689" s="4">
        <v>2024</v>
      </c>
      <c r="E7689" s="4">
        <v>692595.07826547651</v>
      </c>
      <c r="F7689" s="4" t="s">
        <v>29</v>
      </c>
    </row>
    <row r="7690" spans="1:6" x14ac:dyDescent="0.25">
      <c r="A7690" s="4" t="s">
        <v>74</v>
      </c>
      <c r="B7690" s="4" t="s">
        <v>23</v>
      </c>
      <c r="C7690" s="4" t="s">
        <v>36</v>
      </c>
      <c r="D7690" s="4">
        <v>2025</v>
      </c>
      <c r="E7690" s="4">
        <v>707685.68486983329</v>
      </c>
      <c r="F7690" s="4" t="s">
        <v>29</v>
      </c>
    </row>
    <row r="7691" spans="1:6" x14ac:dyDescent="0.25">
      <c r="A7691" s="4" t="s">
        <v>74</v>
      </c>
      <c r="B7691" s="4" t="s">
        <v>23</v>
      </c>
      <c r="C7691" s="4" t="s">
        <v>36</v>
      </c>
      <c r="D7691" s="4">
        <v>2026</v>
      </c>
      <c r="E7691" s="4">
        <v>731666.9933861068</v>
      </c>
      <c r="F7691" s="4" t="s">
        <v>29</v>
      </c>
    </row>
    <row r="7692" spans="1:6" x14ac:dyDescent="0.25">
      <c r="A7692" s="4" t="s">
        <v>74</v>
      </c>
      <c r="B7692" s="4" t="s">
        <v>23</v>
      </c>
      <c r="C7692" s="4" t="s">
        <v>36</v>
      </c>
      <c r="D7692" s="4">
        <v>2027</v>
      </c>
      <c r="E7692" s="4">
        <v>749646.21398598375</v>
      </c>
      <c r="F7692" s="4" t="s">
        <v>29</v>
      </c>
    </row>
    <row r="7693" spans="1:6" x14ac:dyDescent="0.25">
      <c r="A7693" s="4" t="s">
        <v>74</v>
      </c>
      <c r="B7693" s="4" t="s">
        <v>23</v>
      </c>
      <c r="C7693" s="4" t="s">
        <v>36</v>
      </c>
      <c r="D7693" s="4">
        <v>2028</v>
      </c>
      <c r="E7693" s="4">
        <v>766233.25669435656</v>
      </c>
      <c r="F7693" s="4" t="s">
        <v>29</v>
      </c>
    </row>
    <row r="7694" spans="1:6" x14ac:dyDescent="0.25">
      <c r="A7694" s="4" t="s">
        <v>74</v>
      </c>
      <c r="B7694" s="4" t="s">
        <v>23</v>
      </c>
      <c r="C7694" s="4" t="s">
        <v>36</v>
      </c>
      <c r="D7694" s="4">
        <v>2029</v>
      </c>
      <c r="E7694" s="4">
        <v>770521.79588562169</v>
      </c>
      <c r="F7694" s="4" t="s">
        <v>29</v>
      </c>
    </row>
    <row r="7695" spans="1:6" x14ac:dyDescent="0.25">
      <c r="A7695" s="4" t="s">
        <v>74</v>
      </c>
      <c r="B7695" s="4" t="s">
        <v>23</v>
      </c>
      <c r="C7695" s="4" t="s">
        <v>36</v>
      </c>
      <c r="D7695" s="4">
        <v>2030</v>
      </c>
      <c r="E7695" s="4">
        <v>773164.2294384914</v>
      </c>
      <c r="F7695" s="4" t="s">
        <v>29</v>
      </c>
    </row>
    <row r="7696" spans="1:6" x14ac:dyDescent="0.25">
      <c r="A7696" s="4" t="s">
        <v>74</v>
      </c>
      <c r="B7696" s="4" t="s">
        <v>23</v>
      </c>
      <c r="C7696" s="4" t="s">
        <v>36</v>
      </c>
      <c r="D7696" s="4">
        <v>2031</v>
      </c>
      <c r="E7696" s="4">
        <v>774653.76246629353</v>
      </c>
      <c r="F7696" s="4" t="s">
        <v>29</v>
      </c>
    </row>
    <row r="7697" spans="1:6" x14ac:dyDescent="0.25">
      <c r="A7697" s="4" t="s">
        <v>74</v>
      </c>
      <c r="B7697" s="4" t="s">
        <v>23</v>
      </c>
      <c r="C7697" s="4" t="s">
        <v>36</v>
      </c>
      <c r="D7697" s="4">
        <v>2032</v>
      </c>
      <c r="E7697" s="4">
        <v>780190.15642760007</v>
      </c>
      <c r="F7697" s="4" t="s">
        <v>29</v>
      </c>
    </row>
    <row r="7698" spans="1:6" x14ac:dyDescent="0.25">
      <c r="A7698" s="4" t="s">
        <v>74</v>
      </c>
      <c r="B7698" s="4" t="s">
        <v>23</v>
      </c>
      <c r="C7698" s="4" t="s">
        <v>36</v>
      </c>
      <c r="D7698" s="4">
        <v>2033</v>
      </c>
      <c r="E7698" s="4">
        <v>780409.10669441428</v>
      </c>
      <c r="F7698" s="4" t="s">
        <v>29</v>
      </c>
    </row>
    <row r="7699" spans="1:6" x14ac:dyDescent="0.25">
      <c r="A7699" s="4" t="s">
        <v>74</v>
      </c>
      <c r="B7699" s="4" t="s">
        <v>23</v>
      </c>
      <c r="C7699" s="4" t="s">
        <v>36</v>
      </c>
      <c r="D7699" s="4">
        <v>2034</v>
      </c>
      <c r="E7699" s="4">
        <v>778368.57864127343</v>
      </c>
      <c r="F7699" s="4" t="s">
        <v>29</v>
      </c>
    </row>
    <row r="7700" spans="1:6" x14ac:dyDescent="0.25">
      <c r="A7700" s="4" t="s">
        <v>74</v>
      </c>
      <c r="B7700" s="4" t="s">
        <v>23</v>
      </c>
      <c r="C7700" s="4" t="s">
        <v>36</v>
      </c>
      <c r="D7700" s="4">
        <v>2035</v>
      </c>
      <c r="E7700" s="4">
        <v>775978.35883175186</v>
      </c>
      <c r="F7700" s="4" t="s">
        <v>29</v>
      </c>
    </row>
    <row r="7701" spans="1:6" x14ac:dyDescent="0.25">
      <c r="A7701" s="4" t="s">
        <v>74</v>
      </c>
      <c r="B7701" s="4" t="s">
        <v>23</v>
      </c>
      <c r="C7701" s="4" t="s">
        <v>36</v>
      </c>
      <c r="D7701" s="4">
        <v>2036</v>
      </c>
      <c r="E7701" s="4">
        <v>773892.36155781872</v>
      </c>
      <c r="F7701" s="4" t="s">
        <v>29</v>
      </c>
    </row>
    <row r="7702" spans="1:6" x14ac:dyDescent="0.25">
      <c r="A7702" s="4" t="s">
        <v>74</v>
      </c>
      <c r="B7702" s="4" t="s">
        <v>23</v>
      </c>
      <c r="C7702" s="4" t="s">
        <v>36</v>
      </c>
      <c r="D7702" s="4">
        <v>2037</v>
      </c>
      <c r="E7702" s="4">
        <v>772320.01233944413</v>
      </c>
      <c r="F7702" s="4" t="s">
        <v>29</v>
      </c>
    </row>
    <row r="7703" spans="1:6" x14ac:dyDescent="0.25">
      <c r="A7703" s="4" t="s">
        <v>74</v>
      </c>
      <c r="B7703" s="4" t="s">
        <v>23</v>
      </c>
      <c r="C7703" s="4" t="s">
        <v>36</v>
      </c>
      <c r="D7703" s="4">
        <v>2038</v>
      </c>
      <c r="E7703" s="4">
        <v>770886.74989484251</v>
      </c>
      <c r="F7703" s="4" t="s">
        <v>29</v>
      </c>
    </row>
    <row r="7704" spans="1:6" x14ac:dyDescent="0.25">
      <c r="A7704" s="4" t="s">
        <v>74</v>
      </c>
      <c r="B7704" s="4" t="s">
        <v>23</v>
      </c>
      <c r="C7704" s="4" t="s">
        <v>36</v>
      </c>
      <c r="D7704" s="4">
        <v>2039</v>
      </c>
      <c r="E7704" s="4">
        <v>769322.98141201562</v>
      </c>
      <c r="F7704" s="4" t="s">
        <v>29</v>
      </c>
    </row>
    <row r="7705" spans="1:6" x14ac:dyDescent="0.25">
      <c r="A7705" s="4" t="s">
        <v>74</v>
      </c>
      <c r="B7705" s="4" t="s">
        <v>23</v>
      </c>
      <c r="C7705" s="4" t="s">
        <v>36</v>
      </c>
      <c r="D7705" s="4">
        <v>2040</v>
      </c>
      <c r="E7705" s="4">
        <v>767637.73039004882</v>
      </c>
      <c r="F7705" s="4" t="s">
        <v>29</v>
      </c>
    </row>
    <row r="7706" spans="1:6" x14ac:dyDescent="0.25">
      <c r="A7706" s="4" t="s">
        <v>75</v>
      </c>
      <c r="B7706" s="4" t="s">
        <v>1</v>
      </c>
      <c r="C7706" s="4" t="s">
        <v>36</v>
      </c>
      <c r="D7706" s="4">
        <v>2005</v>
      </c>
      <c r="E7706" s="4">
        <v>96.492316484880945</v>
      </c>
      <c r="F7706" s="4" t="s">
        <v>29</v>
      </c>
    </row>
    <row r="7707" spans="1:6" x14ac:dyDescent="0.25">
      <c r="A7707" s="4" t="s">
        <v>75</v>
      </c>
      <c r="B7707" s="4" t="s">
        <v>1</v>
      </c>
      <c r="C7707" s="4" t="s">
        <v>36</v>
      </c>
      <c r="D7707" s="4">
        <v>2006</v>
      </c>
      <c r="E7707" s="4">
        <v>679.74809020666567</v>
      </c>
      <c r="F7707" s="4" t="s">
        <v>29</v>
      </c>
    </row>
    <row r="7708" spans="1:6" x14ac:dyDescent="0.25">
      <c r="A7708" s="4" t="s">
        <v>75</v>
      </c>
      <c r="B7708" s="4" t="s">
        <v>1</v>
      </c>
      <c r="C7708" s="4" t="s">
        <v>36</v>
      </c>
      <c r="D7708" s="4">
        <v>2007</v>
      </c>
      <c r="E7708" s="4">
        <v>2091.8865299329486</v>
      </c>
      <c r="F7708" s="4" t="s">
        <v>29</v>
      </c>
    </row>
    <row r="7709" spans="1:6" x14ac:dyDescent="0.25">
      <c r="A7709" s="4" t="s">
        <v>75</v>
      </c>
      <c r="B7709" s="4" t="s">
        <v>1</v>
      </c>
      <c r="C7709" s="4" t="s">
        <v>36</v>
      </c>
      <c r="D7709" s="4">
        <v>2008</v>
      </c>
      <c r="E7709" s="4">
        <v>6718.4492038985163</v>
      </c>
      <c r="F7709" s="4" t="s">
        <v>29</v>
      </c>
    </row>
    <row r="7710" spans="1:6" x14ac:dyDescent="0.25">
      <c r="A7710" s="4" t="s">
        <v>75</v>
      </c>
      <c r="B7710" s="4" t="s">
        <v>1</v>
      </c>
      <c r="C7710" s="4" t="s">
        <v>36</v>
      </c>
      <c r="D7710" s="4">
        <v>2009</v>
      </c>
      <c r="E7710" s="4">
        <v>9701.0385576611534</v>
      </c>
      <c r="F7710" s="4" t="s">
        <v>29</v>
      </c>
    </row>
    <row r="7711" spans="1:6" x14ac:dyDescent="0.25">
      <c r="A7711" s="4" t="s">
        <v>75</v>
      </c>
      <c r="B7711" s="4" t="s">
        <v>1</v>
      </c>
      <c r="C7711" s="4" t="s">
        <v>36</v>
      </c>
      <c r="D7711" s="4">
        <v>2010</v>
      </c>
      <c r="E7711" s="4">
        <v>9228.2576536040469</v>
      </c>
      <c r="F7711" s="4" t="s">
        <v>29</v>
      </c>
    </row>
    <row r="7712" spans="1:6" x14ac:dyDescent="0.25">
      <c r="A7712" s="4" t="s">
        <v>75</v>
      </c>
      <c r="B7712" s="4" t="s">
        <v>1</v>
      </c>
      <c r="C7712" s="4" t="s">
        <v>36</v>
      </c>
      <c r="D7712" s="4">
        <v>2011</v>
      </c>
      <c r="E7712" s="4">
        <v>9711.9899431634058</v>
      </c>
      <c r="F7712" s="4" t="s">
        <v>29</v>
      </c>
    </row>
    <row r="7713" spans="1:6" x14ac:dyDescent="0.25">
      <c r="A7713" s="4" t="s">
        <v>75</v>
      </c>
      <c r="B7713" s="4" t="s">
        <v>1</v>
      </c>
      <c r="C7713" s="4" t="s">
        <v>36</v>
      </c>
      <c r="D7713" s="4">
        <v>2012</v>
      </c>
      <c r="E7713" s="4">
        <v>10965.345709805462</v>
      </c>
      <c r="F7713" s="4" t="s">
        <v>29</v>
      </c>
    </row>
    <row r="7714" spans="1:6" x14ac:dyDescent="0.25">
      <c r="A7714" s="4" t="s">
        <v>75</v>
      </c>
      <c r="B7714" s="4" t="s">
        <v>1</v>
      </c>
      <c r="C7714" s="4" t="s">
        <v>36</v>
      </c>
      <c r="D7714" s="4">
        <v>2013</v>
      </c>
      <c r="E7714" s="4">
        <v>11162.071896151936</v>
      </c>
      <c r="F7714" s="4" t="s">
        <v>29</v>
      </c>
    </row>
    <row r="7715" spans="1:6" x14ac:dyDescent="0.25">
      <c r="A7715" s="4" t="s">
        <v>75</v>
      </c>
      <c r="B7715" s="4" t="s">
        <v>1</v>
      </c>
      <c r="C7715" s="4" t="s">
        <v>36</v>
      </c>
      <c r="D7715" s="4">
        <v>2014</v>
      </c>
      <c r="E7715" s="4">
        <v>12443.269117385948</v>
      </c>
      <c r="F7715" s="4" t="s">
        <v>29</v>
      </c>
    </row>
    <row r="7716" spans="1:6" x14ac:dyDescent="0.25">
      <c r="A7716" s="4" t="s">
        <v>75</v>
      </c>
      <c r="B7716" s="4" t="s">
        <v>1</v>
      </c>
      <c r="C7716" s="4" t="s">
        <v>36</v>
      </c>
      <c r="D7716" s="4">
        <v>2015</v>
      </c>
      <c r="E7716" s="4">
        <v>10860.397371171624</v>
      </c>
      <c r="F7716" s="4" t="s">
        <v>29</v>
      </c>
    </row>
    <row r="7717" spans="1:6" x14ac:dyDescent="0.25">
      <c r="A7717" s="4" t="s">
        <v>75</v>
      </c>
      <c r="B7717" s="4" t="s">
        <v>1</v>
      </c>
      <c r="C7717" s="4" t="s">
        <v>36</v>
      </c>
      <c r="D7717" s="4">
        <v>2016</v>
      </c>
      <c r="E7717" s="4">
        <v>9253.1959502336631</v>
      </c>
      <c r="F7717" s="4" t="s">
        <v>29</v>
      </c>
    </row>
    <row r="7718" spans="1:6" x14ac:dyDescent="0.25">
      <c r="A7718" s="4" t="s">
        <v>75</v>
      </c>
      <c r="B7718" s="4" t="s">
        <v>1</v>
      </c>
      <c r="C7718" s="4" t="s">
        <v>36</v>
      </c>
      <c r="D7718" s="4">
        <v>2017</v>
      </c>
      <c r="E7718" s="4">
        <v>9004.3643733022636</v>
      </c>
      <c r="F7718" s="4" t="s">
        <v>29</v>
      </c>
    </row>
    <row r="7719" spans="1:6" x14ac:dyDescent="0.25">
      <c r="A7719" s="4" t="s">
        <v>75</v>
      </c>
      <c r="B7719" s="4" t="s">
        <v>1</v>
      </c>
      <c r="C7719" s="4" t="s">
        <v>36</v>
      </c>
      <c r="D7719" s="4">
        <v>2018</v>
      </c>
      <c r="E7719" s="4">
        <v>8739.5270246992168</v>
      </c>
      <c r="F7719" s="4" t="s">
        <v>29</v>
      </c>
    </row>
    <row r="7720" spans="1:6" x14ac:dyDescent="0.25">
      <c r="A7720" s="4" t="s">
        <v>75</v>
      </c>
      <c r="B7720" s="4" t="s">
        <v>1</v>
      </c>
      <c r="C7720" s="4" t="s">
        <v>36</v>
      </c>
      <c r="D7720" s="4">
        <v>2019</v>
      </c>
      <c r="E7720" s="4">
        <v>8347.6950442953457</v>
      </c>
      <c r="F7720" s="4" t="s">
        <v>29</v>
      </c>
    </row>
    <row r="7721" spans="1:6" x14ac:dyDescent="0.25">
      <c r="A7721" s="4" t="s">
        <v>75</v>
      </c>
      <c r="B7721" s="4" t="s">
        <v>1</v>
      </c>
      <c r="C7721" s="4" t="s">
        <v>36</v>
      </c>
      <c r="D7721" s="4">
        <v>2020</v>
      </c>
      <c r="E7721" s="4">
        <v>7929.8022280612768</v>
      </c>
      <c r="F7721" s="4" t="s">
        <v>29</v>
      </c>
    </row>
    <row r="7722" spans="1:6" x14ac:dyDescent="0.25">
      <c r="A7722" s="4" t="s">
        <v>75</v>
      </c>
      <c r="B7722" s="4" t="s">
        <v>1</v>
      </c>
      <c r="C7722" s="4" t="s">
        <v>36</v>
      </c>
      <c r="D7722" s="4">
        <v>2021</v>
      </c>
      <c r="E7722" s="4">
        <v>7609.3479488103167</v>
      </c>
      <c r="F7722" s="4" t="s">
        <v>29</v>
      </c>
    </row>
    <row r="7723" spans="1:6" x14ac:dyDescent="0.25">
      <c r="A7723" s="4" t="s">
        <v>75</v>
      </c>
      <c r="B7723" s="4" t="s">
        <v>1</v>
      </c>
      <c r="C7723" s="4" t="s">
        <v>36</v>
      </c>
      <c r="D7723" s="4">
        <v>2022</v>
      </c>
      <c r="E7723" s="4">
        <v>7431.5576055733964</v>
      </c>
      <c r="F7723" s="4" t="s">
        <v>29</v>
      </c>
    </row>
    <row r="7724" spans="1:6" x14ac:dyDescent="0.25">
      <c r="A7724" s="4" t="s">
        <v>75</v>
      </c>
      <c r="B7724" s="4" t="s">
        <v>1</v>
      </c>
      <c r="C7724" s="4" t="s">
        <v>36</v>
      </c>
      <c r="D7724" s="4">
        <v>2023</v>
      </c>
      <c r="E7724" s="4">
        <v>7408.9899283187297</v>
      </c>
      <c r="F7724" s="4" t="s">
        <v>29</v>
      </c>
    </row>
    <row r="7725" spans="1:6" x14ac:dyDescent="0.25">
      <c r="A7725" s="4" t="s">
        <v>75</v>
      </c>
      <c r="B7725" s="4" t="s">
        <v>1</v>
      </c>
      <c r="C7725" s="4" t="s">
        <v>36</v>
      </c>
      <c r="D7725" s="4">
        <v>2024</v>
      </c>
      <c r="E7725" s="4">
        <v>7536.5984283757989</v>
      </c>
      <c r="F7725" s="4" t="s">
        <v>29</v>
      </c>
    </row>
    <row r="7726" spans="1:6" x14ac:dyDescent="0.25">
      <c r="A7726" s="4" t="s">
        <v>75</v>
      </c>
      <c r="B7726" s="4" t="s">
        <v>1</v>
      </c>
      <c r="C7726" s="4" t="s">
        <v>36</v>
      </c>
      <c r="D7726" s="4">
        <v>2025</v>
      </c>
      <c r="E7726" s="4">
        <v>7738.907776800881</v>
      </c>
      <c r="F7726" s="4" t="s">
        <v>29</v>
      </c>
    </row>
    <row r="7727" spans="1:6" x14ac:dyDescent="0.25">
      <c r="A7727" s="4" t="s">
        <v>75</v>
      </c>
      <c r="B7727" s="4" t="s">
        <v>1</v>
      </c>
      <c r="C7727" s="4" t="s">
        <v>36</v>
      </c>
      <c r="D7727" s="4">
        <v>2026</v>
      </c>
      <c r="E7727" s="4">
        <v>7946.0056970324813</v>
      </c>
      <c r="F7727" s="4" t="s">
        <v>29</v>
      </c>
    </row>
    <row r="7728" spans="1:6" x14ac:dyDescent="0.25">
      <c r="A7728" s="4" t="s">
        <v>75</v>
      </c>
      <c r="B7728" s="4" t="s">
        <v>1</v>
      </c>
      <c r="C7728" s="4" t="s">
        <v>36</v>
      </c>
      <c r="D7728" s="4">
        <v>2027</v>
      </c>
      <c r="E7728" s="4">
        <v>8141.0689725184702</v>
      </c>
      <c r="F7728" s="4" t="s">
        <v>29</v>
      </c>
    </row>
    <row r="7729" spans="1:6" x14ac:dyDescent="0.25">
      <c r="A7729" s="4" t="s">
        <v>75</v>
      </c>
      <c r="B7729" s="4" t="s">
        <v>1</v>
      </c>
      <c r="C7729" s="4" t="s">
        <v>36</v>
      </c>
      <c r="D7729" s="4">
        <v>2028</v>
      </c>
      <c r="E7729" s="4">
        <v>8318.3565044983461</v>
      </c>
      <c r="F7729" s="4" t="s">
        <v>29</v>
      </c>
    </row>
    <row r="7730" spans="1:6" x14ac:dyDescent="0.25">
      <c r="A7730" s="4" t="s">
        <v>75</v>
      </c>
      <c r="B7730" s="4" t="s">
        <v>1</v>
      </c>
      <c r="C7730" s="4" t="s">
        <v>36</v>
      </c>
      <c r="D7730" s="4">
        <v>2029</v>
      </c>
      <c r="E7730" s="4">
        <v>8471.5462412571815</v>
      </c>
      <c r="F7730" s="4" t="s">
        <v>29</v>
      </c>
    </row>
    <row r="7731" spans="1:6" x14ac:dyDescent="0.25">
      <c r="A7731" s="4" t="s">
        <v>75</v>
      </c>
      <c r="B7731" s="4" t="s">
        <v>1</v>
      </c>
      <c r="C7731" s="4" t="s">
        <v>36</v>
      </c>
      <c r="D7731" s="4">
        <v>2030</v>
      </c>
      <c r="E7731" s="4">
        <v>8600.9863136665172</v>
      </c>
      <c r="F7731" s="4" t="s">
        <v>29</v>
      </c>
    </row>
    <row r="7732" spans="1:6" x14ac:dyDescent="0.25">
      <c r="A7732" s="4" t="s">
        <v>75</v>
      </c>
      <c r="B7732" s="4" t="s">
        <v>1</v>
      </c>
      <c r="C7732" s="4" t="s">
        <v>36</v>
      </c>
      <c r="D7732" s="4">
        <v>2031</v>
      </c>
      <c r="E7732" s="4">
        <v>8720.128262651835</v>
      </c>
      <c r="F7732" s="4" t="s">
        <v>29</v>
      </c>
    </row>
    <row r="7733" spans="1:6" x14ac:dyDescent="0.25">
      <c r="A7733" s="4" t="s">
        <v>75</v>
      </c>
      <c r="B7733" s="4" t="s">
        <v>1</v>
      </c>
      <c r="C7733" s="4" t="s">
        <v>36</v>
      </c>
      <c r="D7733" s="4">
        <v>2032</v>
      </c>
      <c r="E7733" s="4">
        <v>8836.2316237095038</v>
      </c>
      <c r="F7733" s="4" t="s">
        <v>29</v>
      </c>
    </row>
    <row r="7734" spans="1:6" x14ac:dyDescent="0.25">
      <c r="A7734" s="4" t="s">
        <v>75</v>
      </c>
      <c r="B7734" s="4" t="s">
        <v>1</v>
      </c>
      <c r="C7734" s="4" t="s">
        <v>36</v>
      </c>
      <c r="D7734" s="4">
        <v>2033</v>
      </c>
      <c r="E7734" s="4">
        <v>8949.6323766414644</v>
      </c>
      <c r="F7734" s="4" t="s">
        <v>29</v>
      </c>
    </row>
    <row r="7735" spans="1:6" x14ac:dyDescent="0.25">
      <c r="A7735" s="4" t="s">
        <v>75</v>
      </c>
      <c r="B7735" s="4" t="s">
        <v>1</v>
      </c>
      <c r="C7735" s="4" t="s">
        <v>36</v>
      </c>
      <c r="D7735" s="4">
        <v>2034</v>
      </c>
      <c r="E7735" s="4">
        <v>9058.5157583043801</v>
      </c>
      <c r="F7735" s="4" t="s">
        <v>29</v>
      </c>
    </row>
    <row r="7736" spans="1:6" x14ac:dyDescent="0.25">
      <c r="A7736" s="4" t="s">
        <v>75</v>
      </c>
      <c r="B7736" s="4" t="s">
        <v>1</v>
      </c>
      <c r="C7736" s="4" t="s">
        <v>36</v>
      </c>
      <c r="D7736" s="4">
        <v>2035</v>
      </c>
      <c r="E7736" s="4">
        <v>9160.8214336983438</v>
      </c>
      <c r="F7736" s="4" t="s">
        <v>29</v>
      </c>
    </row>
    <row r="7737" spans="1:6" x14ac:dyDescent="0.25">
      <c r="A7737" s="4" t="s">
        <v>75</v>
      </c>
      <c r="B7737" s="4" t="s">
        <v>1</v>
      </c>
      <c r="C7737" s="4" t="s">
        <v>36</v>
      </c>
      <c r="D7737" s="4">
        <v>2036</v>
      </c>
      <c r="E7737" s="4">
        <v>9250.3944845921142</v>
      </c>
      <c r="F7737" s="4" t="s">
        <v>29</v>
      </c>
    </row>
    <row r="7738" spans="1:6" x14ac:dyDescent="0.25">
      <c r="A7738" s="4" t="s">
        <v>75</v>
      </c>
      <c r="B7738" s="4" t="s">
        <v>1</v>
      </c>
      <c r="C7738" s="4" t="s">
        <v>36</v>
      </c>
      <c r="D7738" s="4">
        <v>2037</v>
      </c>
      <c r="E7738" s="4">
        <v>9326.2252056858706</v>
      </c>
      <c r="F7738" s="4" t="s">
        <v>29</v>
      </c>
    </row>
    <row r="7739" spans="1:6" x14ac:dyDescent="0.25">
      <c r="A7739" s="4" t="s">
        <v>75</v>
      </c>
      <c r="B7739" s="4" t="s">
        <v>1</v>
      </c>
      <c r="C7739" s="4" t="s">
        <v>36</v>
      </c>
      <c r="D7739" s="4">
        <v>2038</v>
      </c>
      <c r="E7739" s="4">
        <v>9385.6499714062065</v>
      </c>
      <c r="F7739" s="4" t="s">
        <v>29</v>
      </c>
    </row>
    <row r="7740" spans="1:6" x14ac:dyDescent="0.25">
      <c r="A7740" s="4" t="s">
        <v>75</v>
      </c>
      <c r="B7740" s="4" t="s">
        <v>1</v>
      </c>
      <c r="C7740" s="4" t="s">
        <v>36</v>
      </c>
      <c r="D7740" s="4">
        <v>2039</v>
      </c>
      <c r="E7740" s="4">
        <v>9426.9985861088189</v>
      </c>
      <c r="F7740" s="4" t="s">
        <v>29</v>
      </c>
    </row>
    <row r="7741" spans="1:6" x14ac:dyDescent="0.25">
      <c r="A7741" s="4" t="s">
        <v>75</v>
      </c>
      <c r="B7741" s="4" t="s">
        <v>1</v>
      </c>
      <c r="C7741" s="4" t="s">
        <v>36</v>
      </c>
      <c r="D7741" s="4">
        <v>2040</v>
      </c>
      <c r="E7741" s="4">
        <v>9448.4992770826011</v>
      </c>
      <c r="F7741" s="4" t="s">
        <v>29</v>
      </c>
    </row>
    <row r="7742" spans="1:6" x14ac:dyDescent="0.25">
      <c r="A7742" s="4" t="s">
        <v>75</v>
      </c>
      <c r="B7742" s="4" t="s">
        <v>2</v>
      </c>
      <c r="C7742" s="4" t="s">
        <v>36</v>
      </c>
      <c r="D7742" s="4">
        <v>2005</v>
      </c>
      <c r="E7742" s="4">
        <v>66520.777872327206</v>
      </c>
      <c r="F7742" s="4" t="s">
        <v>29</v>
      </c>
    </row>
    <row r="7743" spans="1:6" x14ac:dyDescent="0.25">
      <c r="A7743" s="4" t="s">
        <v>75</v>
      </c>
      <c r="B7743" s="4" t="s">
        <v>2</v>
      </c>
      <c r="C7743" s="4" t="s">
        <v>36</v>
      </c>
      <c r="D7743" s="4">
        <v>2006</v>
      </c>
      <c r="E7743" s="4">
        <v>67372.372664401628</v>
      </c>
      <c r="F7743" s="4" t="s">
        <v>29</v>
      </c>
    </row>
    <row r="7744" spans="1:6" x14ac:dyDescent="0.25">
      <c r="A7744" s="4" t="s">
        <v>75</v>
      </c>
      <c r="B7744" s="4" t="s">
        <v>2</v>
      </c>
      <c r="C7744" s="4" t="s">
        <v>36</v>
      </c>
      <c r="D7744" s="4">
        <v>2007</v>
      </c>
      <c r="E7744" s="4">
        <v>65879.084796231924</v>
      </c>
      <c r="F7744" s="4" t="s">
        <v>29</v>
      </c>
    </row>
    <row r="7745" spans="1:6" x14ac:dyDescent="0.25">
      <c r="A7745" s="4" t="s">
        <v>75</v>
      </c>
      <c r="B7745" s="4" t="s">
        <v>2</v>
      </c>
      <c r="C7745" s="4" t="s">
        <v>36</v>
      </c>
      <c r="D7745" s="4">
        <v>2008</v>
      </c>
      <c r="E7745" s="4">
        <v>63127.050796101496</v>
      </c>
      <c r="F7745" s="4" t="s">
        <v>29</v>
      </c>
    </row>
    <row r="7746" spans="1:6" x14ac:dyDescent="0.25">
      <c r="A7746" s="4" t="s">
        <v>75</v>
      </c>
      <c r="B7746" s="4" t="s">
        <v>2</v>
      </c>
      <c r="C7746" s="4" t="s">
        <v>36</v>
      </c>
      <c r="D7746" s="4">
        <v>2009</v>
      </c>
      <c r="E7746" s="4">
        <v>57738.111714996281</v>
      </c>
      <c r="F7746" s="4" t="s">
        <v>29</v>
      </c>
    </row>
    <row r="7747" spans="1:6" x14ac:dyDescent="0.25">
      <c r="A7747" s="4" t="s">
        <v>75</v>
      </c>
      <c r="B7747" s="4" t="s">
        <v>2</v>
      </c>
      <c r="C7747" s="4" t="s">
        <v>36</v>
      </c>
      <c r="D7747" s="4">
        <v>2010</v>
      </c>
      <c r="E7747" s="4">
        <v>57927.210582443062</v>
      </c>
      <c r="F7747" s="4" t="s">
        <v>29</v>
      </c>
    </row>
    <row r="7748" spans="1:6" x14ac:dyDescent="0.25">
      <c r="A7748" s="4" t="s">
        <v>75</v>
      </c>
      <c r="B7748" s="4" t="s">
        <v>2</v>
      </c>
      <c r="C7748" s="4" t="s">
        <v>36</v>
      </c>
      <c r="D7748" s="4">
        <v>2011</v>
      </c>
      <c r="E7748" s="4">
        <v>58235.193228879602</v>
      </c>
      <c r="F7748" s="4" t="s">
        <v>29</v>
      </c>
    </row>
    <row r="7749" spans="1:6" x14ac:dyDescent="0.25">
      <c r="A7749" s="4" t="s">
        <v>75</v>
      </c>
      <c r="B7749" s="4" t="s">
        <v>2</v>
      </c>
      <c r="C7749" s="4" t="s">
        <v>36</v>
      </c>
      <c r="D7749" s="4">
        <v>2012</v>
      </c>
      <c r="E7749" s="4">
        <v>63998.916429851473</v>
      </c>
      <c r="F7749" s="4" t="s">
        <v>29</v>
      </c>
    </row>
    <row r="7750" spans="1:6" x14ac:dyDescent="0.25">
      <c r="A7750" s="4" t="s">
        <v>75</v>
      </c>
      <c r="B7750" s="4" t="s">
        <v>2</v>
      </c>
      <c r="C7750" s="4" t="s">
        <v>36</v>
      </c>
      <c r="D7750" s="4">
        <v>2013</v>
      </c>
      <c r="E7750" s="4">
        <v>65898.730391354446</v>
      </c>
      <c r="F7750" s="4" t="s">
        <v>29</v>
      </c>
    </row>
    <row r="7751" spans="1:6" x14ac:dyDescent="0.25">
      <c r="A7751" s="4" t="s">
        <v>75</v>
      </c>
      <c r="B7751" s="4" t="s">
        <v>2</v>
      </c>
      <c r="C7751" s="4" t="s">
        <v>36</v>
      </c>
      <c r="D7751" s="4">
        <v>2014</v>
      </c>
      <c r="E7751" s="4">
        <v>76109.268382614042</v>
      </c>
      <c r="F7751" s="4" t="s">
        <v>29</v>
      </c>
    </row>
    <row r="7752" spans="1:6" x14ac:dyDescent="0.25">
      <c r="A7752" s="4" t="s">
        <v>75</v>
      </c>
      <c r="B7752" s="4" t="s">
        <v>2</v>
      </c>
      <c r="C7752" s="4" t="s">
        <v>36</v>
      </c>
      <c r="D7752" s="4">
        <v>2015</v>
      </c>
      <c r="E7752" s="4">
        <v>66480.901538198566</v>
      </c>
      <c r="F7752" s="4" t="s">
        <v>29</v>
      </c>
    </row>
    <row r="7753" spans="1:6" x14ac:dyDescent="0.25">
      <c r="A7753" s="4" t="s">
        <v>75</v>
      </c>
      <c r="B7753" s="4" t="s">
        <v>2</v>
      </c>
      <c r="C7753" s="4" t="s">
        <v>36</v>
      </c>
      <c r="D7753" s="4">
        <v>2016</v>
      </c>
      <c r="E7753" s="4">
        <v>63793.965540929341</v>
      </c>
      <c r="F7753" s="4" t="s">
        <v>29</v>
      </c>
    </row>
    <row r="7754" spans="1:6" x14ac:dyDescent="0.25">
      <c r="A7754" s="4" t="s">
        <v>75</v>
      </c>
      <c r="B7754" s="4" t="s">
        <v>2</v>
      </c>
      <c r="C7754" s="4" t="s">
        <v>36</v>
      </c>
      <c r="D7754" s="4">
        <v>2017</v>
      </c>
      <c r="E7754" s="4">
        <v>68379.877899827276</v>
      </c>
      <c r="F7754" s="4" t="s">
        <v>29</v>
      </c>
    </row>
    <row r="7755" spans="1:6" x14ac:dyDescent="0.25">
      <c r="A7755" s="4" t="s">
        <v>75</v>
      </c>
      <c r="B7755" s="4" t="s">
        <v>2</v>
      </c>
      <c r="C7755" s="4" t="s">
        <v>36</v>
      </c>
      <c r="D7755" s="4">
        <v>2018</v>
      </c>
      <c r="E7755" s="4">
        <v>72337.115301320446</v>
      </c>
      <c r="F7755" s="4" t="s">
        <v>29</v>
      </c>
    </row>
    <row r="7756" spans="1:6" x14ac:dyDescent="0.25">
      <c r="A7756" s="4" t="s">
        <v>75</v>
      </c>
      <c r="B7756" s="4" t="s">
        <v>2</v>
      </c>
      <c r="C7756" s="4" t="s">
        <v>36</v>
      </c>
      <c r="D7756" s="4">
        <v>2019</v>
      </c>
      <c r="E7756" s="4">
        <v>75681.027521104683</v>
      </c>
      <c r="F7756" s="4" t="s">
        <v>29</v>
      </c>
    </row>
    <row r="7757" spans="1:6" x14ac:dyDescent="0.25">
      <c r="A7757" s="4" t="s">
        <v>75</v>
      </c>
      <c r="B7757" s="4" t="s">
        <v>2</v>
      </c>
      <c r="C7757" s="4" t="s">
        <v>36</v>
      </c>
      <c r="D7757" s="4">
        <v>2020</v>
      </c>
      <c r="E7757" s="4">
        <v>77308.64500945824</v>
      </c>
      <c r="F7757" s="4" t="s">
        <v>29</v>
      </c>
    </row>
    <row r="7758" spans="1:6" x14ac:dyDescent="0.25">
      <c r="A7758" s="4" t="s">
        <v>75</v>
      </c>
      <c r="B7758" s="4" t="s">
        <v>2</v>
      </c>
      <c r="C7758" s="4" t="s">
        <v>36</v>
      </c>
      <c r="D7758" s="4">
        <v>2021</v>
      </c>
      <c r="E7758" s="4">
        <v>78345.58735553181</v>
      </c>
      <c r="F7758" s="4" t="s">
        <v>29</v>
      </c>
    </row>
    <row r="7759" spans="1:6" x14ac:dyDescent="0.25">
      <c r="A7759" s="4" t="s">
        <v>75</v>
      </c>
      <c r="B7759" s="4" t="s">
        <v>2</v>
      </c>
      <c r="C7759" s="4" t="s">
        <v>36</v>
      </c>
      <c r="D7759" s="4">
        <v>2022</v>
      </c>
      <c r="E7759" s="4">
        <v>79327.270203765671</v>
      </c>
      <c r="F7759" s="4" t="s">
        <v>29</v>
      </c>
    </row>
    <row r="7760" spans="1:6" x14ac:dyDescent="0.25">
      <c r="A7760" s="4" t="s">
        <v>75</v>
      </c>
      <c r="B7760" s="4" t="s">
        <v>2</v>
      </c>
      <c r="C7760" s="4" t="s">
        <v>36</v>
      </c>
      <c r="D7760" s="4">
        <v>2023</v>
      </c>
      <c r="E7760" s="4">
        <v>80268.309265368531</v>
      </c>
      <c r="F7760" s="4" t="s">
        <v>29</v>
      </c>
    </row>
    <row r="7761" spans="1:6" x14ac:dyDescent="0.25">
      <c r="A7761" s="4" t="s">
        <v>75</v>
      </c>
      <c r="B7761" s="4" t="s">
        <v>2</v>
      </c>
      <c r="C7761" s="4" t="s">
        <v>36</v>
      </c>
      <c r="D7761" s="4">
        <v>2024</v>
      </c>
      <c r="E7761" s="4">
        <v>81148.696029911443</v>
      </c>
      <c r="F7761" s="4" t="s">
        <v>29</v>
      </c>
    </row>
    <row r="7762" spans="1:6" x14ac:dyDescent="0.25">
      <c r="A7762" s="4" t="s">
        <v>75</v>
      </c>
      <c r="B7762" s="4" t="s">
        <v>2</v>
      </c>
      <c r="C7762" s="4" t="s">
        <v>36</v>
      </c>
      <c r="D7762" s="4">
        <v>2025</v>
      </c>
      <c r="E7762" s="4">
        <v>81697.024428861303</v>
      </c>
      <c r="F7762" s="4" t="s">
        <v>29</v>
      </c>
    </row>
    <row r="7763" spans="1:6" x14ac:dyDescent="0.25">
      <c r="A7763" s="4" t="s">
        <v>75</v>
      </c>
      <c r="B7763" s="4" t="s">
        <v>2</v>
      </c>
      <c r="C7763" s="4" t="s">
        <v>36</v>
      </c>
      <c r="D7763" s="4">
        <v>2026</v>
      </c>
      <c r="E7763" s="4">
        <v>81940.622705030488</v>
      </c>
      <c r="F7763" s="4" t="s">
        <v>29</v>
      </c>
    </row>
    <row r="7764" spans="1:6" x14ac:dyDescent="0.25">
      <c r="A7764" s="4" t="s">
        <v>75</v>
      </c>
      <c r="B7764" s="4" t="s">
        <v>2</v>
      </c>
      <c r="C7764" s="4" t="s">
        <v>36</v>
      </c>
      <c r="D7764" s="4">
        <v>2027</v>
      </c>
      <c r="E7764" s="4">
        <v>81969.193325770073</v>
      </c>
      <c r="F7764" s="4" t="s">
        <v>29</v>
      </c>
    </row>
    <row r="7765" spans="1:6" x14ac:dyDescent="0.25">
      <c r="A7765" s="4" t="s">
        <v>75</v>
      </c>
      <c r="B7765" s="4" t="s">
        <v>2</v>
      </c>
      <c r="C7765" s="4" t="s">
        <v>36</v>
      </c>
      <c r="D7765" s="4">
        <v>2028</v>
      </c>
      <c r="E7765" s="4">
        <v>81780.076507940656</v>
      </c>
      <c r="F7765" s="4" t="s">
        <v>29</v>
      </c>
    </row>
    <row r="7766" spans="1:6" x14ac:dyDescent="0.25">
      <c r="A7766" s="4" t="s">
        <v>75</v>
      </c>
      <c r="B7766" s="4" t="s">
        <v>2</v>
      </c>
      <c r="C7766" s="4" t="s">
        <v>36</v>
      </c>
      <c r="D7766" s="4">
        <v>2029</v>
      </c>
      <c r="E7766" s="4">
        <v>81334.088058999187</v>
      </c>
      <c r="F7766" s="4" t="s">
        <v>29</v>
      </c>
    </row>
    <row r="7767" spans="1:6" x14ac:dyDescent="0.25">
      <c r="A7767" s="4" t="s">
        <v>75</v>
      </c>
      <c r="B7767" s="4" t="s">
        <v>2</v>
      </c>
      <c r="C7767" s="4" t="s">
        <v>36</v>
      </c>
      <c r="D7767" s="4">
        <v>2030</v>
      </c>
      <c r="E7767" s="4">
        <v>80714.767025480978</v>
      </c>
      <c r="F7767" s="4" t="s">
        <v>29</v>
      </c>
    </row>
    <row r="7768" spans="1:6" x14ac:dyDescent="0.25">
      <c r="A7768" s="4" t="s">
        <v>75</v>
      </c>
      <c r="B7768" s="4" t="s">
        <v>2</v>
      </c>
      <c r="C7768" s="4" t="s">
        <v>36</v>
      </c>
      <c r="D7768" s="4">
        <v>2031</v>
      </c>
      <c r="E7768" s="4">
        <v>80036.836823044694</v>
      </c>
      <c r="F7768" s="4" t="s">
        <v>29</v>
      </c>
    </row>
    <row r="7769" spans="1:6" x14ac:dyDescent="0.25">
      <c r="A7769" s="4" t="s">
        <v>75</v>
      </c>
      <c r="B7769" s="4" t="s">
        <v>2</v>
      </c>
      <c r="C7769" s="4" t="s">
        <v>36</v>
      </c>
      <c r="D7769" s="4">
        <v>2032</v>
      </c>
      <c r="E7769" s="4">
        <v>79351.494723946191</v>
      </c>
      <c r="F7769" s="4" t="s">
        <v>29</v>
      </c>
    </row>
    <row r="7770" spans="1:6" x14ac:dyDescent="0.25">
      <c r="A7770" s="4" t="s">
        <v>75</v>
      </c>
      <c r="B7770" s="4" t="s">
        <v>2</v>
      </c>
      <c r="C7770" s="4" t="s">
        <v>36</v>
      </c>
      <c r="D7770" s="4">
        <v>2033</v>
      </c>
      <c r="E7770" s="4">
        <v>78605.586904353084</v>
      </c>
      <c r="F7770" s="4" t="s">
        <v>29</v>
      </c>
    </row>
    <row r="7771" spans="1:6" x14ac:dyDescent="0.25">
      <c r="A7771" s="4" t="s">
        <v>75</v>
      </c>
      <c r="B7771" s="4" t="s">
        <v>2</v>
      </c>
      <c r="C7771" s="4" t="s">
        <v>36</v>
      </c>
      <c r="D7771" s="4">
        <v>2034</v>
      </c>
      <c r="E7771" s="4">
        <v>77843.862829005913</v>
      </c>
      <c r="F7771" s="4" t="s">
        <v>29</v>
      </c>
    </row>
    <row r="7772" spans="1:6" x14ac:dyDescent="0.25">
      <c r="A7772" s="4" t="s">
        <v>75</v>
      </c>
      <c r="B7772" s="4" t="s">
        <v>2</v>
      </c>
      <c r="C7772" s="4" t="s">
        <v>36</v>
      </c>
      <c r="D7772" s="4">
        <v>2035</v>
      </c>
      <c r="E7772" s="4">
        <v>77096.271611226184</v>
      </c>
      <c r="F7772" s="4" t="s">
        <v>29</v>
      </c>
    </row>
    <row r="7773" spans="1:6" x14ac:dyDescent="0.25">
      <c r="A7773" s="4" t="s">
        <v>75</v>
      </c>
      <c r="B7773" s="4" t="s">
        <v>2</v>
      </c>
      <c r="C7773" s="4" t="s">
        <v>36</v>
      </c>
      <c r="D7773" s="4">
        <v>2036</v>
      </c>
      <c r="E7773" s="4">
        <v>76195.385950081705</v>
      </c>
      <c r="F7773" s="4" t="s">
        <v>29</v>
      </c>
    </row>
    <row r="7774" spans="1:6" x14ac:dyDescent="0.25">
      <c r="A7774" s="4" t="s">
        <v>75</v>
      </c>
      <c r="B7774" s="4" t="s">
        <v>2</v>
      </c>
      <c r="C7774" s="4" t="s">
        <v>36</v>
      </c>
      <c r="D7774" s="4">
        <v>2037</v>
      </c>
      <c r="E7774" s="4">
        <v>75413.561969305738</v>
      </c>
      <c r="F7774" s="4" t="s">
        <v>29</v>
      </c>
    </row>
    <row r="7775" spans="1:6" x14ac:dyDescent="0.25">
      <c r="A7775" s="4" t="s">
        <v>75</v>
      </c>
      <c r="B7775" s="4" t="s">
        <v>2</v>
      </c>
      <c r="C7775" s="4" t="s">
        <v>36</v>
      </c>
      <c r="D7775" s="4">
        <v>2038</v>
      </c>
      <c r="E7775" s="4">
        <v>74544.873816629944</v>
      </c>
      <c r="F7775" s="4" t="s">
        <v>29</v>
      </c>
    </row>
    <row r="7776" spans="1:6" x14ac:dyDescent="0.25">
      <c r="A7776" s="4" t="s">
        <v>75</v>
      </c>
      <c r="B7776" s="4" t="s">
        <v>2</v>
      </c>
      <c r="C7776" s="4" t="s">
        <v>36</v>
      </c>
      <c r="D7776" s="4">
        <v>2039</v>
      </c>
      <c r="E7776" s="4">
        <v>73679.720524057338</v>
      </c>
      <c r="F7776" s="4" t="s">
        <v>29</v>
      </c>
    </row>
    <row r="7777" spans="1:6" x14ac:dyDescent="0.25">
      <c r="A7777" s="4" t="s">
        <v>75</v>
      </c>
      <c r="B7777" s="4" t="s">
        <v>2</v>
      </c>
      <c r="C7777" s="4" t="s">
        <v>36</v>
      </c>
      <c r="D7777" s="4">
        <v>2040</v>
      </c>
      <c r="E7777" s="4">
        <v>72757.486094725129</v>
      </c>
      <c r="F7777" s="4" t="s">
        <v>29</v>
      </c>
    </row>
    <row r="7778" spans="1:6" x14ac:dyDescent="0.25">
      <c r="A7778" s="4" t="s">
        <v>75</v>
      </c>
      <c r="B7778" s="4" t="s">
        <v>3</v>
      </c>
      <c r="C7778" s="4" t="s">
        <v>36</v>
      </c>
      <c r="D7778" s="4">
        <v>2005</v>
      </c>
      <c r="E7778" s="4">
        <v>90</v>
      </c>
      <c r="F7778" s="4" t="s">
        <v>29</v>
      </c>
    </row>
    <row r="7779" spans="1:6" x14ac:dyDescent="0.25">
      <c r="A7779" s="4" t="s">
        <v>75</v>
      </c>
      <c r="B7779" s="4" t="s">
        <v>3</v>
      </c>
      <c r="C7779" s="4" t="s">
        <v>36</v>
      </c>
      <c r="D7779" s="4">
        <v>2006</v>
      </c>
      <c r="E7779" s="4">
        <v>100</v>
      </c>
      <c r="F7779" s="4" t="s">
        <v>29</v>
      </c>
    </row>
    <row r="7780" spans="1:6" x14ac:dyDescent="0.25">
      <c r="A7780" s="4" t="s">
        <v>75</v>
      </c>
      <c r="B7780" s="4" t="s">
        <v>3</v>
      </c>
      <c r="C7780" s="4" t="s">
        <v>36</v>
      </c>
      <c r="D7780" s="4">
        <v>2007</v>
      </c>
      <c r="E7780" s="4">
        <v>100</v>
      </c>
      <c r="F7780" s="4" t="s">
        <v>29</v>
      </c>
    </row>
    <row r="7781" spans="1:6" x14ac:dyDescent="0.25">
      <c r="A7781" s="4" t="s">
        <v>75</v>
      </c>
      <c r="B7781" s="4" t="s">
        <v>3</v>
      </c>
      <c r="C7781" s="4" t="s">
        <v>36</v>
      </c>
      <c r="D7781" s="4">
        <v>2008</v>
      </c>
      <c r="E7781" s="4">
        <v>120</v>
      </c>
      <c r="F7781" s="4" t="s">
        <v>29</v>
      </c>
    </row>
    <row r="7782" spans="1:6" x14ac:dyDescent="0.25">
      <c r="A7782" s="4" t="s">
        <v>75</v>
      </c>
      <c r="B7782" s="4" t="s">
        <v>3</v>
      </c>
      <c r="C7782" s="4" t="s">
        <v>36</v>
      </c>
      <c r="D7782" s="4">
        <v>2009</v>
      </c>
      <c r="E7782" s="4">
        <v>170</v>
      </c>
      <c r="F7782" s="4" t="s">
        <v>29</v>
      </c>
    </row>
    <row r="7783" spans="1:6" x14ac:dyDescent="0.25">
      <c r="A7783" s="4" t="s">
        <v>75</v>
      </c>
      <c r="B7783" s="4" t="s">
        <v>3</v>
      </c>
      <c r="C7783" s="4" t="s">
        <v>36</v>
      </c>
      <c r="D7783" s="4">
        <v>2010</v>
      </c>
      <c r="E7783" s="4">
        <v>100</v>
      </c>
      <c r="F7783" s="4" t="s">
        <v>29</v>
      </c>
    </row>
    <row r="7784" spans="1:6" x14ac:dyDescent="0.25">
      <c r="A7784" s="4" t="s">
        <v>75</v>
      </c>
      <c r="B7784" s="4" t="s">
        <v>3</v>
      </c>
      <c r="C7784" s="4" t="s">
        <v>36</v>
      </c>
      <c r="D7784" s="4">
        <v>2011</v>
      </c>
      <c r="E7784" s="4">
        <v>100</v>
      </c>
      <c r="F7784" s="4" t="s">
        <v>29</v>
      </c>
    </row>
    <row r="7785" spans="1:6" x14ac:dyDescent="0.25">
      <c r="A7785" s="4" t="s">
        <v>75</v>
      </c>
      <c r="B7785" s="4" t="s">
        <v>3</v>
      </c>
      <c r="C7785" s="4" t="s">
        <v>36</v>
      </c>
      <c r="D7785" s="4">
        <v>2012</v>
      </c>
      <c r="E7785" s="4">
        <v>100</v>
      </c>
      <c r="F7785" s="4" t="s">
        <v>29</v>
      </c>
    </row>
    <row r="7786" spans="1:6" x14ac:dyDescent="0.25">
      <c r="A7786" s="4" t="s">
        <v>75</v>
      </c>
      <c r="B7786" s="4" t="s">
        <v>3</v>
      </c>
      <c r="C7786" s="4" t="s">
        <v>36</v>
      </c>
      <c r="D7786" s="4">
        <v>2013</v>
      </c>
      <c r="E7786" s="4">
        <v>100</v>
      </c>
      <c r="F7786" s="4" t="s">
        <v>29</v>
      </c>
    </row>
    <row r="7787" spans="1:6" x14ac:dyDescent="0.25">
      <c r="A7787" s="4" t="s">
        <v>75</v>
      </c>
      <c r="B7787" s="4" t="s">
        <v>3</v>
      </c>
      <c r="C7787" s="4" t="s">
        <v>36</v>
      </c>
      <c r="D7787" s="4">
        <v>2014</v>
      </c>
      <c r="E7787" s="4">
        <v>100</v>
      </c>
      <c r="F7787" s="4" t="s">
        <v>29</v>
      </c>
    </row>
    <row r="7788" spans="1:6" x14ac:dyDescent="0.25">
      <c r="A7788" s="4" t="s">
        <v>75</v>
      </c>
      <c r="B7788" s="4" t="s">
        <v>3</v>
      </c>
      <c r="C7788" s="4" t="s">
        <v>36</v>
      </c>
      <c r="D7788" s="4">
        <v>2015</v>
      </c>
      <c r="E7788" s="4">
        <v>100</v>
      </c>
      <c r="F7788" s="4" t="s">
        <v>29</v>
      </c>
    </row>
    <row r="7789" spans="1:6" x14ac:dyDescent="0.25">
      <c r="A7789" s="4" t="s">
        <v>75</v>
      </c>
      <c r="B7789" s="4" t="s">
        <v>3</v>
      </c>
      <c r="C7789" s="4" t="s">
        <v>36</v>
      </c>
      <c r="D7789" s="4">
        <v>2016</v>
      </c>
      <c r="E7789" s="4">
        <v>100</v>
      </c>
      <c r="F7789" s="4" t="s">
        <v>29</v>
      </c>
    </row>
    <row r="7790" spans="1:6" x14ac:dyDescent="0.25">
      <c r="A7790" s="4" t="s">
        <v>75</v>
      </c>
      <c r="B7790" s="4" t="s">
        <v>3</v>
      </c>
      <c r="C7790" s="4" t="s">
        <v>36</v>
      </c>
      <c r="D7790" s="4">
        <v>2017</v>
      </c>
      <c r="E7790" s="4">
        <v>100</v>
      </c>
      <c r="F7790" s="4" t="s">
        <v>29</v>
      </c>
    </row>
    <row r="7791" spans="1:6" x14ac:dyDescent="0.25">
      <c r="A7791" s="4" t="s">
        <v>75</v>
      </c>
      <c r="B7791" s="4" t="s">
        <v>3</v>
      </c>
      <c r="C7791" s="4" t="s">
        <v>36</v>
      </c>
      <c r="D7791" s="4">
        <v>2018</v>
      </c>
      <c r="E7791" s="4">
        <v>100</v>
      </c>
      <c r="F7791" s="4" t="s">
        <v>29</v>
      </c>
    </row>
    <row r="7792" spans="1:6" x14ac:dyDescent="0.25">
      <c r="A7792" s="4" t="s">
        <v>75</v>
      </c>
      <c r="B7792" s="4" t="s">
        <v>3</v>
      </c>
      <c r="C7792" s="4" t="s">
        <v>36</v>
      </c>
      <c r="D7792" s="4">
        <v>2019</v>
      </c>
      <c r="E7792" s="4">
        <v>100</v>
      </c>
      <c r="F7792" s="4" t="s">
        <v>29</v>
      </c>
    </row>
    <row r="7793" spans="1:6" x14ac:dyDescent="0.25">
      <c r="A7793" s="4" t="s">
        <v>75</v>
      </c>
      <c r="B7793" s="4" t="s">
        <v>3</v>
      </c>
      <c r="C7793" s="4" t="s">
        <v>36</v>
      </c>
      <c r="D7793" s="4">
        <v>2020</v>
      </c>
      <c r="E7793" s="4">
        <v>100</v>
      </c>
      <c r="F7793" s="4" t="s">
        <v>29</v>
      </c>
    </row>
    <row r="7794" spans="1:6" x14ac:dyDescent="0.25">
      <c r="A7794" s="4" t="s">
        <v>75</v>
      </c>
      <c r="B7794" s="4" t="s">
        <v>3</v>
      </c>
      <c r="C7794" s="4" t="s">
        <v>36</v>
      </c>
      <c r="D7794" s="4">
        <v>2021</v>
      </c>
      <c r="E7794" s="4">
        <v>100</v>
      </c>
      <c r="F7794" s="4" t="s">
        <v>29</v>
      </c>
    </row>
    <row r="7795" spans="1:6" x14ac:dyDescent="0.25">
      <c r="A7795" s="4" t="s">
        <v>75</v>
      </c>
      <c r="B7795" s="4" t="s">
        <v>3</v>
      </c>
      <c r="C7795" s="4" t="s">
        <v>36</v>
      </c>
      <c r="D7795" s="4">
        <v>2022</v>
      </c>
      <c r="E7795" s="4">
        <v>100</v>
      </c>
      <c r="F7795" s="4" t="s">
        <v>29</v>
      </c>
    </row>
    <row r="7796" spans="1:6" x14ac:dyDescent="0.25">
      <c r="A7796" s="4" t="s">
        <v>75</v>
      </c>
      <c r="B7796" s="4" t="s">
        <v>3</v>
      </c>
      <c r="C7796" s="4" t="s">
        <v>36</v>
      </c>
      <c r="D7796" s="4">
        <v>2023</v>
      </c>
      <c r="E7796" s="4">
        <v>100</v>
      </c>
      <c r="F7796" s="4" t="s">
        <v>29</v>
      </c>
    </row>
    <row r="7797" spans="1:6" x14ac:dyDescent="0.25">
      <c r="A7797" s="4" t="s">
        <v>75</v>
      </c>
      <c r="B7797" s="4" t="s">
        <v>3</v>
      </c>
      <c r="C7797" s="4" t="s">
        <v>36</v>
      </c>
      <c r="D7797" s="4">
        <v>2024</v>
      </c>
      <c r="E7797" s="4">
        <v>100</v>
      </c>
      <c r="F7797" s="4" t="s">
        <v>29</v>
      </c>
    </row>
    <row r="7798" spans="1:6" x14ac:dyDescent="0.25">
      <c r="A7798" s="4" t="s">
        <v>75</v>
      </c>
      <c r="B7798" s="4" t="s">
        <v>3</v>
      </c>
      <c r="C7798" s="4" t="s">
        <v>36</v>
      </c>
      <c r="D7798" s="4">
        <v>2025</v>
      </c>
      <c r="E7798" s="4">
        <v>100</v>
      </c>
      <c r="F7798" s="4" t="s">
        <v>29</v>
      </c>
    </row>
    <row r="7799" spans="1:6" x14ac:dyDescent="0.25">
      <c r="A7799" s="4" t="s">
        <v>75</v>
      </c>
      <c r="B7799" s="4" t="s">
        <v>3</v>
      </c>
      <c r="C7799" s="4" t="s">
        <v>36</v>
      </c>
      <c r="D7799" s="4">
        <v>2026</v>
      </c>
      <c r="E7799" s="4">
        <v>100</v>
      </c>
      <c r="F7799" s="4" t="s">
        <v>29</v>
      </c>
    </row>
    <row r="7800" spans="1:6" x14ac:dyDescent="0.25">
      <c r="A7800" s="4" t="s">
        <v>75</v>
      </c>
      <c r="B7800" s="4" t="s">
        <v>3</v>
      </c>
      <c r="C7800" s="4" t="s">
        <v>36</v>
      </c>
      <c r="D7800" s="4">
        <v>2027</v>
      </c>
      <c r="E7800" s="4">
        <v>100</v>
      </c>
      <c r="F7800" s="4" t="s">
        <v>29</v>
      </c>
    </row>
    <row r="7801" spans="1:6" x14ac:dyDescent="0.25">
      <c r="A7801" s="4" t="s">
        <v>75</v>
      </c>
      <c r="B7801" s="4" t="s">
        <v>3</v>
      </c>
      <c r="C7801" s="4" t="s">
        <v>36</v>
      </c>
      <c r="D7801" s="4">
        <v>2028</v>
      </c>
      <c r="E7801" s="4">
        <v>100</v>
      </c>
      <c r="F7801" s="4" t="s">
        <v>29</v>
      </c>
    </row>
    <row r="7802" spans="1:6" x14ac:dyDescent="0.25">
      <c r="A7802" s="4" t="s">
        <v>75</v>
      </c>
      <c r="B7802" s="4" t="s">
        <v>3</v>
      </c>
      <c r="C7802" s="4" t="s">
        <v>36</v>
      </c>
      <c r="D7802" s="4">
        <v>2029</v>
      </c>
      <c r="E7802" s="4">
        <v>100</v>
      </c>
      <c r="F7802" s="4" t="s">
        <v>29</v>
      </c>
    </row>
    <row r="7803" spans="1:6" x14ac:dyDescent="0.25">
      <c r="A7803" s="4" t="s">
        <v>75</v>
      </c>
      <c r="B7803" s="4" t="s">
        <v>3</v>
      </c>
      <c r="C7803" s="4" t="s">
        <v>36</v>
      </c>
      <c r="D7803" s="4">
        <v>2030</v>
      </c>
      <c r="E7803" s="4">
        <v>100</v>
      </c>
      <c r="F7803" s="4" t="s">
        <v>29</v>
      </c>
    </row>
    <row r="7804" spans="1:6" x14ac:dyDescent="0.25">
      <c r="A7804" s="4" t="s">
        <v>75</v>
      </c>
      <c r="B7804" s="4" t="s">
        <v>3</v>
      </c>
      <c r="C7804" s="4" t="s">
        <v>36</v>
      </c>
      <c r="D7804" s="4">
        <v>2031</v>
      </c>
      <c r="E7804" s="4">
        <v>100</v>
      </c>
      <c r="F7804" s="4" t="s">
        <v>29</v>
      </c>
    </row>
    <row r="7805" spans="1:6" x14ac:dyDescent="0.25">
      <c r="A7805" s="4" t="s">
        <v>75</v>
      </c>
      <c r="B7805" s="4" t="s">
        <v>3</v>
      </c>
      <c r="C7805" s="4" t="s">
        <v>36</v>
      </c>
      <c r="D7805" s="4">
        <v>2032</v>
      </c>
      <c r="E7805" s="4">
        <v>100</v>
      </c>
      <c r="F7805" s="4" t="s">
        <v>29</v>
      </c>
    </row>
    <row r="7806" spans="1:6" x14ac:dyDescent="0.25">
      <c r="A7806" s="4" t="s">
        <v>75</v>
      </c>
      <c r="B7806" s="4" t="s">
        <v>3</v>
      </c>
      <c r="C7806" s="4" t="s">
        <v>36</v>
      </c>
      <c r="D7806" s="4">
        <v>2033</v>
      </c>
      <c r="E7806" s="4">
        <v>100</v>
      </c>
      <c r="F7806" s="4" t="s">
        <v>29</v>
      </c>
    </row>
    <row r="7807" spans="1:6" x14ac:dyDescent="0.25">
      <c r="A7807" s="4" t="s">
        <v>75</v>
      </c>
      <c r="B7807" s="4" t="s">
        <v>3</v>
      </c>
      <c r="C7807" s="4" t="s">
        <v>36</v>
      </c>
      <c r="D7807" s="4">
        <v>2034</v>
      </c>
      <c r="E7807" s="4">
        <v>100</v>
      </c>
      <c r="F7807" s="4" t="s">
        <v>29</v>
      </c>
    </row>
    <row r="7808" spans="1:6" x14ac:dyDescent="0.25">
      <c r="A7808" s="4" t="s">
        <v>75</v>
      </c>
      <c r="B7808" s="4" t="s">
        <v>3</v>
      </c>
      <c r="C7808" s="4" t="s">
        <v>36</v>
      </c>
      <c r="D7808" s="4">
        <v>2035</v>
      </c>
      <c r="E7808" s="4">
        <v>100</v>
      </c>
      <c r="F7808" s="4" t="s">
        <v>29</v>
      </c>
    </row>
    <row r="7809" spans="1:6" x14ac:dyDescent="0.25">
      <c r="A7809" s="4" t="s">
        <v>75</v>
      </c>
      <c r="B7809" s="4" t="s">
        <v>3</v>
      </c>
      <c r="C7809" s="4" t="s">
        <v>36</v>
      </c>
      <c r="D7809" s="4">
        <v>2036</v>
      </c>
      <c r="E7809" s="4">
        <v>100</v>
      </c>
      <c r="F7809" s="4" t="s">
        <v>29</v>
      </c>
    </row>
    <row r="7810" spans="1:6" x14ac:dyDescent="0.25">
      <c r="A7810" s="4" t="s">
        <v>75</v>
      </c>
      <c r="B7810" s="4" t="s">
        <v>3</v>
      </c>
      <c r="C7810" s="4" t="s">
        <v>36</v>
      </c>
      <c r="D7810" s="4">
        <v>2037</v>
      </c>
      <c r="E7810" s="4">
        <v>100</v>
      </c>
      <c r="F7810" s="4" t="s">
        <v>29</v>
      </c>
    </row>
    <row r="7811" spans="1:6" x14ac:dyDescent="0.25">
      <c r="A7811" s="4" t="s">
        <v>75</v>
      </c>
      <c r="B7811" s="4" t="s">
        <v>3</v>
      </c>
      <c r="C7811" s="4" t="s">
        <v>36</v>
      </c>
      <c r="D7811" s="4">
        <v>2038</v>
      </c>
      <c r="E7811" s="4">
        <v>100</v>
      </c>
      <c r="F7811" s="4" t="s">
        <v>29</v>
      </c>
    </row>
    <row r="7812" spans="1:6" x14ac:dyDescent="0.25">
      <c r="A7812" s="4" t="s">
        <v>75</v>
      </c>
      <c r="B7812" s="4" t="s">
        <v>3</v>
      </c>
      <c r="C7812" s="4" t="s">
        <v>36</v>
      </c>
      <c r="D7812" s="4">
        <v>2039</v>
      </c>
      <c r="E7812" s="4">
        <v>100</v>
      </c>
      <c r="F7812" s="4" t="s">
        <v>29</v>
      </c>
    </row>
    <row r="7813" spans="1:6" x14ac:dyDescent="0.25">
      <c r="A7813" s="4" t="s">
        <v>75</v>
      </c>
      <c r="B7813" s="4" t="s">
        <v>3</v>
      </c>
      <c r="C7813" s="4" t="s">
        <v>36</v>
      </c>
      <c r="D7813" s="4">
        <v>2040</v>
      </c>
      <c r="E7813" s="4">
        <v>100</v>
      </c>
      <c r="F7813" s="4" t="s">
        <v>29</v>
      </c>
    </row>
    <row r="7814" spans="1:6" x14ac:dyDescent="0.25">
      <c r="A7814" s="4" t="s">
        <v>75</v>
      </c>
      <c r="B7814" s="4" t="s">
        <v>23</v>
      </c>
      <c r="C7814" s="4" t="s">
        <v>36</v>
      </c>
      <c r="D7814" s="4">
        <v>2005</v>
      </c>
      <c r="E7814" s="4">
        <v>66707.270188812094</v>
      </c>
      <c r="F7814" s="4" t="s">
        <v>29</v>
      </c>
    </row>
    <row r="7815" spans="1:6" x14ac:dyDescent="0.25">
      <c r="A7815" s="4" t="s">
        <v>75</v>
      </c>
      <c r="B7815" s="4" t="s">
        <v>23</v>
      </c>
      <c r="C7815" s="4" t="s">
        <v>36</v>
      </c>
      <c r="D7815" s="4">
        <v>2006</v>
      </c>
      <c r="E7815" s="4">
        <v>68152.120754608288</v>
      </c>
      <c r="F7815" s="4" t="s">
        <v>29</v>
      </c>
    </row>
    <row r="7816" spans="1:6" x14ac:dyDescent="0.25">
      <c r="A7816" s="4" t="s">
        <v>75</v>
      </c>
      <c r="B7816" s="4" t="s">
        <v>23</v>
      </c>
      <c r="C7816" s="4" t="s">
        <v>36</v>
      </c>
      <c r="D7816" s="4">
        <v>2007</v>
      </c>
      <c r="E7816" s="4">
        <v>68070.971326164872</v>
      </c>
      <c r="F7816" s="4" t="s">
        <v>29</v>
      </c>
    </row>
    <row r="7817" spans="1:6" x14ac:dyDescent="0.25">
      <c r="A7817" s="4" t="s">
        <v>75</v>
      </c>
      <c r="B7817" s="4" t="s">
        <v>23</v>
      </c>
      <c r="C7817" s="4" t="s">
        <v>36</v>
      </c>
      <c r="D7817" s="4">
        <v>2008</v>
      </c>
      <c r="E7817" s="4">
        <v>69965.500000000015</v>
      </c>
      <c r="F7817" s="4" t="s">
        <v>29</v>
      </c>
    </row>
    <row r="7818" spans="1:6" x14ac:dyDescent="0.25">
      <c r="A7818" s="4" t="s">
        <v>75</v>
      </c>
      <c r="B7818" s="4" t="s">
        <v>23</v>
      </c>
      <c r="C7818" s="4" t="s">
        <v>36</v>
      </c>
      <c r="D7818" s="4">
        <v>2009</v>
      </c>
      <c r="E7818" s="4">
        <v>67609.15027265744</v>
      </c>
      <c r="F7818" s="4" t="s">
        <v>29</v>
      </c>
    </row>
    <row r="7819" spans="1:6" x14ac:dyDescent="0.25">
      <c r="A7819" s="4" t="s">
        <v>75</v>
      </c>
      <c r="B7819" s="4" t="s">
        <v>23</v>
      </c>
      <c r="C7819" s="4" t="s">
        <v>36</v>
      </c>
      <c r="D7819" s="4">
        <v>2010</v>
      </c>
      <c r="E7819" s="4">
        <v>67255.468236047105</v>
      </c>
      <c r="F7819" s="4" t="s">
        <v>29</v>
      </c>
    </row>
    <row r="7820" spans="1:6" x14ac:dyDescent="0.25">
      <c r="A7820" s="4" t="s">
        <v>75</v>
      </c>
      <c r="B7820" s="4" t="s">
        <v>23</v>
      </c>
      <c r="C7820" s="4" t="s">
        <v>36</v>
      </c>
      <c r="D7820" s="4">
        <v>2011</v>
      </c>
      <c r="E7820" s="4">
        <v>68047.183172043005</v>
      </c>
      <c r="F7820" s="4" t="s">
        <v>29</v>
      </c>
    </row>
    <row r="7821" spans="1:6" x14ac:dyDescent="0.25">
      <c r="A7821" s="4" t="s">
        <v>75</v>
      </c>
      <c r="B7821" s="4" t="s">
        <v>23</v>
      </c>
      <c r="C7821" s="4" t="s">
        <v>36</v>
      </c>
      <c r="D7821" s="4">
        <v>2012</v>
      </c>
      <c r="E7821" s="4">
        <v>75064.26213965693</v>
      </c>
      <c r="F7821" s="4" t="s">
        <v>29</v>
      </c>
    </row>
    <row r="7822" spans="1:6" x14ac:dyDescent="0.25">
      <c r="A7822" s="4" t="s">
        <v>75</v>
      </c>
      <c r="B7822" s="4" t="s">
        <v>23</v>
      </c>
      <c r="C7822" s="4" t="s">
        <v>36</v>
      </c>
      <c r="D7822" s="4">
        <v>2013</v>
      </c>
      <c r="E7822" s="4">
        <v>77160.802287506376</v>
      </c>
      <c r="F7822" s="4" t="s">
        <v>29</v>
      </c>
    </row>
    <row r="7823" spans="1:6" x14ac:dyDescent="0.25">
      <c r="A7823" s="4" t="s">
        <v>75</v>
      </c>
      <c r="B7823" s="4" t="s">
        <v>23</v>
      </c>
      <c r="C7823" s="4" t="s">
        <v>36</v>
      </c>
      <c r="D7823" s="4">
        <v>2014</v>
      </c>
      <c r="E7823" s="4">
        <v>88652.537499999991</v>
      </c>
      <c r="F7823" s="4" t="s">
        <v>29</v>
      </c>
    </row>
    <row r="7824" spans="1:6" x14ac:dyDescent="0.25">
      <c r="A7824" s="4" t="s">
        <v>75</v>
      </c>
      <c r="B7824" s="4" t="s">
        <v>23</v>
      </c>
      <c r="C7824" s="4" t="s">
        <v>36</v>
      </c>
      <c r="D7824" s="4">
        <v>2015</v>
      </c>
      <c r="E7824" s="4">
        <v>77441.298909370191</v>
      </c>
      <c r="F7824" s="4" t="s">
        <v>29</v>
      </c>
    </row>
    <row r="7825" spans="1:6" x14ac:dyDescent="0.25">
      <c r="A7825" s="4" t="s">
        <v>75</v>
      </c>
      <c r="B7825" s="4" t="s">
        <v>23</v>
      </c>
      <c r="C7825" s="4" t="s">
        <v>36</v>
      </c>
      <c r="D7825" s="4">
        <v>2016</v>
      </c>
      <c r="E7825" s="4">
        <v>73147.161491163002</v>
      </c>
      <c r="F7825" s="4" t="s">
        <v>29</v>
      </c>
    </row>
    <row r="7826" spans="1:6" x14ac:dyDescent="0.25">
      <c r="A7826" s="4" t="s">
        <v>75</v>
      </c>
      <c r="B7826" s="4" t="s">
        <v>23</v>
      </c>
      <c r="C7826" s="4" t="s">
        <v>36</v>
      </c>
      <c r="D7826" s="4">
        <v>2017</v>
      </c>
      <c r="E7826" s="4">
        <v>77484.242273129537</v>
      </c>
      <c r="F7826" s="4" t="s">
        <v>29</v>
      </c>
    </row>
    <row r="7827" spans="1:6" x14ac:dyDescent="0.25">
      <c r="A7827" s="4" t="s">
        <v>75</v>
      </c>
      <c r="B7827" s="4" t="s">
        <v>23</v>
      </c>
      <c r="C7827" s="4" t="s">
        <v>36</v>
      </c>
      <c r="D7827" s="4">
        <v>2018</v>
      </c>
      <c r="E7827" s="4">
        <v>81176.642326019661</v>
      </c>
      <c r="F7827" s="4" t="s">
        <v>29</v>
      </c>
    </row>
    <row r="7828" spans="1:6" x14ac:dyDescent="0.25">
      <c r="A7828" s="4" t="s">
        <v>75</v>
      </c>
      <c r="B7828" s="4" t="s">
        <v>23</v>
      </c>
      <c r="C7828" s="4" t="s">
        <v>36</v>
      </c>
      <c r="D7828" s="4">
        <v>2019</v>
      </c>
      <c r="E7828" s="4">
        <v>84128.722565400036</v>
      </c>
      <c r="F7828" s="4" t="s">
        <v>29</v>
      </c>
    </row>
    <row r="7829" spans="1:6" x14ac:dyDescent="0.25">
      <c r="A7829" s="4" t="s">
        <v>75</v>
      </c>
      <c r="B7829" s="4" t="s">
        <v>23</v>
      </c>
      <c r="C7829" s="4" t="s">
        <v>36</v>
      </c>
      <c r="D7829" s="4">
        <v>2020</v>
      </c>
      <c r="E7829" s="4">
        <v>85338.447237519518</v>
      </c>
      <c r="F7829" s="4" t="s">
        <v>29</v>
      </c>
    </row>
    <row r="7830" spans="1:6" x14ac:dyDescent="0.25">
      <c r="A7830" s="4" t="s">
        <v>75</v>
      </c>
      <c r="B7830" s="4" t="s">
        <v>23</v>
      </c>
      <c r="C7830" s="4" t="s">
        <v>36</v>
      </c>
      <c r="D7830" s="4">
        <v>2021</v>
      </c>
      <c r="E7830" s="4">
        <v>86054.935304342129</v>
      </c>
      <c r="F7830" s="4" t="s">
        <v>29</v>
      </c>
    </row>
    <row r="7831" spans="1:6" x14ac:dyDescent="0.25">
      <c r="A7831" s="4" t="s">
        <v>75</v>
      </c>
      <c r="B7831" s="4" t="s">
        <v>23</v>
      </c>
      <c r="C7831" s="4" t="s">
        <v>36</v>
      </c>
      <c r="D7831" s="4">
        <v>2022</v>
      </c>
      <c r="E7831" s="4">
        <v>86858.827809339069</v>
      </c>
      <c r="F7831" s="4" t="s">
        <v>29</v>
      </c>
    </row>
    <row r="7832" spans="1:6" x14ac:dyDescent="0.25">
      <c r="A7832" s="4" t="s">
        <v>75</v>
      </c>
      <c r="B7832" s="4" t="s">
        <v>23</v>
      </c>
      <c r="C7832" s="4" t="s">
        <v>36</v>
      </c>
      <c r="D7832" s="4">
        <v>2023</v>
      </c>
      <c r="E7832" s="4">
        <v>87777.299193687257</v>
      </c>
      <c r="F7832" s="4" t="s">
        <v>29</v>
      </c>
    </row>
    <row r="7833" spans="1:6" x14ac:dyDescent="0.25">
      <c r="A7833" s="4" t="s">
        <v>75</v>
      </c>
      <c r="B7833" s="4" t="s">
        <v>23</v>
      </c>
      <c r="C7833" s="4" t="s">
        <v>36</v>
      </c>
      <c r="D7833" s="4">
        <v>2024</v>
      </c>
      <c r="E7833" s="4">
        <v>88785.294458287244</v>
      </c>
      <c r="F7833" s="4" t="s">
        <v>29</v>
      </c>
    </row>
    <row r="7834" spans="1:6" x14ac:dyDescent="0.25">
      <c r="A7834" s="4" t="s">
        <v>75</v>
      </c>
      <c r="B7834" s="4" t="s">
        <v>23</v>
      </c>
      <c r="C7834" s="4" t="s">
        <v>36</v>
      </c>
      <c r="D7834" s="4">
        <v>2025</v>
      </c>
      <c r="E7834" s="4">
        <v>89535.93220566219</v>
      </c>
      <c r="F7834" s="4" t="s">
        <v>29</v>
      </c>
    </row>
    <row r="7835" spans="1:6" x14ac:dyDescent="0.25">
      <c r="A7835" s="4" t="s">
        <v>75</v>
      </c>
      <c r="B7835" s="4" t="s">
        <v>23</v>
      </c>
      <c r="C7835" s="4" t="s">
        <v>36</v>
      </c>
      <c r="D7835" s="4">
        <v>2026</v>
      </c>
      <c r="E7835" s="4">
        <v>89986.628402062968</v>
      </c>
      <c r="F7835" s="4" t="s">
        <v>29</v>
      </c>
    </row>
    <row r="7836" spans="1:6" x14ac:dyDescent="0.25">
      <c r="A7836" s="4" t="s">
        <v>75</v>
      </c>
      <c r="B7836" s="4" t="s">
        <v>23</v>
      </c>
      <c r="C7836" s="4" t="s">
        <v>36</v>
      </c>
      <c r="D7836" s="4">
        <v>2027</v>
      </c>
      <c r="E7836" s="4">
        <v>90210.262298288537</v>
      </c>
      <c r="F7836" s="4" t="s">
        <v>29</v>
      </c>
    </row>
    <row r="7837" spans="1:6" x14ac:dyDescent="0.25">
      <c r="A7837" s="4" t="s">
        <v>75</v>
      </c>
      <c r="B7837" s="4" t="s">
        <v>23</v>
      </c>
      <c r="C7837" s="4" t="s">
        <v>36</v>
      </c>
      <c r="D7837" s="4">
        <v>2028</v>
      </c>
      <c r="E7837" s="4">
        <v>90198.433012438996</v>
      </c>
      <c r="F7837" s="4" t="s">
        <v>29</v>
      </c>
    </row>
    <row r="7838" spans="1:6" x14ac:dyDescent="0.25">
      <c r="A7838" s="4" t="s">
        <v>75</v>
      </c>
      <c r="B7838" s="4" t="s">
        <v>23</v>
      </c>
      <c r="C7838" s="4" t="s">
        <v>36</v>
      </c>
      <c r="D7838" s="4">
        <v>2029</v>
      </c>
      <c r="E7838" s="4">
        <v>89905.634300256366</v>
      </c>
      <c r="F7838" s="4" t="s">
        <v>29</v>
      </c>
    </row>
    <row r="7839" spans="1:6" x14ac:dyDescent="0.25">
      <c r="A7839" s="4" t="s">
        <v>75</v>
      </c>
      <c r="B7839" s="4" t="s">
        <v>23</v>
      </c>
      <c r="C7839" s="4" t="s">
        <v>36</v>
      </c>
      <c r="D7839" s="4">
        <v>2030</v>
      </c>
      <c r="E7839" s="4">
        <v>89415.753339147501</v>
      </c>
      <c r="F7839" s="4" t="s">
        <v>29</v>
      </c>
    </row>
    <row r="7840" spans="1:6" x14ac:dyDescent="0.25">
      <c r="A7840" s="4" t="s">
        <v>75</v>
      </c>
      <c r="B7840" s="4" t="s">
        <v>23</v>
      </c>
      <c r="C7840" s="4" t="s">
        <v>36</v>
      </c>
      <c r="D7840" s="4">
        <v>2031</v>
      </c>
      <c r="E7840" s="4">
        <v>88856.965085696531</v>
      </c>
      <c r="F7840" s="4" t="s">
        <v>29</v>
      </c>
    </row>
    <row r="7841" spans="1:6" x14ac:dyDescent="0.25">
      <c r="A7841" s="4" t="s">
        <v>75</v>
      </c>
      <c r="B7841" s="4" t="s">
        <v>23</v>
      </c>
      <c r="C7841" s="4" t="s">
        <v>36</v>
      </c>
      <c r="D7841" s="4">
        <v>2032</v>
      </c>
      <c r="E7841" s="4">
        <v>88287.726347655698</v>
      </c>
      <c r="F7841" s="4" t="s">
        <v>29</v>
      </c>
    </row>
    <row r="7842" spans="1:6" x14ac:dyDescent="0.25">
      <c r="A7842" s="4" t="s">
        <v>75</v>
      </c>
      <c r="B7842" s="4" t="s">
        <v>23</v>
      </c>
      <c r="C7842" s="4" t="s">
        <v>36</v>
      </c>
      <c r="D7842" s="4">
        <v>2033</v>
      </c>
      <c r="E7842" s="4">
        <v>87655.219280994555</v>
      </c>
      <c r="F7842" s="4" t="s">
        <v>29</v>
      </c>
    </row>
    <row r="7843" spans="1:6" x14ac:dyDescent="0.25">
      <c r="A7843" s="4" t="s">
        <v>75</v>
      </c>
      <c r="B7843" s="4" t="s">
        <v>23</v>
      </c>
      <c r="C7843" s="4" t="s">
        <v>36</v>
      </c>
      <c r="D7843" s="4">
        <v>2034</v>
      </c>
      <c r="E7843" s="4">
        <v>87002.37858731029</v>
      </c>
      <c r="F7843" s="4" t="s">
        <v>29</v>
      </c>
    </row>
    <row r="7844" spans="1:6" x14ac:dyDescent="0.25">
      <c r="A7844" s="4" t="s">
        <v>75</v>
      </c>
      <c r="B7844" s="4" t="s">
        <v>23</v>
      </c>
      <c r="C7844" s="4" t="s">
        <v>36</v>
      </c>
      <c r="D7844" s="4">
        <v>2035</v>
      </c>
      <c r="E7844" s="4">
        <v>86357.093044924521</v>
      </c>
      <c r="F7844" s="4" t="s">
        <v>29</v>
      </c>
    </row>
    <row r="7845" spans="1:6" x14ac:dyDescent="0.25">
      <c r="A7845" s="4" t="s">
        <v>75</v>
      </c>
      <c r="B7845" s="4" t="s">
        <v>23</v>
      </c>
      <c r="C7845" s="4" t="s">
        <v>36</v>
      </c>
      <c r="D7845" s="4">
        <v>2036</v>
      </c>
      <c r="E7845" s="4">
        <v>85545.780434673827</v>
      </c>
      <c r="F7845" s="4" t="s">
        <v>29</v>
      </c>
    </row>
    <row r="7846" spans="1:6" x14ac:dyDescent="0.25">
      <c r="A7846" s="4" t="s">
        <v>75</v>
      </c>
      <c r="B7846" s="4" t="s">
        <v>23</v>
      </c>
      <c r="C7846" s="4" t="s">
        <v>36</v>
      </c>
      <c r="D7846" s="4">
        <v>2037</v>
      </c>
      <c r="E7846" s="4">
        <v>84839.787174991608</v>
      </c>
      <c r="F7846" s="4" t="s">
        <v>29</v>
      </c>
    </row>
    <row r="7847" spans="1:6" x14ac:dyDescent="0.25">
      <c r="A7847" s="4" t="s">
        <v>75</v>
      </c>
      <c r="B7847" s="4" t="s">
        <v>23</v>
      </c>
      <c r="C7847" s="4" t="s">
        <v>36</v>
      </c>
      <c r="D7847" s="4">
        <v>2038</v>
      </c>
      <c r="E7847" s="4">
        <v>84030.523788036153</v>
      </c>
      <c r="F7847" s="4" t="s">
        <v>29</v>
      </c>
    </row>
    <row r="7848" spans="1:6" x14ac:dyDescent="0.25">
      <c r="A7848" s="4" t="s">
        <v>75</v>
      </c>
      <c r="B7848" s="4" t="s">
        <v>23</v>
      </c>
      <c r="C7848" s="4" t="s">
        <v>36</v>
      </c>
      <c r="D7848" s="4">
        <v>2039</v>
      </c>
      <c r="E7848" s="4">
        <v>83206.719110166159</v>
      </c>
      <c r="F7848" s="4" t="s">
        <v>29</v>
      </c>
    </row>
    <row r="7849" spans="1:6" x14ac:dyDescent="0.25">
      <c r="A7849" s="4" t="s">
        <v>75</v>
      </c>
      <c r="B7849" s="4" t="s">
        <v>23</v>
      </c>
      <c r="C7849" s="4" t="s">
        <v>36</v>
      </c>
      <c r="D7849" s="4">
        <v>2040</v>
      </c>
      <c r="E7849" s="4">
        <v>82305.985371807736</v>
      </c>
      <c r="F7849" s="4" t="s">
        <v>29</v>
      </c>
    </row>
    <row r="7850" spans="1:6" x14ac:dyDescent="0.25">
      <c r="A7850" s="4" t="s">
        <v>76</v>
      </c>
      <c r="B7850" s="4" t="s">
        <v>1</v>
      </c>
      <c r="C7850" s="4" t="s">
        <v>36</v>
      </c>
      <c r="D7850" s="4">
        <v>2005</v>
      </c>
      <c r="E7850" s="4">
        <v>2203.4851382488482</v>
      </c>
      <c r="F7850" s="4" t="s">
        <v>29</v>
      </c>
    </row>
    <row r="7851" spans="1:6" x14ac:dyDescent="0.25">
      <c r="A7851" s="4" t="s">
        <v>76</v>
      </c>
      <c r="B7851" s="4" t="s">
        <v>1</v>
      </c>
      <c r="C7851" s="4" t="s">
        <v>36</v>
      </c>
      <c r="D7851" s="4">
        <v>2006</v>
      </c>
      <c r="E7851" s="4">
        <v>3398.1617415514593</v>
      </c>
      <c r="F7851" s="4" t="s">
        <v>29</v>
      </c>
    </row>
    <row r="7852" spans="1:6" x14ac:dyDescent="0.25">
      <c r="A7852" s="4" t="s">
        <v>76</v>
      </c>
      <c r="B7852" s="4" t="s">
        <v>1</v>
      </c>
      <c r="C7852" s="4" t="s">
        <v>36</v>
      </c>
      <c r="D7852" s="4">
        <v>2007</v>
      </c>
      <c r="E7852" s="4">
        <v>3531.5109030977987</v>
      </c>
      <c r="F7852" s="4" t="s">
        <v>29</v>
      </c>
    </row>
    <row r="7853" spans="1:6" x14ac:dyDescent="0.25">
      <c r="A7853" s="4" t="s">
        <v>76</v>
      </c>
      <c r="B7853" s="4" t="s">
        <v>1</v>
      </c>
      <c r="C7853" s="4" t="s">
        <v>36</v>
      </c>
      <c r="D7853" s="4">
        <v>2008</v>
      </c>
      <c r="E7853" s="4">
        <v>3746.5833333333339</v>
      </c>
      <c r="F7853" s="4" t="s">
        <v>29</v>
      </c>
    </row>
    <row r="7854" spans="1:6" x14ac:dyDescent="0.25">
      <c r="A7854" s="4" t="s">
        <v>76</v>
      </c>
      <c r="B7854" s="4" t="s">
        <v>1</v>
      </c>
      <c r="C7854" s="4" t="s">
        <v>36</v>
      </c>
      <c r="D7854" s="4">
        <v>2009</v>
      </c>
      <c r="E7854" s="4">
        <v>4116.2247580645162</v>
      </c>
      <c r="F7854" s="4" t="s">
        <v>29</v>
      </c>
    </row>
    <row r="7855" spans="1:6" x14ac:dyDescent="0.25">
      <c r="A7855" s="4" t="s">
        <v>76</v>
      </c>
      <c r="B7855" s="4" t="s">
        <v>1</v>
      </c>
      <c r="C7855" s="4" t="s">
        <v>36</v>
      </c>
      <c r="D7855" s="4">
        <v>2010</v>
      </c>
      <c r="E7855" s="4">
        <v>4763.6846684587817</v>
      </c>
      <c r="F7855" s="4" t="s">
        <v>29</v>
      </c>
    </row>
    <row r="7856" spans="1:6" x14ac:dyDescent="0.25">
      <c r="A7856" s="4" t="s">
        <v>76</v>
      </c>
      <c r="B7856" s="4" t="s">
        <v>1</v>
      </c>
      <c r="C7856" s="4" t="s">
        <v>36</v>
      </c>
      <c r="D7856" s="4">
        <v>2011</v>
      </c>
      <c r="E7856" s="4">
        <v>6462.2715092165899</v>
      </c>
      <c r="F7856" s="4" t="s">
        <v>29</v>
      </c>
    </row>
    <row r="7857" spans="1:6" x14ac:dyDescent="0.25">
      <c r="A7857" s="4" t="s">
        <v>76</v>
      </c>
      <c r="B7857" s="4" t="s">
        <v>1</v>
      </c>
      <c r="C7857" s="4" t="s">
        <v>36</v>
      </c>
      <c r="D7857" s="4">
        <v>2012</v>
      </c>
      <c r="E7857" s="4">
        <v>8094.5645528982814</v>
      </c>
      <c r="F7857" s="4" t="s">
        <v>29</v>
      </c>
    </row>
    <row r="7858" spans="1:6" x14ac:dyDescent="0.25">
      <c r="A7858" s="4" t="s">
        <v>76</v>
      </c>
      <c r="B7858" s="4" t="s">
        <v>1</v>
      </c>
      <c r="C7858" s="4" t="s">
        <v>36</v>
      </c>
      <c r="D7858" s="4">
        <v>2013</v>
      </c>
      <c r="E7858" s="4">
        <v>8262.7367191500271</v>
      </c>
      <c r="F7858" s="4" t="s">
        <v>29</v>
      </c>
    </row>
    <row r="7859" spans="1:6" x14ac:dyDescent="0.25">
      <c r="A7859" s="4" t="s">
        <v>76</v>
      </c>
      <c r="B7859" s="4" t="s">
        <v>1</v>
      </c>
      <c r="C7859" s="4" t="s">
        <v>36</v>
      </c>
      <c r="D7859" s="4">
        <v>2014</v>
      </c>
      <c r="E7859" s="4">
        <v>7781.3506688428042</v>
      </c>
      <c r="F7859" s="4" t="s">
        <v>29</v>
      </c>
    </row>
    <row r="7860" spans="1:6" x14ac:dyDescent="0.25">
      <c r="A7860" s="4" t="s">
        <v>76</v>
      </c>
      <c r="B7860" s="4" t="s">
        <v>1</v>
      </c>
      <c r="C7860" s="4" t="s">
        <v>36</v>
      </c>
      <c r="D7860" s="4">
        <v>2015</v>
      </c>
      <c r="E7860" s="4">
        <v>7282.7969105222728</v>
      </c>
      <c r="F7860" s="4" t="s">
        <v>29</v>
      </c>
    </row>
    <row r="7861" spans="1:6" x14ac:dyDescent="0.25">
      <c r="A7861" s="4" t="s">
        <v>76</v>
      </c>
      <c r="B7861" s="4" t="s">
        <v>1</v>
      </c>
      <c r="C7861" s="4" t="s">
        <v>36</v>
      </c>
      <c r="D7861" s="4">
        <v>2016</v>
      </c>
      <c r="E7861" s="4">
        <v>6380.9985653812873</v>
      </c>
      <c r="F7861" s="4" t="s">
        <v>29</v>
      </c>
    </row>
    <row r="7862" spans="1:6" x14ac:dyDescent="0.25">
      <c r="A7862" s="4" t="s">
        <v>76</v>
      </c>
      <c r="B7862" s="4" t="s">
        <v>1</v>
      </c>
      <c r="C7862" s="4" t="s">
        <v>36</v>
      </c>
      <c r="D7862" s="4">
        <v>2017</v>
      </c>
      <c r="E7862" s="4">
        <v>5830.8193436537013</v>
      </c>
      <c r="F7862" s="4" t="s">
        <v>29</v>
      </c>
    </row>
    <row r="7863" spans="1:6" x14ac:dyDescent="0.25">
      <c r="A7863" s="4" t="s">
        <v>76</v>
      </c>
      <c r="B7863" s="4" t="s">
        <v>1</v>
      </c>
      <c r="C7863" s="4" t="s">
        <v>36</v>
      </c>
      <c r="D7863" s="4">
        <v>2018</v>
      </c>
      <c r="E7863" s="4">
        <v>5370.0572684063036</v>
      </c>
      <c r="F7863" s="4" t="s">
        <v>29</v>
      </c>
    </row>
    <row r="7864" spans="1:6" x14ac:dyDescent="0.25">
      <c r="A7864" s="4" t="s">
        <v>76</v>
      </c>
      <c r="B7864" s="4" t="s">
        <v>1</v>
      </c>
      <c r="C7864" s="4" t="s">
        <v>36</v>
      </c>
      <c r="D7864" s="4">
        <v>2019</v>
      </c>
      <c r="E7864" s="4">
        <v>4904.6890168222708</v>
      </c>
      <c r="F7864" s="4" t="s">
        <v>29</v>
      </c>
    </row>
    <row r="7865" spans="1:6" x14ac:dyDescent="0.25">
      <c r="A7865" s="4" t="s">
        <v>76</v>
      </c>
      <c r="B7865" s="4" t="s">
        <v>1</v>
      </c>
      <c r="C7865" s="4" t="s">
        <v>36</v>
      </c>
      <c r="D7865" s="4">
        <v>2020</v>
      </c>
      <c r="E7865" s="4">
        <v>4468.1562888542712</v>
      </c>
      <c r="F7865" s="4" t="s">
        <v>29</v>
      </c>
    </row>
    <row r="7866" spans="1:6" x14ac:dyDescent="0.25">
      <c r="A7866" s="4" t="s">
        <v>76</v>
      </c>
      <c r="B7866" s="4" t="s">
        <v>1</v>
      </c>
      <c r="C7866" s="4" t="s">
        <v>36</v>
      </c>
      <c r="D7866" s="4">
        <v>2021</v>
      </c>
      <c r="E7866" s="4">
        <v>4092.0264303558301</v>
      </c>
      <c r="F7866" s="4" t="s">
        <v>29</v>
      </c>
    </row>
    <row r="7867" spans="1:6" x14ac:dyDescent="0.25">
      <c r="A7867" s="4" t="s">
        <v>76</v>
      </c>
      <c r="B7867" s="4" t="s">
        <v>1</v>
      </c>
      <c r="C7867" s="4" t="s">
        <v>36</v>
      </c>
      <c r="D7867" s="4">
        <v>2022</v>
      </c>
      <c r="E7867" s="4">
        <v>3782.9101481459766</v>
      </c>
      <c r="F7867" s="4" t="s">
        <v>29</v>
      </c>
    </row>
    <row r="7868" spans="1:6" x14ac:dyDescent="0.25">
      <c r="A7868" s="4" t="s">
        <v>76</v>
      </c>
      <c r="B7868" s="4" t="s">
        <v>1</v>
      </c>
      <c r="C7868" s="4" t="s">
        <v>36</v>
      </c>
      <c r="D7868" s="4">
        <v>2023</v>
      </c>
      <c r="E7868" s="4">
        <v>3536.4480691582198</v>
      </c>
      <c r="F7868" s="4" t="s">
        <v>29</v>
      </c>
    </row>
    <row r="7869" spans="1:6" x14ac:dyDescent="0.25">
      <c r="A7869" s="4" t="s">
        <v>76</v>
      </c>
      <c r="B7869" s="4" t="s">
        <v>1</v>
      </c>
      <c r="C7869" s="4" t="s">
        <v>36</v>
      </c>
      <c r="D7869" s="4">
        <v>2024</v>
      </c>
      <c r="E7869" s="4">
        <v>3333.2340466074616</v>
      </c>
      <c r="F7869" s="4" t="s">
        <v>29</v>
      </c>
    </row>
    <row r="7870" spans="1:6" x14ac:dyDescent="0.25">
      <c r="A7870" s="4" t="s">
        <v>76</v>
      </c>
      <c r="B7870" s="4" t="s">
        <v>1</v>
      </c>
      <c r="C7870" s="4" t="s">
        <v>36</v>
      </c>
      <c r="D7870" s="4">
        <v>2025</v>
      </c>
      <c r="E7870" s="4">
        <v>3154.4207615315918</v>
      </c>
      <c r="F7870" s="4" t="s">
        <v>29</v>
      </c>
    </row>
    <row r="7871" spans="1:6" x14ac:dyDescent="0.25">
      <c r="A7871" s="4" t="s">
        <v>76</v>
      </c>
      <c r="B7871" s="4" t="s">
        <v>1</v>
      </c>
      <c r="C7871" s="4" t="s">
        <v>36</v>
      </c>
      <c r="D7871" s="4">
        <v>2026</v>
      </c>
      <c r="E7871" s="4">
        <v>3003.649948898169</v>
      </c>
      <c r="F7871" s="4" t="s">
        <v>29</v>
      </c>
    </row>
    <row r="7872" spans="1:6" x14ac:dyDescent="0.25">
      <c r="A7872" s="4" t="s">
        <v>76</v>
      </c>
      <c r="B7872" s="4" t="s">
        <v>1</v>
      </c>
      <c r="C7872" s="4" t="s">
        <v>36</v>
      </c>
      <c r="D7872" s="4">
        <v>2027</v>
      </c>
      <c r="E7872" s="4">
        <v>2874.6117449281064</v>
      </c>
      <c r="F7872" s="4" t="s">
        <v>29</v>
      </c>
    </row>
    <row r="7873" spans="1:6" x14ac:dyDescent="0.25">
      <c r="A7873" s="4" t="s">
        <v>76</v>
      </c>
      <c r="B7873" s="4" t="s">
        <v>1</v>
      </c>
      <c r="C7873" s="4" t="s">
        <v>36</v>
      </c>
      <c r="D7873" s="4">
        <v>2028</v>
      </c>
      <c r="E7873" s="4">
        <v>2760.2548888815395</v>
      </c>
      <c r="F7873" s="4" t="s">
        <v>29</v>
      </c>
    </row>
    <row r="7874" spans="1:6" x14ac:dyDescent="0.25">
      <c r="A7874" s="4" t="s">
        <v>76</v>
      </c>
      <c r="B7874" s="4" t="s">
        <v>1</v>
      </c>
      <c r="C7874" s="4" t="s">
        <v>36</v>
      </c>
      <c r="D7874" s="4">
        <v>2029</v>
      </c>
      <c r="E7874" s="4">
        <v>2655.9913845497877</v>
      </c>
      <c r="F7874" s="4" t="s">
        <v>29</v>
      </c>
    </row>
    <row r="7875" spans="1:6" x14ac:dyDescent="0.25">
      <c r="A7875" s="4" t="s">
        <v>76</v>
      </c>
      <c r="B7875" s="4" t="s">
        <v>1</v>
      </c>
      <c r="C7875" s="4" t="s">
        <v>36</v>
      </c>
      <c r="D7875" s="4">
        <v>2030</v>
      </c>
      <c r="E7875" s="4">
        <v>2558.9056227911856</v>
      </c>
      <c r="F7875" s="4" t="s">
        <v>29</v>
      </c>
    </row>
    <row r="7876" spans="1:6" x14ac:dyDescent="0.25">
      <c r="A7876" s="4" t="s">
        <v>76</v>
      </c>
      <c r="B7876" s="4" t="s">
        <v>1</v>
      </c>
      <c r="C7876" s="4" t="s">
        <v>36</v>
      </c>
      <c r="D7876" s="4">
        <v>2031</v>
      </c>
      <c r="E7876" s="4">
        <v>2469.2318249771606</v>
      </c>
      <c r="F7876" s="4" t="s">
        <v>29</v>
      </c>
    </row>
    <row r="7877" spans="1:6" x14ac:dyDescent="0.25">
      <c r="A7877" s="4" t="s">
        <v>76</v>
      </c>
      <c r="B7877" s="4" t="s">
        <v>1</v>
      </c>
      <c r="C7877" s="4" t="s">
        <v>36</v>
      </c>
      <c r="D7877" s="4">
        <v>2032</v>
      </c>
      <c r="E7877" s="4">
        <v>2387.5343287029964</v>
      </c>
      <c r="F7877" s="4" t="s">
        <v>29</v>
      </c>
    </row>
    <row r="7878" spans="1:6" x14ac:dyDescent="0.25">
      <c r="A7878" s="4" t="s">
        <v>76</v>
      </c>
      <c r="B7878" s="4" t="s">
        <v>1</v>
      </c>
      <c r="C7878" s="4" t="s">
        <v>36</v>
      </c>
      <c r="D7878" s="4">
        <v>2033</v>
      </c>
      <c r="E7878" s="4">
        <v>2314.1388429422491</v>
      </c>
      <c r="F7878" s="4" t="s">
        <v>29</v>
      </c>
    </row>
    <row r="7879" spans="1:6" x14ac:dyDescent="0.25">
      <c r="A7879" s="4" t="s">
        <v>76</v>
      </c>
      <c r="B7879" s="4" t="s">
        <v>1</v>
      </c>
      <c r="C7879" s="4" t="s">
        <v>36</v>
      </c>
      <c r="D7879" s="4">
        <v>2034</v>
      </c>
      <c r="E7879" s="4">
        <v>2248.3597716889208</v>
      </c>
      <c r="F7879" s="4" t="s">
        <v>29</v>
      </c>
    </row>
    <row r="7880" spans="1:6" x14ac:dyDescent="0.25">
      <c r="A7880" s="4" t="s">
        <v>76</v>
      </c>
      <c r="B7880" s="4" t="s">
        <v>1</v>
      </c>
      <c r="C7880" s="4" t="s">
        <v>36</v>
      </c>
      <c r="D7880" s="4">
        <v>2035</v>
      </c>
      <c r="E7880" s="4">
        <v>2189.3979119404908</v>
      </c>
      <c r="F7880" s="4" t="s">
        <v>29</v>
      </c>
    </row>
    <row r="7881" spans="1:6" x14ac:dyDescent="0.25">
      <c r="A7881" s="4" t="s">
        <v>76</v>
      </c>
      <c r="B7881" s="4" t="s">
        <v>1</v>
      </c>
      <c r="C7881" s="4" t="s">
        <v>36</v>
      </c>
      <c r="D7881" s="4">
        <v>2036</v>
      </c>
      <c r="E7881" s="4">
        <v>2132.6962164130364</v>
      </c>
      <c r="F7881" s="4" t="s">
        <v>29</v>
      </c>
    </row>
    <row r="7882" spans="1:6" x14ac:dyDescent="0.25">
      <c r="A7882" s="4" t="s">
        <v>76</v>
      </c>
      <c r="B7882" s="4" t="s">
        <v>1</v>
      </c>
      <c r="C7882" s="4" t="s">
        <v>36</v>
      </c>
      <c r="D7882" s="4">
        <v>2037</v>
      </c>
      <c r="E7882" s="4">
        <v>2064.174173304094</v>
      </c>
      <c r="F7882" s="4" t="s">
        <v>29</v>
      </c>
    </row>
    <row r="7883" spans="1:6" x14ac:dyDescent="0.25">
      <c r="A7883" s="4" t="s">
        <v>76</v>
      </c>
      <c r="B7883" s="4" t="s">
        <v>1</v>
      </c>
      <c r="C7883" s="4" t="s">
        <v>36</v>
      </c>
      <c r="D7883" s="4">
        <v>2038</v>
      </c>
      <c r="E7883" s="4">
        <v>1995.7812333381444</v>
      </c>
      <c r="F7883" s="4" t="s">
        <v>29</v>
      </c>
    </row>
    <row r="7884" spans="1:6" x14ac:dyDescent="0.25">
      <c r="A7884" s="4" t="s">
        <v>76</v>
      </c>
      <c r="B7884" s="4" t="s">
        <v>1</v>
      </c>
      <c r="C7884" s="4" t="s">
        <v>36</v>
      </c>
      <c r="D7884" s="4">
        <v>2039</v>
      </c>
      <c r="E7884" s="4">
        <v>1932.0846954080873</v>
      </c>
      <c r="F7884" s="4" t="s">
        <v>29</v>
      </c>
    </row>
    <row r="7885" spans="1:6" x14ac:dyDescent="0.25">
      <c r="A7885" s="4" t="s">
        <v>76</v>
      </c>
      <c r="B7885" s="4" t="s">
        <v>1</v>
      </c>
      <c r="C7885" s="4" t="s">
        <v>36</v>
      </c>
      <c r="D7885" s="4">
        <v>2040</v>
      </c>
      <c r="E7885" s="4">
        <v>1870.8345944335927</v>
      </c>
      <c r="F7885" s="4" t="s">
        <v>29</v>
      </c>
    </row>
    <row r="7886" spans="1:6" x14ac:dyDescent="0.25">
      <c r="A7886" s="4" t="s">
        <v>76</v>
      </c>
      <c r="B7886" s="4" t="s">
        <v>23</v>
      </c>
      <c r="C7886" s="4" t="s">
        <v>36</v>
      </c>
      <c r="D7886" s="4">
        <v>2005</v>
      </c>
      <c r="E7886" s="4">
        <v>2203.4851382488482</v>
      </c>
      <c r="F7886" s="4" t="s">
        <v>29</v>
      </c>
    </row>
    <row r="7887" spans="1:6" x14ac:dyDescent="0.25">
      <c r="A7887" s="4" t="s">
        <v>76</v>
      </c>
      <c r="B7887" s="4" t="s">
        <v>23</v>
      </c>
      <c r="C7887" s="4" t="s">
        <v>36</v>
      </c>
      <c r="D7887" s="4">
        <v>2006</v>
      </c>
      <c r="E7887" s="4">
        <v>3398.1617415514593</v>
      </c>
      <c r="F7887" s="4" t="s">
        <v>29</v>
      </c>
    </row>
    <row r="7888" spans="1:6" x14ac:dyDescent="0.25">
      <c r="A7888" s="4" t="s">
        <v>76</v>
      </c>
      <c r="B7888" s="4" t="s">
        <v>23</v>
      </c>
      <c r="C7888" s="4" t="s">
        <v>36</v>
      </c>
      <c r="D7888" s="4">
        <v>2007</v>
      </c>
      <c r="E7888" s="4">
        <v>3531.5109030977987</v>
      </c>
      <c r="F7888" s="4" t="s">
        <v>29</v>
      </c>
    </row>
    <row r="7889" spans="1:6" x14ac:dyDescent="0.25">
      <c r="A7889" s="4" t="s">
        <v>76</v>
      </c>
      <c r="B7889" s="4" t="s">
        <v>23</v>
      </c>
      <c r="C7889" s="4" t="s">
        <v>36</v>
      </c>
      <c r="D7889" s="4">
        <v>2008</v>
      </c>
      <c r="E7889" s="4">
        <v>3746.5833333333339</v>
      </c>
      <c r="F7889" s="4" t="s">
        <v>29</v>
      </c>
    </row>
    <row r="7890" spans="1:6" x14ac:dyDescent="0.25">
      <c r="A7890" s="4" t="s">
        <v>76</v>
      </c>
      <c r="B7890" s="4" t="s">
        <v>23</v>
      </c>
      <c r="C7890" s="4" t="s">
        <v>36</v>
      </c>
      <c r="D7890" s="4">
        <v>2009</v>
      </c>
      <c r="E7890" s="4">
        <v>4116.2247580645162</v>
      </c>
      <c r="F7890" s="4" t="s">
        <v>29</v>
      </c>
    </row>
    <row r="7891" spans="1:6" x14ac:dyDescent="0.25">
      <c r="A7891" s="4" t="s">
        <v>76</v>
      </c>
      <c r="B7891" s="4" t="s">
        <v>23</v>
      </c>
      <c r="C7891" s="4" t="s">
        <v>36</v>
      </c>
      <c r="D7891" s="4">
        <v>2010</v>
      </c>
      <c r="E7891" s="4">
        <v>4763.6846684587817</v>
      </c>
      <c r="F7891" s="4" t="s">
        <v>29</v>
      </c>
    </row>
    <row r="7892" spans="1:6" x14ac:dyDescent="0.25">
      <c r="A7892" s="4" t="s">
        <v>76</v>
      </c>
      <c r="B7892" s="4" t="s">
        <v>23</v>
      </c>
      <c r="C7892" s="4" t="s">
        <v>36</v>
      </c>
      <c r="D7892" s="4">
        <v>2011</v>
      </c>
      <c r="E7892" s="4">
        <v>6462.2715092165899</v>
      </c>
      <c r="F7892" s="4" t="s">
        <v>29</v>
      </c>
    </row>
    <row r="7893" spans="1:6" x14ac:dyDescent="0.25">
      <c r="A7893" s="4" t="s">
        <v>76</v>
      </c>
      <c r="B7893" s="4" t="s">
        <v>23</v>
      </c>
      <c r="C7893" s="4" t="s">
        <v>36</v>
      </c>
      <c r="D7893" s="4">
        <v>2012</v>
      </c>
      <c r="E7893" s="4">
        <v>8094.5645528982814</v>
      </c>
      <c r="F7893" s="4" t="s">
        <v>29</v>
      </c>
    </row>
    <row r="7894" spans="1:6" x14ac:dyDescent="0.25">
      <c r="A7894" s="4" t="s">
        <v>76</v>
      </c>
      <c r="B7894" s="4" t="s">
        <v>23</v>
      </c>
      <c r="C7894" s="4" t="s">
        <v>36</v>
      </c>
      <c r="D7894" s="4">
        <v>2013</v>
      </c>
      <c r="E7894" s="4">
        <v>8262.7367191500271</v>
      </c>
      <c r="F7894" s="4" t="s">
        <v>29</v>
      </c>
    </row>
    <row r="7895" spans="1:6" x14ac:dyDescent="0.25">
      <c r="A7895" s="4" t="s">
        <v>76</v>
      </c>
      <c r="B7895" s="4" t="s">
        <v>23</v>
      </c>
      <c r="C7895" s="4" t="s">
        <v>36</v>
      </c>
      <c r="D7895" s="4">
        <v>2014</v>
      </c>
      <c r="E7895" s="4">
        <v>7781.3506688428042</v>
      </c>
      <c r="F7895" s="4" t="s">
        <v>29</v>
      </c>
    </row>
    <row r="7896" spans="1:6" x14ac:dyDescent="0.25">
      <c r="A7896" s="4" t="s">
        <v>76</v>
      </c>
      <c r="B7896" s="4" t="s">
        <v>23</v>
      </c>
      <c r="C7896" s="4" t="s">
        <v>36</v>
      </c>
      <c r="D7896" s="4">
        <v>2015</v>
      </c>
      <c r="E7896" s="4">
        <v>7282.7969105222728</v>
      </c>
      <c r="F7896" s="4" t="s">
        <v>29</v>
      </c>
    </row>
    <row r="7897" spans="1:6" x14ac:dyDescent="0.25">
      <c r="A7897" s="4" t="s">
        <v>76</v>
      </c>
      <c r="B7897" s="4" t="s">
        <v>23</v>
      </c>
      <c r="C7897" s="4" t="s">
        <v>36</v>
      </c>
      <c r="D7897" s="4">
        <v>2016</v>
      </c>
      <c r="E7897" s="4">
        <v>6380.9985653812873</v>
      </c>
      <c r="F7897" s="4" t="s">
        <v>29</v>
      </c>
    </row>
    <row r="7898" spans="1:6" x14ac:dyDescent="0.25">
      <c r="A7898" s="4" t="s">
        <v>76</v>
      </c>
      <c r="B7898" s="4" t="s">
        <v>23</v>
      </c>
      <c r="C7898" s="4" t="s">
        <v>36</v>
      </c>
      <c r="D7898" s="4">
        <v>2017</v>
      </c>
      <c r="E7898" s="4">
        <v>5830.8193436537013</v>
      </c>
      <c r="F7898" s="4" t="s">
        <v>29</v>
      </c>
    </row>
    <row r="7899" spans="1:6" x14ac:dyDescent="0.25">
      <c r="A7899" s="4" t="s">
        <v>76</v>
      </c>
      <c r="B7899" s="4" t="s">
        <v>23</v>
      </c>
      <c r="C7899" s="4" t="s">
        <v>36</v>
      </c>
      <c r="D7899" s="4">
        <v>2018</v>
      </c>
      <c r="E7899" s="4">
        <v>5370.0572684063036</v>
      </c>
      <c r="F7899" s="4" t="s">
        <v>29</v>
      </c>
    </row>
    <row r="7900" spans="1:6" x14ac:dyDescent="0.25">
      <c r="A7900" s="4" t="s">
        <v>76</v>
      </c>
      <c r="B7900" s="4" t="s">
        <v>23</v>
      </c>
      <c r="C7900" s="4" t="s">
        <v>36</v>
      </c>
      <c r="D7900" s="4">
        <v>2019</v>
      </c>
      <c r="E7900" s="4">
        <v>4904.6890168222708</v>
      </c>
      <c r="F7900" s="4" t="s">
        <v>29</v>
      </c>
    </row>
    <row r="7901" spans="1:6" x14ac:dyDescent="0.25">
      <c r="A7901" s="4" t="s">
        <v>76</v>
      </c>
      <c r="B7901" s="4" t="s">
        <v>23</v>
      </c>
      <c r="C7901" s="4" t="s">
        <v>36</v>
      </c>
      <c r="D7901" s="4">
        <v>2020</v>
      </c>
      <c r="E7901" s="4">
        <v>4468.1562888542712</v>
      </c>
      <c r="F7901" s="4" t="s">
        <v>29</v>
      </c>
    </row>
    <row r="7902" spans="1:6" x14ac:dyDescent="0.25">
      <c r="A7902" s="4" t="s">
        <v>76</v>
      </c>
      <c r="B7902" s="4" t="s">
        <v>23</v>
      </c>
      <c r="C7902" s="4" t="s">
        <v>36</v>
      </c>
      <c r="D7902" s="4">
        <v>2021</v>
      </c>
      <c r="E7902" s="4">
        <v>4092.0264303558301</v>
      </c>
      <c r="F7902" s="4" t="s">
        <v>29</v>
      </c>
    </row>
    <row r="7903" spans="1:6" x14ac:dyDescent="0.25">
      <c r="A7903" s="4" t="s">
        <v>76</v>
      </c>
      <c r="B7903" s="4" t="s">
        <v>23</v>
      </c>
      <c r="C7903" s="4" t="s">
        <v>36</v>
      </c>
      <c r="D7903" s="4">
        <v>2022</v>
      </c>
      <c r="E7903" s="4">
        <v>3782.9101481459766</v>
      </c>
      <c r="F7903" s="4" t="s">
        <v>29</v>
      </c>
    </row>
    <row r="7904" spans="1:6" x14ac:dyDescent="0.25">
      <c r="A7904" s="4" t="s">
        <v>76</v>
      </c>
      <c r="B7904" s="4" t="s">
        <v>23</v>
      </c>
      <c r="C7904" s="4" t="s">
        <v>36</v>
      </c>
      <c r="D7904" s="4">
        <v>2023</v>
      </c>
      <c r="E7904" s="4">
        <v>3536.4480691582198</v>
      </c>
      <c r="F7904" s="4" t="s">
        <v>29</v>
      </c>
    </row>
    <row r="7905" spans="1:6" x14ac:dyDescent="0.25">
      <c r="A7905" s="4" t="s">
        <v>76</v>
      </c>
      <c r="B7905" s="4" t="s">
        <v>23</v>
      </c>
      <c r="C7905" s="4" t="s">
        <v>36</v>
      </c>
      <c r="D7905" s="4">
        <v>2024</v>
      </c>
      <c r="E7905" s="4">
        <v>3333.2340466074616</v>
      </c>
      <c r="F7905" s="4" t="s">
        <v>29</v>
      </c>
    </row>
    <row r="7906" spans="1:6" x14ac:dyDescent="0.25">
      <c r="A7906" s="4" t="s">
        <v>76</v>
      </c>
      <c r="B7906" s="4" t="s">
        <v>23</v>
      </c>
      <c r="C7906" s="4" t="s">
        <v>36</v>
      </c>
      <c r="D7906" s="4">
        <v>2025</v>
      </c>
      <c r="E7906" s="4">
        <v>3154.4207615315918</v>
      </c>
      <c r="F7906" s="4" t="s">
        <v>29</v>
      </c>
    </row>
    <row r="7907" spans="1:6" x14ac:dyDescent="0.25">
      <c r="A7907" s="4" t="s">
        <v>76</v>
      </c>
      <c r="B7907" s="4" t="s">
        <v>23</v>
      </c>
      <c r="C7907" s="4" t="s">
        <v>36</v>
      </c>
      <c r="D7907" s="4">
        <v>2026</v>
      </c>
      <c r="E7907" s="4">
        <v>3003.649948898169</v>
      </c>
      <c r="F7907" s="4" t="s">
        <v>29</v>
      </c>
    </row>
    <row r="7908" spans="1:6" x14ac:dyDescent="0.25">
      <c r="A7908" s="4" t="s">
        <v>76</v>
      </c>
      <c r="B7908" s="4" t="s">
        <v>23</v>
      </c>
      <c r="C7908" s="4" t="s">
        <v>36</v>
      </c>
      <c r="D7908" s="4">
        <v>2027</v>
      </c>
      <c r="E7908" s="4">
        <v>2874.6117449281064</v>
      </c>
      <c r="F7908" s="4" t="s">
        <v>29</v>
      </c>
    </row>
    <row r="7909" spans="1:6" x14ac:dyDescent="0.25">
      <c r="A7909" s="4" t="s">
        <v>76</v>
      </c>
      <c r="B7909" s="4" t="s">
        <v>23</v>
      </c>
      <c r="C7909" s="4" t="s">
        <v>36</v>
      </c>
      <c r="D7909" s="4">
        <v>2028</v>
      </c>
      <c r="E7909" s="4">
        <v>2760.2548888815395</v>
      </c>
      <c r="F7909" s="4" t="s">
        <v>29</v>
      </c>
    </row>
    <row r="7910" spans="1:6" x14ac:dyDescent="0.25">
      <c r="A7910" s="4" t="s">
        <v>76</v>
      </c>
      <c r="B7910" s="4" t="s">
        <v>23</v>
      </c>
      <c r="C7910" s="4" t="s">
        <v>36</v>
      </c>
      <c r="D7910" s="4">
        <v>2029</v>
      </c>
      <c r="E7910" s="4">
        <v>2655.9913845497877</v>
      </c>
      <c r="F7910" s="4" t="s">
        <v>29</v>
      </c>
    </row>
    <row r="7911" spans="1:6" x14ac:dyDescent="0.25">
      <c r="A7911" s="4" t="s">
        <v>76</v>
      </c>
      <c r="B7911" s="4" t="s">
        <v>23</v>
      </c>
      <c r="C7911" s="4" t="s">
        <v>36</v>
      </c>
      <c r="D7911" s="4">
        <v>2030</v>
      </c>
      <c r="E7911" s="4">
        <v>2558.9056227911856</v>
      </c>
      <c r="F7911" s="4" t="s">
        <v>29</v>
      </c>
    </row>
    <row r="7912" spans="1:6" x14ac:dyDescent="0.25">
      <c r="A7912" s="4" t="s">
        <v>76</v>
      </c>
      <c r="B7912" s="4" t="s">
        <v>23</v>
      </c>
      <c r="C7912" s="4" t="s">
        <v>36</v>
      </c>
      <c r="D7912" s="4">
        <v>2031</v>
      </c>
      <c r="E7912" s="4">
        <v>2469.2318249771606</v>
      </c>
      <c r="F7912" s="4" t="s">
        <v>29</v>
      </c>
    </row>
    <row r="7913" spans="1:6" x14ac:dyDescent="0.25">
      <c r="A7913" s="4" t="s">
        <v>76</v>
      </c>
      <c r="B7913" s="4" t="s">
        <v>23</v>
      </c>
      <c r="C7913" s="4" t="s">
        <v>36</v>
      </c>
      <c r="D7913" s="4">
        <v>2032</v>
      </c>
      <c r="E7913" s="4">
        <v>2387.5343287029964</v>
      </c>
      <c r="F7913" s="4" t="s">
        <v>29</v>
      </c>
    </row>
    <row r="7914" spans="1:6" x14ac:dyDescent="0.25">
      <c r="A7914" s="4" t="s">
        <v>76</v>
      </c>
      <c r="B7914" s="4" t="s">
        <v>23</v>
      </c>
      <c r="C7914" s="4" t="s">
        <v>36</v>
      </c>
      <c r="D7914" s="4">
        <v>2033</v>
      </c>
      <c r="E7914" s="4">
        <v>2314.1388429422491</v>
      </c>
      <c r="F7914" s="4" t="s">
        <v>29</v>
      </c>
    </row>
    <row r="7915" spans="1:6" x14ac:dyDescent="0.25">
      <c r="A7915" s="4" t="s">
        <v>76</v>
      </c>
      <c r="B7915" s="4" t="s">
        <v>23</v>
      </c>
      <c r="C7915" s="4" t="s">
        <v>36</v>
      </c>
      <c r="D7915" s="4">
        <v>2034</v>
      </c>
      <c r="E7915" s="4">
        <v>2248.3597716889208</v>
      </c>
      <c r="F7915" s="4" t="s">
        <v>29</v>
      </c>
    </row>
    <row r="7916" spans="1:6" x14ac:dyDescent="0.25">
      <c r="A7916" s="4" t="s">
        <v>76</v>
      </c>
      <c r="B7916" s="4" t="s">
        <v>23</v>
      </c>
      <c r="C7916" s="4" t="s">
        <v>36</v>
      </c>
      <c r="D7916" s="4">
        <v>2035</v>
      </c>
      <c r="E7916" s="4">
        <v>2189.3979119404908</v>
      </c>
      <c r="F7916" s="4" t="s">
        <v>29</v>
      </c>
    </row>
    <row r="7917" spans="1:6" x14ac:dyDescent="0.25">
      <c r="A7917" s="4" t="s">
        <v>76</v>
      </c>
      <c r="B7917" s="4" t="s">
        <v>23</v>
      </c>
      <c r="C7917" s="4" t="s">
        <v>36</v>
      </c>
      <c r="D7917" s="4">
        <v>2036</v>
      </c>
      <c r="E7917" s="4">
        <v>2132.6962164130364</v>
      </c>
      <c r="F7917" s="4" t="s">
        <v>29</v>
      </c>
    </row>
    <row r="7918" spans="1:6" x14ac:dyDescent="0.25">
      <c r="A7918" s="4" t="s">
        <v>76</v>
      </c>
      <c r="B7918" s="4" t="s">
        <v>23</v>
      </c>
      <c r="C7918" s="4" t="s">
        <v>36</v>
      </c>
      <c r="D7918" s="4">
        <v>2037</v>
      </c>
      <c r="E7918" s="4">
        <v>2064.174173304094</v>
      </c>
      <c r="F7918" s="4" t="s">
        <v>29</v>
      </c>
    </row>
    <row r="7919" spans="1:6" x14ac:dyDescent="0.25">
      <c r="A7919" s="4" t="s">
        <v>76</v>
      </c>
      <c r="B7919" s="4" t="s">
        <v>23</v>
      </c>
      <c r="C7919" s="4" t="s">
        <v>36</v>
      </c>
      <c r="D7919" s="4">
        <v>2038</v>
      </c>
      <c r="E7919" s="4">
        <v>1995.7812333381444</v>
      </c>
      <c r="F7919" s="4" t="s">
        <v>29</v>
      </c>
    </row>
    <row r="7920" spans="1:6" x14ac:dyDescent="0.25">
      <c r="A7920" s="4" t="s">
        <v>76</v>
      </c>
      <c r="B7920" s="4" t="s">
        <v>23</v>
      </c>
      <c r="C7920" s="4" t="s">
        <v>36</v>
      </c>
      <c r="D7920" s="4">
        <v>2039</v>
      </c>
      <c r="E7920" s="4">
        <v>1932.0846954080873</v>
      </c>
      <c r="F7920" s="4" t="s">
        <v>29</v>
      </c>
    </row>
    <row r="7921" spans="1:6" x14ac:dyDescent="0.25">
      <c r="A7921" s="4" t="s">
        <v>76</v>
      </c>
      <c r="B7921" s="4" t="s">
        <v>23</v>
      </c>
      <c r="C7921" s="4" t="s">
        <v>36</v>
      </c>
      <c r="D7921" s="4">
        <v>2040</v>
      </c>
      <c r="E7921" s="4">
        <v>1870.8345944335927</v>
      </c>
      <c r="F7921" s="4" t="s">
        <v>29</v>
      </c>
    </row>
    <row r="7922" spans="1:6" x14ac:dyDescent="0.25">
      <c r="A7922" s="4" t="s">
        <v>77</v>
      </c>
      <c r="B7922" s="4" t="s">
        <v>1</v>
      </c>
      <c r="C7922" s="4" t="s">
        <v>36</v>
      </c>
      <c r="D7922" s="4">
        <v>2005</v>
      </c>
      <c r="E7922" s="4">
        <v>380</v>
      </c>
      <c r="F7922" s="4" t="s">
        <v>29</v>
      </c>
    </row>
    <row r="7923" spans="1:6" x14ac:dyDescent="0.25">
      <c r="A7923" s="4" t="s">
        <v>77</v>
      </c>
      <c r="B7923" s="4" t="s">
        <v>1</v>
      </c>
      <c r="C7923" s="4" t="s">
        <v>36</v>
      </c>
      <c r="D7923" s="4">
        <v>2006</v>
      </c>
      <c r="E7923" s="4">
        <v>340</v>
      </c>
      <c r="F7923" s="4" t="s">
        <v>29</v>
      </c>
    </row>
    <row r="7924" spans="1:6" x14ac:dyDescent="0.25">
      <c r="A7924" s="4" t="s">
        <v>77</v>
      </c>
      <c r="B7924" s="4" t="s">
        <v>1</v>
      </c>
      <c r="C7924" s="4" t="s">
        <v>36</v>
      </c>
      <c r="D7924" s="4">
        <v>2007</v>
      </c>
      <c r="E7924" s="4">
        <v>300</v>
      </c>
      <c r="F7924" s="4" t="s">
        <v>29</v>
      </c>
    </row>
    <row r="7925" spans="1:6" x14ac:dyDescent="0.25">
      <c r="A7925" s="4" t="s">
        <v>77</v>
      </c>
      <c r="B7925" s="4" t="s">
        <v>1</v>
      </c>
      <c r="C7925" s="4" t="s">
        <v>36</v>
      </c>
      <c r="D7925" s="4">
        <v>2008</v>
      </c>
      <c r="E7925" s="4">
        <v>270</v>
      </c>
      <c r="F7925" s="4" t="s">
        <v>29</v>
      </c>
    </row>
    <row r="7926" spans="1:6" x14ac:dyDescent="0.25">
      <c r="A7926" s="4" t="s">
        <v>77</v>
      </c>
      <c r="B7926" s="4" t="s">
        <v>1</v>
      </c>
      <c r="C7926" s="4" t="s">
        <v>36</v>
      </c>
      <c r="D7926" s="4">
        <v>2009</v>
      </c>
      <c r="E7926" s="4">
        <v>250</v>
      </c>
      <c r="F7926" s="4" t="s">
        <v>29</v>
      </c>
    </row>
    <row r="7927" spans="1:6" x14ac:dyDescent="0.25">
      <c r="A7927" s="4" t="s">
        <v>77</v>
      </c>
      <c r="B7927" s="4" t="s">
        <v>1</v>
      </c>
      <c r="C7927" s="4" t="s">
        <v>36</v>
      </c>
      <c r="D7927" s="4">
        <v>2010</v>
      </c>
      <c r="E7927" s="4">
        <v>240</v>
      </c>
      <c r="F7927" s="4" t="s">
        <v>29</v>
      </c>
    </row>
    <row r="7928" spans="1:6" x14ac:dyDescent="0.25">
      <c r="A7928" s="4" t="s">
        <v>77</v>
      </c>
      <c r="B7928" s="4" t="s">
        <v>1</v>
      </c>
      <c r="C7928" s="4" t="s">
        <v>36</v>
      </c>
      <c r="D7928" s="4">
        <v>2011</v>
      </c>
      <c r="E7928" s="4">
        <v>220</v>
      </c>
      <c r="F7928" s="4" t="s">
        <v>29</v>
      </c>
    </row>
    <row r="7929" spans="1:6" x14ac:dyDescent="0.25">
      <c r="A7929" s="4" t="s">
        <v>77</v>
      </c>
      <c r="B7929" s="4" t="s">
        <v>1</v>
      </c>
      <c r="C7929" s="4" t="s">
        <v>36</v>
      </c>
      <c r="D7929" s="4">
        <v>2012</v>
      </c>
      <c r="E7929" s="4">
        <v>220</v>
      </c>
      <c r="F7929" s="4" t="s">
        <v>29</v>
      </c>
    </row>
    <row r="7930" spans="1:6" x14ac:dyDescent="0.25">
      <c r="A7930" s="4" t="s">
        <v>77</v>
      </c>
      <c r="B7930" s="4" t="s">
        <v>1</v>
      </c>
      <c r="C7930" s="4" t="s">
        <v>36</v>
      </c>
      <c r="D7930" s="4">
        <v>2013</v>
      </c>
      <c r="E7930" s="4">
        <v>200</v>
      </c>
      <c r="F7930" s="4" t="s">
        <v>29</v>
      </c>
    </row>
    <row r="7931" spans="1:6" x14ac:dyDescent="0.25">
      <c r="A7931" s="4" t="s">
        <v>77</v>
      </c>
      <c r="B7931" s="4" t="s">
        <v>1</v>
      </c>
      <c r="C7931" s="4" t="s">
        <v>36</v>
      </c>
      <c r="D7931" s="4">
        <v>2014</v>
      </c>
      <c r="E7931" s="4">
        <v>190</v>
      </c>
      <c r="F7931" s="4" t="s">
        <v>29</v>
      </c>
    </row>
    <row r="7932" spans="1:6" x14ac:dyDescent="0.25">
      <c r="A7932" s="4" t="s">
        <v>77</v>
      </c>
      <c r="B7932" s="4" t="s">
        <v>1</v>
      </c>
      <c r="C7932" s="4" t="s">
        <v>36</v>
      </c>
      <c r="D7932" s="4">
        <v>2015</v>
      </c>
      <c r="E7932" s="4">
        <v>157.3838965693806</v>
      </c>
      <c r="F7932" s="4" t="s">
        <v>29</v>
      </c>
    </row>
    <row r="7933" spans="1:6" x14ac:dyDescent="0.25">
      <c r="A7933" s="4" t="s">
        <v>77</v>
      </c>
      <c r="B7933" s="4" t="s">
        <v>1</v>
      </c>
      <c r="C7933" s="4" t="s">
        <v>36</v>
      </c>
      <c r="D7933" s="4">
        <v>2016</v>
      </c>
      <c r="E7933" s="4">
        <v>155.15005760368666</v>
      </c>
      <c r="F7933" s="4" t="s">
        <v>29</v>
      </c>
    </row>
    <row r="7934" spans="1:6" x14ac:dyDescent="0.25">
      <c r="A7934" s="4" t="s">
        <v>77</v>
      </c>
      <c r="B7934" s="4" t="s">
        <v>1</v>
      </c>
      <c r="C7934" s="4" t="s">
        <v>36</v>
      </c>
      <c r="D7934" s="4">
        <v>2017</v>
      </c>
      <c r="E7934" s="4">
        <v>94</v>
      </c>
      <c r="F7934" s="4" t="s">
        <v>29</v>
      </c>
    </row>
    <row r="7935" spans="1:6" x14ac:dyDescent="0.25">
      <c r="A7935" s="4" t="s">
        <v>77</v>
      </c>
      <c r="B7935" s="4" t="s">
        <v>1</v>
      </c>
      <c r="C7935" s="4" t="s">
        <v>36</v>
      </c>
      <c r="D7935" s="4">
        <v>2018</v>
      </c>
      <c r="E7935" s="4">
        <v>124</v>
      </c>
      <c r="F7935" s="4" t="s">
        <v>29</v>
      </c>
    </row>
    <row r="7936" spans="1:6" x14ac:dyDescent="0.25">
      <c r="A7936" s="4" t="s">
        <v>77</v>
      </c>
      <c r="B7936" s="4" t="s">
        <v>1</v>
      </c>
      <c r="C7936" s="4" t="s">
        <v>36</v>
      </c>
      <c r="D7936" s="4">
        <v>2019</v>
      </c>
      <c r="E7936" s="4">
        <v>129</v>
      </c>
      <c r="F7936" s="4" t="s">
        <v>29</v>
      </c>
    </row>
    <row r="7937" spans="1:6" x14ac:dyDescent="0.25">
      <c r="A7937" s="4" t="s">
        <v>77</v>
      </c>
      <c r="B7937" s="4" t="s">
        <v>1</v>
      </c>
      <c r="C7937" s="4" t="s">
        <v>36</v>
      </c>
      <c r="D7937" s="4">
        <v>2020</v>
      </c>
      <c r="E7937" s="4">
        <v>135</v>
      </c>
      <c r="F7937" s="4" t="s">
        <v>29</v>
      </c>
    </row>
    <row r="7938" spans="1:6" x14ac:dyDescent="0.25">
      <c r="A7938" s="4" t="s">
        <v>77</v>
      </c>
      <c r="B7938" s="4" t="s">
        <v>1</v>
      </c>
      <c r="C7938" s="4" t="s">
        <v>36</v>
      </c>
      <c r="D7938" s="4">
        <v>2021</v>
      </c>
      <c r="E7938" s="4">
        <v>147.54616102251788</v>
      </c>
      <c r="F7938" s="4" t="s">
        <v>29</v>
      </c>
    </row>
    <row r="7939" spans="1:6" x14ac:dyDescent="0.25">
      <c r="A7939" s="4" t="s">
        <v>77</v>
      </c>
      <c r="B7939" s="4" t="s">
        <v>1</v>
      </c>
      <c r="C7939" s="4" t="s">
        <v>36</v>
      </c>
      <c r="D7939" s="4">
        <v>2022</v>
      </c>
      <c r="E7939" s="4">
        <v>146.0706994122927</v>
      </c>
      <c r="F7939" s="4" t="s">
        <v>29</v>
      </c>
    </row>
    <row r="7940" spans="1:6" x14ac:dyDescent="0.25">
      <c r="A7940" s="4" t="s">
        <v>77</v>
      </c>
      <c r="B7940" s="4" t="s">
        <v>1</v>
      </c>
      <c r="C7940" s="4" t="s">
        <v>36</v>
      </c>
      <c r="D7940" s="4">
        <v>2023</v>
      </c>
      <c r="E7940" s="4">
        <v>144.60999241816978</v>
      </c>
      <c r="F7940" s="4" t="s">
        <v>29</v>
      </c>
    </row>
    <row r="7941" spans="1:6" x14ac:dyDescent="0.25">
      <c r="A7941" s="4" t="s">
        <v>77</v>
      </c>
      <c r="B7941" s="4" t="s">
        <v>1</v>
      </c>
      <c r="C7941" s="4" t="s">
        <v>36</v>
      </c>
      <c r="D7941" s="4">
        <v>2024</v>
      </c>
      <c r="E7941" s="4">
        <v>143.16389249398807</v>
      </c>
      <c r="F7941" s="4" t="s">
        <v>29</v>
      </c>
    </row>
    <row r="7942" spans="1:6" x14ac:dyDescent="0.25">
      <c r="A7942" s="4" t="s">
        <v>77</v>
      </c>
      <c r="B7942" s="4" t="s">
        <v>1</v>
      </c>
      <c r="C7942" s="4" t="s">
        <v>36</v>
      </c>
      <c r="D7942" s="4">
        <v>2025</v>
      </c>
      <c r="E7942" s="4">
        <v>141.7322535690482</v>
      </c>
      <c r="F7942" s="4" t="s">
        <v>29</v>
      </c>
    </row>
    <row r="7943" spans="1:6" x14ac:dyDescent="0.25">
      <c r="A7943" s="4" t="s">
        <v>77</v>
      </c>
      <c r="B7943" s="4" t="s">
        <v>1</v>
      </c>
      <c r="C7943" s="4" t="s">
        <v>36</v>
      </c>
      <c r="D7943" s="4">
        <v>2026</v>
      </c>
      <c r="E7943" s="4">
        <v>121.45589086151206</v>
      </c>
      <c r="F7943" s="4" t="s">
        <v>29</v>
      </c>
    </row>
    <row r="7944" spans="1:6" x14ac:dyDescent="0.25">
      <c r="A7944" s="4" t="s">
        <v>77</v>
      </c>
      <c r="B7944" s="4" t="s">
        <v>1</v>
      </c>
      <c r="C7944" s="4" t="s">
        <v>36</v>
      </c>
      <c r="D7944" s="4">
        <v>2027</v>
      </c>
      <c r="E7944" s="4">
        <v>119.06677304428182</v>
      </c>
      <c r="F7944" s="4" t="s">
        <v>29</v>
      </c>
    </row>
    <row r="7945" spans="1:6" x14ac:dyDescent="0.25">
      <c r="A7945" s="4" t="s">
        <v>77</v>
      </c>
      <c r="B7945" s="4" t="s">
        <v>1</v>
      </c>
      <c r="C7945" s="4" t="s">
        <v>36</v>
      </c>
      <c r="D7945" s="4">
        <v>2028</v>
      </c>
      <c r="E7945" s="4">
        <v>115.01087867478105</v>
      </c>
      <c r="F7945" s="4" t="s">
        <v>29</v>
      </c>
    </row>
    <row r="7946" spans="1:6" x14ac:dyDescent="0.25">
      <c r="A7946" s="4" t="s">
        <v>77</v>
      </c>
      <c r="B7946" s="4" t="s">
        <v>1</v>
      </c>
      <c r="C7946" s="4" t="s">
        <v>36</v>
      </c>
      <c r="D7946" s="4">
        <v>2029</v>
      </c>
      <c r="E7946" s="4">
        <v>118.89337693559942</v>
      </c>
      <c r="F7946" s="4" t="s">
        <v>29</v>
      </c>
    </row>
    <row r="7947" spans="1:6" x14ac:dyDescent="0.25">
      <c r="A7947" s="4" t="s">
        <v>77</v>
      </c>
      <c r="B7947" s="4" t="s">
        <v>1</v>
      </c>
      <c r="C7947" s="4" t="s">
        <v>36</v>
      </c>
      <c r="D7947" s="4">
        <v>2030</v>
      </c>
      <c r="E7947" s="4">
        <v>118.46587008028297</v>
      </c>
      <c r="F7947" s="4" t="s">
        <v>29</v>
      </c>
    </row>
    <row r="7948" spans="1:6" x14ac:dyDescent="0.25">
      <c r="A7948" s="4" t="s">
        <v>77</v>
      </c>
      <c r="B7948" s="4" t="s">
        <v>1</v>
      </c>
      <c r="C7948" s="4" t="s">
        <v>36</v>
      </c>
      <c r="D7948" s="4">
        <v>2031</v>
      </c>
      <c r="E7948" s="4">
        <v>116.06495735771263</v>
      </c>
      <c r="F7948" s="4" t="s">
        <v>29</v>
      </c>
    </row>
    <row r="7949" spans="1:6" x14ac:dyDescent="0.25">
      <c r="A7949" s="4" t="s">
        <v>77</v>
      </c>
      <c r="B7949" s="4" t="s">
        <v>1</v>
      </c>
      <c r="C7949" s="4" t="s">
        <v>36</v>
      </c>
      <c r="D7949" s="4">
        <v>2032</v>
      </c>
      <c r="E7949" s="4">
        <v>114.69028296925232</v>
      </c>
      <c r="F7949" s="4" t="s">
        <v>29</v>
      </c>
    </row>
    <row r="7950" spans="1:6" x14ac:dyDescent="0.25">
      <c r="A7950" s="4" t="s">
        <v>77</v>
      </c>
      <c r="B7950" s="4" t="s">
        <v>1</v>
      </c>
      <c r="C7950" s="4" t="s">
        <v>36</v>
      </c>
      <c r="D7950" s="4">
        <v>2033</v>
      </c>
      <c r="E7950" s="4">
        <v>112.54671347289313</v>
      </c>
      <c r="F7950" s="4" t="s">
        <v>29</v>
      </c>
    </row>
    <row r="7951" spans="1:6" x14ac:dyDescent="0.25">
      <c r="A7951" s="4" t="s">
        <v>77</v>
      </c>
      <c r="B7951" s="4" t="s">
        <v>1</v>
      </c>
      <c r="C7951" s="4" t="s">
        <v>36</v>
      </c>
      <c r="D7951" s="4">
        <v>2034</v>
      </c>
      <c r="E7951" s="4">
        <v>110.54808061709718</v>
      </c>
      <c r="F7951" s="4" t="s">
        <v>29</v>
      </c>
    </row>
    <row r="7952" spans="1:6" x14ac:dyDescent="0.25">
      <c r="A7952" s="4" t="s">
        <v>77</v>
      </c>
      <c r="B7952" s="4" t="s">
        <v>1</v>
      </c>
      <c r="C7952" s="4" t="s">
        <v>36</v>
      </c>
      <c r="D7952" s="4">
        <v>2035</v>
      </c>
      <c r="E7952" s="4">
        <v>109.2413990804032</v>
      </c>
      <c r="F7952" s="4" t="s">
        <v>29</v>
      </c>
    </row>
    <row r="7953" spans="1:6" x14ac:dyDescent="0.25">
      <c r="A7953" s="4" t="s">
        <v>77</v>
      </c>
      <c r="B7953" s="4" t="s">
        <v>1</v>
      </c>
      <c r="C7953" s="4" t="s">
        <v>36</v>
      </c>
      <c r="D7953" s="4">
        <v>2036</v>
      </c>
      <c r="E7953" s="4">
        <v>107.13898508959919</v>
      </c>
      <c r="F7953" s="4" t="s">
        <v>29</v>
      </c>
    </row>
    <row r="7954" spans="1:6" x14ac:dyDescent="0.25">
      <c r="A7954" s="4" t="s">
        <v>77</v>
      </c>
      <c r="B7954" s="4" t="s">
        <v>1</v>
      </c>
      <c r="C7954" s="4" t="s">
        <v>36</v>
      </c>
      <c r="D7954" s="4">
        <v>2037</v>
      </c>
      <c r="E7954" s="4">
        <v>104.54006640271758</v>
      </c>
      <c r="F7954" s="4" t="s">
        <v>29</v>
      </c>
    </row>
    <row r="7955" spans="1:6" x14ac:dyDescent="0.25">
      <c r="A7955" s="4" t="s">
        <v>77</v>
      </c>
      <c r="B7955" s="4" t="s">
        <v>1</v>
      </c>
      <c r="C7955" s="4" t="s">
        <v>36</v>
      </c>
      <c r="D7955" s="4">
        <v>2038</v>
      </c>
      <c r="E7955" s="4">
        <v>102.298845524398</v>
      </c>
      <c r="F7955" s="4" t="s">
        <v>29</v>
      </c>
    </row>
    <row r="7956" spans="1:6" x14ac:dyDescent="0.25">
      <c r="A7956" s="4" t="s">
        <v>77</v>
      </c>
      <c r="B7956" s="4" t="s">
        <v>1</v>
      </c>
      <c r="C7956" s="4" t="s">
        <v>36</v>
      </c>
      <c r="D7956" s="4">
        <v>2039</v>
      </c>
      <c r="E7956" s="4">
        <v>100.56919040248737</v>
      </c>
      <c r="F7956" s="4" t="s">
        <v>29</v>
      </c>
    </row>
    <row r="7957" spans="1:6" x14ac:dyDescent="0.25">
      <c r="A7957" s="4" t="s">
        <v>77</v>
      </c>
      <c r="B7957" s="4" t="s">
        <v>1</v>
      </c>
      <c r="C7957" s="4" t="s">
        <v>36</v>
      </c>
      <c r="D7957" s="4">
        <v>2040</v>
      </c>
      <c r="E7957" s="4">
        <v>97.7008451064345</v>
      </c>
      <c r="F7957" s="4" t="s">
        <v>29</v>
      </c>
    </row>
    <row r="7958" spans="1:6" x14ac:dyDescent="0.25">
      <c r="A7958" s="4" t="s">
        <v>77</v>
      </c>
      <c r="B7958" s="4" t="s">
        <v>23</v>
      </c>
      <c r="C7958" s="4" t="s">
        <v>36</v>
      </c>
      <c r="D7958" s="4">
        <v>2005</v>
      </c>
      <c r="E7958" s="4">
        <v>380</v>
      </c>
      <c r="F7958" s="4" t="s">
        <v>29</v>
      </c>
    </row>
    <row r="7959" spans="1:6" x14ac:dyDescent="0.25">
      <c r="A7959" s="4" t="s">
        <v>77</v>
      </c>
      <c r="B7959" s="4" t="s">
        <v>23</v>
      </c>
      <c r="C7959" s="4" t="s">
        <v>36</v>
      </c>
      <c r="D7959" s="4">
        <v>2006</v>
      </c>
      <c r="E7959" s="4">
        <v>340</v>
      </c>
      <c r="F7959" s="4" t="s">
        <v>29</v>
      </c>
    </row>
    <row r="7960" spans="1:6" x14ac:dyDescent="0.25">
      <c r="A7960" s="4" t="s">
        <v>77</v>
      </c>
      <c r="B7960" s="4" t="s">
        <v>23</v>
      </c>
      <c r="C7960" s="4" t="s">
        <v>36</v>
      </c>
      <c r="D7960" s="4">
        <v>2007</v>
      </c>
      <c r="E7960" s="4">
        <v>300</v>
      </c>
      <c r="F7960" s="4" t="s">
        <v>29</v>
      </c>
    </row>
    <row r="7961" spans="1:6" x14ac:dyDescent="0.25">
      <c r="A7961" s="4" t="s">
        <v>77</v>
      </c>
      <c r="B7961" s="4" t="s">
        <v>23</v>
      </c>
      <c r="C7961" s="4" t="s">
        <v>36</v>
      </c>
      <c r="D7961" s="4">
        <v>2008</v>
      </c>
      <c r="E7961" s="4">
        <v>270</v>
      </c>
      <c r="F7961" s="4" t="s">
        <v>29</v>
      </c>
    </row>
    <row r="7962" spans="1:6" x14ac:dyDescent="0.25">
      <c r="A7962" s="4" t="s">
        <v>77</v>
      </c>
      <c r="B7962" s="4" t="s">
        <v>23</v>
      </c>
      <c r="C7962" s="4" t="s">
        <v>36</v>
      </c>
      <c r="D7962" s="4">
        <v>2009</v>
      </c>
      <c r="E7962" s="4">
        <v>250</v>
      </c>
      <c r="F7962" s="4" t="s">
        <v>29</v>
      </c>
    </row>
    <row r="7963" spans="1:6" x14ac:dyDescent="0.25">
      <c r="A7963" s="4" t="s">
        <v>77</v>
      </c>
      <c r="B7963" s="4" t="s">
        <v>23</v>
      </c>
      <c r="C7963" s="4" t="s">
        <v>36</v>
      </c>
      <c r="D7963" s="4">
        <v>2010</v>
      </c>
      <c r="E7963" s="4">
        <v>240</v>
      </c>
      <c r="F7963" s="4" t="s">
        <v>29</v>
      </c>
    </row>
    <row r="7964" spans="1:6" x14ac:dyDescent="0.25">
      <c r="A7964" s="4" t="s">
        <v>77</v>
      </c>
      <c r="B7964" s="4" t="s">
        <v>23</v>
      </c>
      <c r="C7964" s="4" t="s">
        <v>36</v>
      </c>
      <c r="D7964" s="4">
        <v>2011</v>
      </c>
      <c r="E7964" s="4">
        <v>220</v>
      </c>
      <c r="F7964" s="4" t="s">
        <v>29</v>
      </c>
    </row>
    <row r="7965" spans="1:6" x14ac:dyDescent="0.25">
      <c r="A7965" s="4" t="s">
        <v>77</v>
      </c>
      <c r="B7965" s="4" t="s">
        <v>23</v>
      </c>
      <c r="C7965" s="4" t="s">
        <v>36</v>
      </c>
      <c r="D7965" s="4">
        <v>2012</v>
      </c>
      <c r="E7965" s="4">
        <v>220</v>
      </c>
      <c r="F7965" s="4" t="s">
        <v>29</v>
      </c>
    </row>
    <row r="7966" spans="1:6" x14ac:dyDescent="0.25">
      <c r="A7966" s="4" t="s">
        <v>77</v>
      </c>
      <c r="B7966" s="4" t="s">
        <v>23</v>
      </c>
      <c r="C7966" s="4" t="s">
        <v>36</v>
      </c>
      <c r="D7966" s="4">
        <v>2013</v>
      </c>
      <c r="E7966" s="4">
        <v>200</v>
      </c>
      <c r="F7966" s="4" t="s">
        <v>29</v>
      </c>
    </row>
    <row r="7967" spans="1:6" x14ac:dyDescent="0.25">
      <c r="A7967" s="4" t="s">
        <v>77</v>
      </c>
      <c r="B7967" s="4" t="s">
        <v>23</v>
      </c>
      <c r="C7967" s="4" t="s">
        <v>36</v>
      </c>
      <c r="D7967" s="4">
        <v>2014</v>
      </c>
      <c r="E7967" s="4">
        <v>190</v>
      </c>
      <c r="F7967" s="4" t="s">
        <v>29</v>
      </c>
    </row>
    <row r="7968" spans="1:6" x14ac:dyDescent="0.25">
      <c r="A7968" s="4" t="s">
        <v>77</v>
      </c>
      <c r="B7968" s="4" t="s">
        <v>23</v>
      </c>
      <c r="C7968" s="4" t="s">
        <v>36</v>
      </c>
      <c r="D7968" s="4">
        <v>2015</v>
      </c>
      <c r="E7968" s="4">
        <v>157.3838965693806</v>
      </c>
      <c r="F7968" s="4" t="s">
        <v>29</v>
      </c>
    </row>
    <row r="7969" spans="1:6" x14ac:dyDescent="0.25">
      <c r="A7969" s="4" t="s">
        <v>77</v>
      </c>
      <c r="B7969" s="4" t="s">
        <v>23</v>
      </c>
      <c r="C7969" s="4" t="s">
        <v>36</v>
      </c>
      <c r="D7969" s="4">
        <v>2016</v>
      </c>
      <c r="E7969" s="4">
        <v>155.15005760368666</v>
      </c>
      <c r="F7969" s="4" t="s">
        <v>29</v>
      </c>
    </row>
    <row r="7970" spans="1:6" x14ac:dyDescent="0.25">
      <c r="A7970" s="4" t="s">
        <v>77</v>
      </c>
      <c r="B7970" s="4" t="s">
        <v>23</v>
      </c>
      <c r="C7970" s="4" t="s">
        <v>36</v>
      </c>
      <c r="D7970" s="4">
        <v>2017</v>
      </c>
      <c r="E7970" s="4">
        <v>94</v>
      </c>
      <c r="F7970" s="4" t="s">
        <v>29</v>
      </c>
    </row>
    <row r="7971" spans="1:6" x14ac:dyDescent="0.25">
      <c r="A7971" s="4" t="s">
        <v>77</v>
      </c>
      <c r="B7971" s="4" t="s">
        <v>23</v>
      </c>
      <c r="C7971" s="4" t="s">
        <v>36</v>
      </c>
      <c r="D7971" s="4">
        <v>2018</v>
      </c>
      <c r="E7971" s="4">
        <v>124</v>
      </c>
      <c r="F7971" s="4" t="s">
        <v>29</v>
      </c>
    </row>
    <row r="7972" spans="1:6" x14ac:dyDescent="0.25">
      <c r="A7972" s="4" t="s">
        <v>77</v>
      </c>
      <c r="B7972" s="4" t="s">
        <v>23</v>
      </c>
      <c r="C7972" s="4" t="s">
        <v>36</v>
      </c>
      <c r="D7972" s="4">
        <v>2019</v>
      </c>
      <c r="E7972" s="4">
        <v>129</v>
      </c>
      <c r="F7972" s="4" t="s">
        <v>29</v>
      </c>
    </row>
    <row r="7973" spans="1:6" x14ac:dyDescent="0.25">
      <c r="A7973" s="4" t="s">
        <v>77</v>
      </c>
      <c r="B7973" s="4" t="s">
        <v>23</v>
      </c>
      <c r="C7973" s="4" t="s">
        <v>36</v>
      </c>
      <c r="D7973" s="4">
        <v>2020</v>
      </c>
      <c r="E7973" s="4">
        <v>135</v>
      </c>
      <c r="F7973" s="4" t="s">
        <v>29</v>
      </c>
    </row>
    <row r="7974" spans="1:6" x14ac:dyDescent="0.25">
      <c r="A7974" s="4" t="s">
        <v>77</v>
      </c>
      <c r="B7974" s="4" t="s">
        <v>23</v>
      </c>
      <c r="C7974" s="4" t="s">
        <v>36</v>
      </c>
      <c r="D7974" s="4">
        <v>2021</v>
      </c>
      <c r="E7974" s="4">
        <v>147.54616102251788</v>
      </c>
      <c r="F7974" s="4" t="s">
        <v>29</v>
      </c>
    </row>
    <row r="7975" spans="1:6" x14ac:dyDescent="0.25">
      <c r="A7975" s="4" t="s">
        <v>77</v>
      </c>
      <c r="B7975" s="4" t="s">
        <v>23</v>
      </c>
      <c r="C7975" s="4" t="s">
        <v>36</v>
      </c>
      <c r="D7975" s="4">
        <v>2022</v>
      </c>
      <c r="E7975" s="4">
        <v>146.0706994122927</v>
      </c>
      <c r="F7975" s="4" t="s">
        <v>29</v>
      </c>
    </row>
    <row r="7976" spans="1:6" x14ac:dyDescent="0.25">
      <c r="A7976" s="4" t="s">
        <v>77</v>
      </c>
      <c r="B7976" s="4" t="s">
        <v>23</v>
      </c>
      <c r="C7976" s="4" t="s">
        <v>36</v>
      </c>
      <c r="D7976" s="4">
        <v>2023</v>
      </c>
      <c r="E7976" s="4">
        <v>144.60999241816978</v>
      </c>
      <c r="F7976" s="4" t="s">
        <v>29</v>
      </c>
    </row>
    <row r="7977" spans="1:6" x14ac:dyDescent="0.25">
      <c r="A7977" s="4" t="s">
        <v>77</v>
      </c>
      <c r="B7977" s="4" t="s">
        <v>23</v>
      </c>
      <c r="C7977" s="4" t="s">
        <v>36</v>
      </c>
      <c r="D7977" s="4">
        <v>2024</v>
      </c>
      <c r="E7977" s="4">
        <v>143.16389249398807</v>
      </c>
      <c r="F7977" s="4" t="s">
        <v>29</v>
      </c>
    </row>
    <row r="7978" spans="1:6" x14ac:dyDescent="0.25">
      <c r="A7978" s="4" t="s">
        <v>77</v>
      </c>
      <c r="B7978" s="4" t="s">
        <v>23</v>
      </c>
      <c r="C7978" s="4" t="s">
        <v>36</v>
      </c>
      <c r="D7978" s="4">
        <v>2025</v>
      </c>
      <c r="E7978" s="4">
        <v>141.7322535690482</v>
      </c>
      <c r="F7978" s="4" t="s">
        <v>29</v>
      </c>
    </row>
    <row r="7979" spans="1:6" x14ac:dyDescent="0.25">
      <c r="A7979" s="4" t="s">
        <v>77</v>
      </c>
      <c r="B7979" s="4" t="s">
        <v>23</v>
      </c>
      <c r="C7979" s="4" t="s">
        <v>36</v>
      </c>
      <c r="D7979" s="4">
        <v>2026</v>
      </c>
      <c r="E7979" s="4">
        <v>121.45589086151206</v>
      </c>
      <c r="F7979" s="4" t="s">
        <v>29</v>
      </c>
    </row>
    <row r="7980" spans="1:6" x14ac:dyDescent="0.25">
      <c r="A7980" s="4" t="s">
        <v>77</v>
      </c>
      <c r="B7980" s="4" t="s">
        <v>23</v>
      </c>
      <c r="C7980" s="4" t="s">
        <v>36</v>
      </c>
      <c r="D7980" s="4">
        <v>2027</v>
      </c>
      <c r="E7980" s="4">
        <v>119.06677304428182</v>
      </c>
      <c r="F7980" s="4" t="s">
        <v>29</v>
      </c>
    </row>
    <row r="7981" spans="1:6" x14ac:dyDescent="0.25">
      <c r="A7981" s="4" t="s">
        <v>77</v>
      </c>
      <c r="B7981" s="4" t="s">
        <v>23</v>
      </c>
      <c r="C7981" s="4" t="s">
        <v>36</v>
      </c>
      <c r="D7981" s="4">
        <v>2028</v>
      </c>
      <c r="E7981" s="4">
        <v>115.01087867478105</v>
      </c>
      <c r="F7981" s="4" t="s">
        <v>29</v>
      </c>
    </row>
    <row r="7982" spans="1:6" x14ac:dyDescent="0.25">
      <c r="A7982" s="4" t="s">
        <v>77</v>
      </c>
      <c r="B7982" s="4" t="s">
        <v>23</v>
      </c>
      <c r="C7982" s="4" t="s">
        <v>36</v>
      </c>
      <c r="D7982" s="4">
        <v>2029</v>
      </c>
      <c r="E7982" s="4">
        <v>118.89337693559942</v>
      </c>
      <c r="F7982" s="4" t="s">
        <v>29</v>
      </c>
    </row>
    <row r="7983" spans="1:6" x14ac:dyDescent="0.25">
      <c r="A7983" s="4" t="s">
        <v>77</v>
      </c>
      <c r="B7983" s="4" t="s">
        <v>23</v>
      </c>
      <c r="C7983" s="4" t="s">
        <v>36</v>
      </c>
      <c r="D7983" s="4">
        <v>2030</v>
      </c>
      <c r="E7983" s="4">
        <v>118.46587008028297</v>
      </c>
      <c r="F7983" s="4" t="s">
        <v>29</v>
      </c>
    </row>
    <row r="7984" spans="1:6" x14ac:dyDescent="0.25">
      <c r="A7984" s="4" t="s">
        <v>77</v>
      </c>
      <c r="B7984" s="4" t="s">
        <v>23</v>
      </c>
      <c r="C7984" s="4" t="s">
        <v>36</v>
      </c>
      <c r="D7984" s="4">
        <v>2031</v>
      </c>
      <c r="E7984" s="4">
        <v>116.06495735771263</v>
      </c>
      <c r="F7984" s="4" t="s">
        <v>29</v>
      </c>
    </row>
    <row r="7985" spans="1:6" x14ac:dyDescent="0.25">
      <c r="A7985" s="4" t="s">
        <v>77</v>
      </c>
      <c r="B7985" s="4" t="s">
        <v>23</v>
      </c>
      <c r="C7985" s="4" t="s">
        <v>36</v>
      </c>
      <c r="D7985" s="4">
        <v>2032</v>
      </c>
      <c r="E7985" s="4">
        <v>114.69028296925232</v>
      </c>
      <c r="F7985" s="4" t="s">
        <v>29</v>
      </c>
    </row>
    <row r="7986" spans="1:6" x14ac:dyDescent="0.25">
      <c r="A7986" s="4" t="s">
        <v>77</v>
      </c>
      <c r="B7986" s="4" t="s">
        <v>23</v>
      </c>
      <c r="C7986" s="4" t="s">
        <v>36</v>
      </c>
      <c r="D7986" s="4">
        <v>2033</v>
      </c>
      <c r="E7986" s="4">
        <v>112.54671347289313</v>
      </c>
      <c r="F7986" s="4" t="s">
        <v>29</v>
      </c>
    </row>
    <row r="7987" spans="1:6" x14ac:dyDescent="0.25">
      <c r="A7987" s="4" t="s">
        <v>77</v>
      </c>
      <c r="B7987" s="4" t="s">
        <v>23</v>
      </c>
      <c r="C7987" s="4" t="s">
        <v>36</v>
      </c>
      <c r="D7987" s="4">
        <v>2034</v>
      </c>
      <c r="E7987" s="4">
        <v>110.54808061709718</v>
      </c>
      <c r="F7987" s="4" t="s">
        <v>29</v>
      </c>
    </row>
    <row r="7988" spans="1:6" x14ac:dyDescent="0.25">
      <c r="A7988" s="4" t="s">
        <v>77</v>
      </c>
      <c r="B7988" s="4" t="s">
        <v>23</v>
      </c>
      <c r="C7988" s="4" t="s">
        <v>36</v>
      </c>
      <c r="D7988" s="4">
        <v>2035</v>
      </c>
      <c r="E7988" s="4">
        <v>109.2413990804032</v>
      </c>
      <c r="F7988" s="4" t="s">
        <v>29</v>
      </c>
    </row>
    <row r="7989" spans="1:6" x14ac:dyDescent="0.25">
      <c r="A7989" s="4" t="s">
        <v>77</v>
      </c>
      <c r="B7989" s="4" t="s">
        <v>23</v>
      </c>
      <c r="C7989" s="4" t="s">
        <v>36</v>
      </c>
      <c r="D7989" s="4">
        <v>2036</v>
      </c>
      <c r="E7989" s="4">
        <v>107.13898508959919</v>
      </c>
      <c r="F7989" s="4" t="s">
        <v>29</v>
      </c>
    </row>
    <row r="7990" spans="1:6" x14ac:dyDescent="0.25">
      <c r="A7990" s="4" t="s">
        <v>77</v>
      </c>
      <c r="B7990" s="4" t="s">
        <v>23</v>
      </c>
      <c r="C7990" s="4" t="s">
        <v>36</v>
      </c>
      <c r="D7990" s="4">
        <v>2037</v>
      </c>
      <c r="E7990" s="4">
        <v>104.54006640271758</v>
      </c>
      <c r="F7990" s="4" t="s">
        <v>29</v>
      </c>
    </row>
    <row r="7991" spans="1:6" x14ac:dyDescent="0.25">
      <c r="A7991" s="4" t="s">
        <v>77</v>
      </c>
      <c r="B7991" s="4" t="s">
        <v>23</v>
      </c>
      <c r="C7991" s="4" t="s">
        <v>36</v>
      </c>
      <c r="D7991" s="4">
        <v>2038</v>
      </c>
      <c r="E7991" s="4">
        <v>102.298845524398</v>
      </c>
      <c r="F7991" s="4" t="s">
        <v>29</v>
      </c>
    </row>
    <row r="7992" spans="1:6" x14ac:dyDescent="0.25">
      <c r="A7992" s="4" t="s">
        <v>77</v>
      </c>
      <c r="B7992" s="4" t="s">
        <v>23</v>
      </c>
      <c r="C7992" s="4" t="s">
        <v>36</v>
      </c>
      <c r="D7992" s="4">
        <v>2039</v>
      </c>
      <c r="E7992" s="4">
        <v>100.56919040248737</v>
      </c>
      <c r="F7992" s="4" t="s">
        <v>29</v>
      </c>
    </row>
    <row r="7993" spans="1:6" x14ac:dyDescent="0.25">
      <c r="A7993" s="4" t="s">
        <v>77</v>
      </c>
      <c r="B7993" s="4" t="s">
        <v>23</v>
      </c>
      <c r="C7993" s="4" t="s">
        <v>36</v>
      </c>
      <c r="D7993" s="4">
        <v>2040</v>
      </c>
      <c r="E7993" s="4">
        <v>97.7008451064345</v>
      </c>
      <c r="F7993" s="4" t="s">
        <v>29</v>
      </c>
    </row>
    <row r="7994" spans="1:6" x14ac:dyDescent="0.25">
      <c r="A7994" s="4" t="s">
        <v>78</v>
      </c>
      <c r="B7994" s="4" t="s">
        <v>1</v>
      </c>
      <c r="C7994" s="4" t="s">
        <v>36</v>
      </c>
      <c r="D7994" s="4">
        <v>2005</v>
      </c>
      <c r="E7994" s="4">
        <v>0</v>
      </c>
      <c r="F7994" s="4" t="s">
        <v>29</v>
      </c>
    </row>
    <row r="7995" spans="1:6" x14ac:dyDescent="0.25">
      <c r="A7995" s="4" t="s">
        <v>78</v>
      </c>
      <c r="B7995" s="4" t="s">
        <v>1</v>
      </c>
      <c r="C7995" s="4" t="s">
        <v>36</v>
      </c>
      <c r="D7995" s="4">
        <v>2006</v>
      </c>
      <c r="E7995" s="4">
        <v>0</v>
      </c>
      <c r="F7995" s="4" t="s">
        <v>29</v>
      </c>
    </row>
    <row r="7996" spans="1:6" x14ac:dyDescent="0.25">
      <c r="A7996" s="4" t="s">
        <v>78</v>
      </c>
      <c r="B7996" s="4" t="s">
        <v>1</v>
      </c>
      <c r="C7996" s="4" t="s">
        <v>36</v>
      </c>
      <c r="D7996" s="4">
        <v>2007</v>
      </c>
      <c r="E7996" s="4">
        <v>0</v>
      </c>
      <c r="F7996" s="4" t="s">
        <v>29</v>
      </c>
    </row>
    <row r="7997" spans="1:6" x14ac:dyDescent="0.25">
      <c r="A7997" s="4" t="s">
        <v>78</v>
      </c>
      <c r="B7997" s="4" t="s">
        <v>1</v>
      </c>
      <c r="C7997" s="4" t="s">
        <v>36</v>
      </c>
      <c r="D7997" s="4">
        <v>2008</v>
      </c>
      <c r="E7997" s="4">
        <v>0</v>
      </c>
      <c r="F7997" s="4" t="s">
        <v>29</v>
      </c>
    </row>
    <row r="7998" spans="1:6" x14ac:dyDescent="0.25">
      <c r="A7998" s="4" t="s">
        <v>78</v>
      </c>
      <c r="B7998" s="4" t="s">
        <v>1</v>
      </c>
      <c r="C7998" s="4" t="s">
        <v>36</v>
      </c>
      <c r="D7998" s="4">
        <v>2009</v>
      </c>
      <c r="E7998" s="4">
        <v>0</v>
      </c>
      <c r="F7998" s="4" t="s">
        <v>29</v>
      </c>
    </row>
    <row r="7999" spans="1:6" x14ac:dyDescent="0.25">
      <c r="A7999" s="4" t="s">
        <v>78</v>
      </c>
      <c r="B7999" s="4" t="s">
        <v>1</v>
      </c>
      <c r="C7999" s="4" t="s">
        <v>36</v>
      </c>
      <c r="D7999" s="4">
        <v>2010</v>
      </c>
      <c r="E7999" s="4">
        <v>0</v>
      </c>
      <c r="F7999" s="4" t="s">
        <v>29</v>
      </c>
    </row>
    <row r="8000" spans="1:6" x14ac:dyDescent="0.25">
      <c r="A8000" s="4" t="s">
        <v>78</v>
      </c>
      <c r="B8000" s="4" t="s">
        <v>1</v>
      </c>
      <c r="C8000" s="4" t="s">
        <v>36</v>
      </c>
      <c r="D8000" s="4">
        <v>2011</v>
      </c>
      <c r="E8000" s="4">
        <v>0</v>
      </c>
      <c r="F8000" s="4" t="s">
        <v>29</v>
      </c>
    </row>
    <row r="8001" spans="1:6" x14ac:dyDescent="0.25">
      <c r="A8001" s="4" t="s">
        <v>78</v>
      </c>
      <c r="B8001" s="4" t="s">
        <v>1</v>
      </c>
      <c r="C8001" s="4" t="s">
        <v>36</v>
      </c>
      <c r="D8001" s="4">
        <v>2012</v>
      </c>
      <c r="E8001" s="4">
        <v>0</v>
      </c>
      <c r="F8001" s="4" t="s">
        <v>29</v>
      </c>
    </row>
    <row r="8002" spans="1:6" x14ac:dyDescent="0.25">
      <c r="A8002" s="4" t="s">
        <v>78</v>
      </c>
      <c r="B8002" s="4" t="s">
        <v>1</v>
      </c>
      <c r="C8002" s="4" t="s">
        <v>36</v>
      </c>
      <c r="D8002" s="4">
        <v>2013</v>
      </c>
      <c r="E8002" s="4">
        <v>0</v>
      </c>
      <c r="F8002" s="4" t="s">
        <v>29</v>
      </c>
    </row>
    <row r="8003" spans="1:6" x14ac:dyDescent="0.25">
      <c r="A8003" s="4" t="s">
        <v>78</v>
      </c>
      <c r="B8003" s="4" t="s">
        <v>1</v>
      </c>
      <c r="C8003" s="4" t="s">
        <v>36</v>
      </c>
      <c r="D8003" s="4">
        <v>2014</v>
      </c>
      <c r="E8003" s="4">
        <v>0</v>
      </c>
      <c r="F8003" s="4" t="s">
        <v>29</v>
      </c>
    </row>
    <row r="8004" spans="1:6" x14ac:dyDescent="0.25">
      <c r="A8004" s="4" t="s">
        <v>78</v>
      </c>
      <c r="B8004" s="4" t="s">
        <v>1</v>
      </c>
      <c r="C8004" s="4" t="s">
        <v>36</v>
      </c>
      <c r="D8004" s="4">
        <v>2015</v>
      </c>
      <c r="E8004" s="4">
        <v>0</v>
      </c>
      <c r="F8004" s="4" t="s">
        <v>29</v>
      </c>
    </row>
    <row r="8005" spans="1:6" x14ac:dyDescent="0.25">
      <c r="A8005" s="4" t="s">
        <v>78</v>
      </c>
      <c r="B8005" s="4" t="s">
        <v>1</v>
      </c>
      <c r="C8005" s="4" t="s">
        <v>36</v>
      </c>
      <c r="D8005" s="4">
        <v>2016</v>
      </c>
      <c r="E8005" s="4">
        <v>0</v>
      </c>
      <c r="F8005" s="4" t="s">
        <v>29</v>
      </c>
    </row>
    <row r="8006" spans="1:6" x14ac:dyDescent="0.25">
      <c r="A8006" s="4" t="s">
        <v>78</v>
      </c>
      <c r="B8006" s="4" t="s">
        <v>1</v>
      </c>
      <c r="C8006" s="4" t="s">
        <v>36</v>
      </c>
      <c r="D8006" s="4">
        <v>2017</v>
      </c>
      <c r="E8006" s="4">
        <v>0</v>
      </c>
      <c r="F8006" s="4" t="s">
        <v>29</v>
      </c>
    </row>
    <row r="8007" spans="1:6" x14ac:dyDescent="0.25">
      <c r="A8007" s="4" t="s">
        <v>78</v>
      </c>
      <c r="B8007" s="4" t="s">
        <v>1</v>
      </c>
      <c r="C8007" s="4" t="s">
        <v>36</v>
      </c>
      <c r="D8007" s="4">
        <v>2018</v>
      </c>
      <c r="E8007" s="4">
        <v>0</v>
      </c>
      <c r="F8007" s="4" t="s">
        <v>29</v>
      </c>
    </row>
    <row r="8008" spans="1:6" x14ac:dyDescent="0.25">
      <c r="A8008" s="4" t="s">
        <v>78</v>
      </c>
      <c r="B8008" s="4" t="s">
        <v>1</v>
      </c>
      <c r="C8008" s="4" t="s">
        <v>36</v>
      </c>
      <c r="D8008" s="4">
        <v>2019</v>
      </c>
      <c r="E8008" s="4">
        <v>0</v>
      </c>
      <c r="F8008" s="4" t="s">
        <v>29</v>
      </c>
    </row>
    <row r="8009" spans="1:6" x14ac:dyDescent="0.25">
      <c r="A8009" s="4" t="s">
        <v>78</v>
      </c>
      <c r="B8009" s="4" t="s">
        <v>1</v>
      </c>
      <c r="C8009" s="4" t="s">
        <v>36</v>
      </c>
      <c r="D8009" s="4">
        <v>2020</v>
      </c>
      <c r="E8009" s="4">
        <v>0</v>
      </c>
      <c r="F8009" s="4" t="s">
        <v>29</v>
      </c>
    </row>
    <row r="8010" spans="1:6" x14ac:dyDescent="0.25">
      <c r="A8010" s="4" t="s">
        <v>78</v>
      </c>
      <c r="B8010" s="4" t="s">
        <v>1</v>
      </c>
      <c r="C8010" s="4" t="s">
        <v>36</v>
      </c>
      <c r="D8010" s="4">
        <v>2021</v>
      </c>
      <c r="E8010" s="4">
        <v>0</v>
      </c>
      <c r="F8010" s="4" t="s">
        <v>29</v>
      </c>
    </row>
    <row r="8011" spans="1:6" x14ac:dyDescent="0.25">
      <c r="A8011" s="4" t="s">
        <v>78</v>
      </c>
      <c r="B8011" s="4" t="s">
        <v>1</v>
      </c>
      <c r="C8011" s="4" t="s">
        <v>36</v>
      </c>
      <c r="D8011" s="4">
        <v>2022</v>
      </c>
      <c r="E8011" s="4">
        <v>0</v>
      </c>
      <c r="F8011" s="4" t="s">
        <v>29</v>
      </c>
    </row>
    <row r="8012" spans="1:6" x14ac:dyDescent="0.25">
      <c r="A8012" s="4" t="s">
        <v>78</v>
      </c>
      <c r="B8012" s="4" t="s">
        <v>1</v>
      </c>
      <c r="C8012" s="4" t="s">
        <v>36</v>
      </c>
      <c r="D8012" s="4">
        <v>2023</v>
      </c>
      <c r="E8012" s="4">
        <v>0</v>
      </c>
      <c r="F8012" s="4" t="s">
        <v>29</v>
      </c>
    </row>
    <row r="8013" spans="1:6" x14ac:dyDescent="0.25">
      <c r="A8013" s="4" t="s">
        <v>78</v>
      </c>
      <c r="B8013" s="4" t="s">
        <v>1</v>
      </c>
      <c r="C8013" s="4" t="s">
        <v>36</v>
      </c>
      <c r="D8013" s="4">
        <v>2024</v>
      </c>
      <c r="E8013" s="4">
        <v>0</v>
      </c>
      <c r="F8013" s="4" t="s">
        <v>29</v>
      </c>
    </row>
    <row r="8014" spans="1:6" x14ac:dyDescent="0.25">
      <c r="A8014" s="4" t="s">
        <v>78</v>
      </c>
      <c r="B8014" s="4" t="s">
        <v>1</v>
      </c>
      <c r="C8014" s="4" t="s">
        <v>36</v>
      </c>
      <c r="D8014" s="4">
        <v>2025</v>
      </c>
      <c r="E8014" s="4">
        <v>0</v>
      </c>
      <c r="F8014" s="4" t="s">
        <v>29</v>
      </c>
    </row>
    <row r="8015" spans="1:6" x14ac:dyDescent="0.25">
      <c r="A8015" s="4" t="s">
        <v>78</v>
      </c>
      <c r="B8015" s="4" t="s">
        <v>1</v>
      </c>
      <c r="C8015" s="4" t="s">
        <v>36</v>
      </c>
      <c r="D8015" s="4">
        <v>2026</v>
      </c>
      <c r="E8015" s="4">
        <v>0</v>
      </c>
      <c r="F8015" s="4" t="s">
        <v>29</v>
      </c>
    </row>
    <row r="8016" spans="1:6" x14ac:dyDescent="0.25">
      <c r="A8016" s="4" t="s">
        <v>78</v>
      </c>
      <c r="B8016" s="4" t="s">
        <v>1</v>
      </c>
      <c r="C8016" s="4" t="s">
        <v>36</v>
      </c>
      <c r="D8016" s="4">
        <v>2027</v>
      </c>
      <c r="E8016" s="4">
        <v>0</v>
      </c>
      <c r="F8016" s="4" t="s">
        <v>29</v>
      </c>
    </row>
    <row r="8017" spans="1:6" x14ac:dyDescent="0.25">
      <c r="A8017" s="4" t="s">
        <v>78</v>
      </c>
      <c r="B8017" s="4" t="s">
        <v>1</v>
      </c>
      <c r="C8017" s="4" t="s">
        <v>36</v>
      </c>
      <c r="D8017" s="4">
        <v>2028</v>
      </c>
      <c r="E8017" s="4">
        <v>0</v>
      </c>
      <c r="F8017" s="4" t="s">
        <v>29</v>
      </c>
    </row>
    <row r="8018" spans="1:6" x14ac:dyDescent="0.25">
      <c r="A8018" s="4" t="s">
        <v>78</v>
      </c>
      <c r="B8018" s="4" t="s">
        <v>1</v>
      </c>
      <c r="C8018" s="4" t="s">
        <v>36</v>
      </c>
      <c r="D8018" s="4">
        <v>2029</v>
      </c>
      <c r="E8018" s="4">
        <v>0</v>
      </c>
      <c r="F8018" s="4" t="s">
        <v>29</v>
      </c>
    </row>
    <row r="8019" spans="1:6" x14ac:dyDescent="0.25">
      <c r="A8019" s="4" t="s">
        <v>78</v>
      </c>
      <c r="B8019" s="4" t="s">
        <v>1</v>
      </c>
      <c r="C8019" s="4" t="s">
        <v>36</v>
      </c>
      <c r="D8019" s="4">
        <v>2030</v>
      </c>
      <c r="E8019" s="4">
        <v>0</v>
      </c>
      <c r="F8019" s="4" t="s">
        <v>29</v>
      </c>
    </row>
    <row r="8020" spans="1:6" x14ac:dyDescent="0.25">
      <c r="A8020" s="4" t="s">
        <v>78</v>
      </c>
      <c r="B8020" s="4" t="s">
        <v>1</v>
      </c>
      <c r="C8020" s="4" t="s">
        <v>36</v>
      </c>
      <c r="D8020" s="4">
        <v>2031</v>
      </c>
      <c r="E8020" s="4">
        <v>0</v>
      </c>
      <c r="F8020" s="4" t="s">
        <v>29</v>
      </c>
    </row>
    <row r="8021" spans="1:6" x14ac:dyDescent="0.25">
      <c r="A8021" s="4" t="s">
        <v>78</v>
      </c>
      <c r="B8021" s="4" t="s">
        <v>1</v>
      </c>
      <c r="C8021" s="4" t="s">
        <v>36</v>
      </c>
      <c r="D8021" s="4">
        <v>2032</v>
      </c>
      <c r="E8021" s="4">
        <v>0</v>
      </c>
      <c r="F8021" s="4" t="s">
        <v>29</v>
      </c>
    </row>
    <row r="8022" spans="1:6" x14ac:dyDescent="0.25">
      <c r="A8022" s="4" t="s">
        <v>78</v>
      </c>
      <c r="B8022" s="4" t="s">
        <v>1</v>
      </c>
      <c r="C8022" s="4" t="s">
        <v>36</v>
      </c>
      <c r="D8022" s="4">
        <v>2033</v>
      </c>
      <c r="E8022" s="4">
        <v>0</v>
      </c>
      <c r="F8022" s="4" t="s">
        <v>29</v>
      </c>
    </row>
    <row r="8023" spans="1:6" x14ac:dyDescent="0.25">
      <c r="A8023" s="4" t="s">
        <v>78</v>
      </c>
      <c r="B8023" s="4" t="s">
        <v>1</v>
      </c>
      <c r="C8023" s="4" t="s">
        <v>36</v>
      </c>
      <c r="D8023" s="4">
        <v>2034</v>
      </c>
      <c r="E8023" s="4">
        <v>0</v>
      </c>
      <c r="F8023" s="4" t="s">
        <v>29</v>
      </c>
    </row>
    <row r="8024" spans="1:6" x14ac:dyDescent="0.25">
      <c r="A8024" s="4" t="s">
        <v>78</v>
      </c>
      <c r="B8024" s="4" t="s">
        <v>1</v>
      </c>
      <c r="C8024" s="4" t="s">
        <v>36</v>
      </c>
      <c r="D8024" s="4">
        <v>2035</v>
      </c>
      <c r="E8024" s="4">
        <v>0</v>
      </c>
      <c r="F8024" s="4" t="s">
        <v>29</v>
      </c>
    </row>
    <row r="8025" spans="1:6" x14ac:dyDescent="0.25">
      <c r="A8025" s="4" t="s">
        <v>78</v>
      </c>
      <c r="B8025" s="4" t="s">
        <v>1</v>
      </c>
      <c r="C8025" s="4" t="s">
        <v>36</v>
      </c>
      <c r="D8025" s="4">
        <v>2036</v>
      </c>
      <c r="E8025" s="4">
        <v>0</v>
      </c>
      <c r="F8025" s="4" t="s">
        <v>29</v>
      </c>
    </row>
    <row r="8026" spans="1:6" x14ac:dyDescent="0.25">
      <c r="A8026" s="4" t="s">
        <v>78</v>
      </c>
      <c r="B8026" s="4" t="s">
        <v>1</v>
      </c>
      <c r="C8026" s="4" t="s">
        <v>36</v>
      </c>
      <c r="D8026" s="4">
        <v>2037</v>
      </c>
      <c r="E8026" s="4">
        <v>0</v>
      </c>
      <c r="F8026" s="4" t="s">
        <v>29</v>
      </c>
    </row>
    <row r="8027" spans="1:6" x14ac:dyDescent="0.25">
      <c r="A8027" s="4" t="s">
        <v>78</v>
      </c>
      <c r="B8027" s="4" t="s">
        <v>1</v>
      </c>
      <c r="C8027" s="4" t="s">
        <v>36</v>
      </c>
      <c r="D8027" s="4">
        <v>2038</v>
      </c>
      <c r="E8027" s="4">
        <v>0</v>
      </c>
      <c r="F8027" s="4" t="s">
        <v>29</v>
      </c>
    </row>
    <row r="8028" spans="1:6" x14ac:dyDescent="0.25">
      <c r="A8028" s="4" t="s">
        <v>78</v>
      </c>
      <c r="B8028" s="4" t="s">
        <v>1</v>
      </c>
      <c r="C8028" s="4" t="s">
        <v>36</v>
      </c>
      <c r="D8028" s="4">
        <v>2039</v>
      </c>
      <c r="E8028" s="4">
        <v>0</v>
      </c>
      <c r="F8028" s="4" t="s">
        <v>29</v>
      </c>
    </row>
    <row r="8029" spans="1:6" x14ac:dyDescent="0.25">
      <c r="A8029" s="4" t="s">
        <v>78</v>
      </c>
      <c r="B8029" s="4" t="s">
        <v>1</v>
      </c>
      <c r="C8029" s="4" t="s">
        <v>36</v>
      </c>
      <c r="D8029" s="4">
        <v>2040</v>
      </c>
      <c r="E8029" s="4">
        <v>0</v>
      </c>
      <c r="F8029" s="4" t="s">
        <v>29</v>
      </c>
    </row>
    <row r="8030" spans="1:6" x14ac:dyDescent="0.25">
      <c r="A8030" s="4" t="s">
        <v>78</v>
      </c>
      <c r="B8030" s="4" t="s">
        <v>23</v>
      </c>
      <c r="C8030" s="4" t="s">
        <v>36</v>
      </c>
      <c r="D8030" s="4">
        <v>2005</v>
      </c>
      <c r="E8030" s="4">
        <v>0</v>
      </c>
      <c r="F8030" s="4" t="s">
        <v>29</v>
      </c>
    </row>
    <row r="8031" spans="1:6" x14ac:dyDescent="0.25">
      <c r="A8031" s="4" t="s">
        <v>78</v>
      </c>
      <c r="B8031" s="4" t="s">
        <v>23</v>
      </c>
      <c r="C8031" s="4" t="s">
        <v>36</v>
      </c>
      <c r="D8031" s="4">
        <v>2006</v>
      </c>
      <c r="E8031" s="4">
        <v>0</v>
      </c>
      <c r="F8031" s="4" t="s">
        <v>29</v>
      </c>
    </row>
    <row r="8032" spans="1:6" x14ac:dyDescent="0.25">
      <c r="A8032" s="4" t="s">
        <v>78</v>
      </c>
      <c r="B8032" s="4" t="s">
        <v>23</v>
      </c>
      <c r="C8032" s="4" t="s">
        <v>36</v>
      </c>
      <c r="D8032" s="4">
        <v>2007</v>
      </c>
      <c r="E8032" s="4">
        <v>0</v>
      </c>
      <c r="F8032" s="4" t="s">
        <v>29</v>
      </c>
    </row>
    <row r="8033" spans="1:6" x14ac:dyDescent="0.25">
      <c r="A8033" s="4" t="s">
        <v>78</v>
      </c>
      <c r="B8033" s="4" t="s">
        <v>23</v>
      </c>
      <c r="C8033" s="4" t="s">
        <v>36</v>
      </c>
      <c r="D8033" s="4">
        <v>2008</v>
      </c>
      <c r="E8033" s="4">
        <v>0</v>
      </c>
      <c r="F8033" s="4" t="s">
        <v>29</v>
      </c>
    </row>
    <row r="8034" spans="1:6" x14ac:dyDescent="0.25">
      <c r="A8034" s="4" t="s">
        <v>78</v>
      </c>
      <c r="B8034" s="4" t="s">
        <v>23</v>
      </c>
      <c r="C8034" s="4" t="s">
        <v>36</v>
      </c>
      <c r="D8034" s="4">
        <v>2009</v>
      </c>
      <c r="E8034" s="4">
        <v>0</v>
      </c>
      <c r="F8034" s="4" t="s">
        <v>29</v>
      </c>
    </row>
    <row r="8035" spans="1:6" x14ac:dyDescent="0.25">
      <c r="A8035" s="4" t="s">
        <v>78</v>
      </c>
      <c r="B8035" s="4" t="s">
        <v>23</v>
      </c>
      <c r="C8035" s="4" t="s">
        <v>36</v>
      </c>
      <c r="D8035" s="4">
        <v>2010</v>
      </c>
      <c r="E8035" s="4">
        <v>0</v>
      </c>
      <c r="F8035" s="4" t="s">
        <v>29</v>
      </c>
    </row>
    <row r="8036" spans="1:6" x14ac:dyDescent="0.25">
      <c r="A8036" s="4" t="s">
        <v>78</v>
      </c>
      <c r="B8036" s="4" t="s">
        <v>23</v>
      </c>
      <c r="C8036" s="4" t="s">
        <v>36</v>
      </c>
      <c r="D8036" s="4">
        <v>2011</v>
      </c>
      <c r="E8036" s="4">
        <v>0</v>
      </c>
      <c r="F8036" s="4" t="s">
        <v>29</v>
      </c>
    </row>
    <row r="8037" spans="1:6" x14ac:dyDescent="0.25">
      <c r="A8037" s="4" t="s">
        <v>78</v>
      </c>
      <c r="B8037" s="4" t="s">
        <v>23</v>
      </c>
      <c r="C8037" s="4" t="s">
        <v>36</v>
      </c>
      <c r="D8037" s="4">
        <v>2012</v>
      </c>
      <c r="E8037" s="4">
        <v>0</v>
      </c>
      <c r="F8037" s="4" t="s">
        <v>29</v>
      </c>
    </row>
    <row r="8038" spans="1:6" x14ac:dyDescent="0.25">
      <c r="A8038" s="4" t="s">
        <v>78</v>
      </c>
      <c r="B8038" s="4" t="s">
        <v>23</v>
      </c>
      <c r="C8038" s="4" t="s">
        <v>36</v>
      </c>
      <c r="D8038" s="4">
        <v>2013</v>
      </c>
      <c r="E8038" s="4">
        <v>0</v>
      </c>
      <c r="F8038" s="4" t="s">
        <v>29</v>
      </c>
    </row>
    <row r="8039" spans="1:6" x14ac:dyDescent="0.25">
      <c r="A8039" s="4" t="s">
        <v>78</v>
      </c>
      <c r="B8039" s="4" t="s">
        <v>23</v>
      </c>
      <c r="C8039" s="4" t="s">
        <v>36</v>
      </c>
      <c r="D8039" s="4">
        <v>2014</v>
      </c>
      <c r="E8039" s="4">
        <v>0</v>
      </c>
      <c r="F8039" s="4" t="s">
        <v>29</v>
      </c>
    </row>
    <row r="8040" spans="1:6" x14ac:dyDescent="0.25">
      <c r="A8040" s="4" t="s">
        <v>78</v>
      </c>
      <c r="B8040" s="4" t="s">
        <v>23</v>
      </c>
      <c r="C8040" s="4" t="s">
        <v>36</v>
      </c>
      <c r="D8040" s="4">
        <v>2015</v>
      </c>
      <c r="E8040" s="4">
        <v>0</v>
      </c>
      <c r="F8040" s="4" t="s">
        <v>29</v>
      </c>
    </row>
    <row r="8041" spans="1:6" x14ac:dyDescent="0.25">
      <c r="A8041" s="4" t="s">
        <v>78</v>
      </c>
      <c r="B8041" s="4" t="s">
        <v>23</v>
      </c>
      <c r="C8041" s="4" t="s">
        <v>36</v>
      </c>
      <c r="D8041" s="4">
        <v>2016</v>
      </c>
      <c r="E8041" s="4">
        <v>0</v>
      </c>
      <c r="F8041" s="4" t="s">
        <v>29</v>
      </c>
    </row>
    <row r="8042" spans="1:6" x14ac:dyDescent="0.25">
      <c r="A8042" s="4" t="s">
        <v>78</v>
      </c>
      <c r="B8042" s="4" t="s">
        <v>23</v>
      </c>
      <c r="C8042" s="4" t="s">
        <v>36</v>
      </c>
      <c r="D8042" s="4">
        <v>2017</v>
      </c>
      <c r="E8042" s="4">
        <v>0</v>
      </c>
      <c r="F8042" s="4" t="s">
        <v>29</v>
      </c>
    </row>
    <row r="8043" spans="1:6" x14ac:dyDescent="0.25">
      <c r="A8043" s="4" t="s">
        <v>78</v>
      </c>
      <c r="B8043" s="4" t="s">
        <v>23</v>
      </c>
      <c r="C8043" s="4" t="s">
        <v>36</v>
      </c>
      <c r="D8043" s="4">
        <v>2018</v>
      </c>
      <c r="E8043" s="4">
        <v>0</v>
      </c>
      <c r="F8043" s="4" t="s">
        <v>29</v>
      </c>
    </row>
    <row r="8044" spans="1:6" x14ac:dyDescent="0.25">
      <c r="A8044" s="4" t="s">
        <v>78</v>
      </c>
      <c r="B8044" s="4" t="s">
        <v>23</v>
      </c>
      <c r="C8044" s="4" t="s">
        <v>36</v>
      </c>
      <c r="D8044" s="4">
        <v>2019</v>
      </c>
      <c r="E8044" s="4">
        <v>0</v>
      </c>
      <c r="F8044" s="4" t="s">
        <v>29</v>
      </c>
    </row>
    <row r="8045" spans="1:6" x14ac:dyDescent="0.25">
      <c r="A8045" s="4" t="s">
        <v>78</v>
      </c>
      <c r="B8045" s="4" t="s">
        <v>23</v>
      </c>
      <c r="C8045" s="4" t="s">
        <v>36</v>
      </c>
      <c r="D8045" s="4">
        <v>2020</v>
      </c>
      <c r="E8045" s="4">
        <v>0</v>
      </c>
      <c r="F8045" s="4" t="s">
        <v>29</v>
      </c>
    </row>
    <row r="8046" spans="1:6" x14ac:dyDescent="0.25">
      <c r="A8046" s="4" t="s">
        <v>78</v>
      </c>
      <c r="B8046" s="4" t="s">
        <v>23</v>
      </c>
      <c r="C8046" s="4" t="s">
        <v>36</v>
      </c>
      <c r="D8046" s="4">
        <v>2021</v>
      </c>
      <c r="E8046" s="4">
        <v>0</v>
      </c>
      <c r="F8046" s="4" t="s">
        <v>29</v>
      </c>
    </row>
    <row r="8047" spans="1:6" x14ac:dyDescent="0.25">
      <c r="A8047" s="4" t="s">
        <v>78</v>
      </c>
      <c r="B8047" s="4" t="s">
        <v>23</v>
      </c>
      <c r="C8047" s="4" t="s">
        <v>36</v>
      </c>
      <c r="D8047" s="4">
        <v>2022</v>
      </c>
      <c r="E8047" s="4">
        <v>0</v>
      </c>
      <c r="F8047" s="4" t="s">
        <v>29</v>
      </c>
    </row>
    <row r="8048" spans="1:6" x14ac:dyDescent="0.25">
      <c r="A8048" s="4" t="s">
        <v>78</v>
      </c>
      <c r="B8048" s="4" t="s">
        <v>23</v>
      </c>
      <c r="C8048" s="4" t="s">
        <v>36</v>
      </c>
      <c r="D8048" s="4">
        <v>2023</v>
      </c>
      <c r="E8048" s="4">
        <v>0</v>
      </c>
      <c r="F8048" s="4" t="s">
        <v>29</v>
      </c>
    </row>
    <row r="8049" spans="1:6" x14ac:dyDescent="0.25">
      <c r="A8049" s="4" t="s">
        <v>78</v>
      </c>
      <c r="B8049" s="4" t="s">
        <v>23</v>
      </c>
      <c r="C8049" s="4" t="s">
        <v>36</v>
      </c>
      <c r="D8049" s="4">
        <v>2024</v>
      </c>
      <c r="E8049" s="4">
        <v>0</v>
      </c>
      <c r="F8049" s="4" t="s">
        <v>29</v>
      </c>
    </row>
    <row r="8050" spans="1:6" x14ac:dyDescent="0.25">
      <c r="A8050" s="4" t="s">
        <v>78</v>
      </c>
      <c r="B8050" s="4" t="s">
        <v>23</v>
      </c>
      <c r="C8050" s="4" t="s">
        <v>36</v>
      </c>
      <c r="D8050" s="4">
        <v>2025</v>
      </c>
      <c r="E8050" s="4">
        <v>0</v>
      </c>
      <c r="F8050" s="4" t="s">
        <v>29</v>
      </c>
    </row>
    <row r="8051" spans="1:6" x14ac:dyDescent="0.25">
      <c r="A8051" s="4" t="s">
        <v>78</v>
      </c>
      <c r="B8051" s="4" t="s">
        <v>23</v>
      </c>
      <c r="C8051" s="4" t="s">
        <v>36</v>
      </c>
      <c r="D8051" s="4">
        <v>2026</v>
      </c>
      <c r="E8051" s="4">
        <v>0</v>
      </c>
      <c r="F8051" s="4" t="s">
        <v>29</v>
      </c>
    </row>
    <row r="8052" spans="1:6" x14ac:dyDescent="0.25">
      <c r="A8052" s="4" t="s">
        <v>78</v>
      </c>
      <c r="B8052" s="4" t="s">
        <v>23</v>
      </c>
      <c r="C8052" s="4" t="s">
        <v>36</v>
      </c>
      <c r="D8052" s="4">
        <v>2027</v>
      </c>
      <c r="E8052" s="4">
        <v>0</v>
      </c>
      <c r="F8052" s="4" t="s">
        <v>29</v>
      </c>
    </row>
    <row r="8053" spans="1:6" x14ac:dyDescent="0.25">
      <c r="A8053" s="4" t="s">
        <v>78</v>
      </c>
      <c r="B8053" s="4" t="s">
        <v>23</v>
      </c>
      <c r="C8053" s="4" t="s">
        <v>36</v>
      </c>
      <c r="D8053" s="4">
        <v>2028</v>
      </c>
      <c r="E8053" s="4">
        <v>0</v>
      </c>
      <c r="F8053" s="4" t="s">
        <v>29</v>
      </c>
    </row>
    <row r="8054" spans="1:6" x14ac:dyDescent="0.25">
      <c r="A8054" s="4" t="s">
        <v>78</v>
      </c>
      <c r="B8054" s="4" t="s">
        <v>23</v>
      </c>
      <c r="C8054" s="4" t="s">
        <v>36</v>
      </c>
      <c r="D8054" s="4">
        <v>2029</v>
      </c>
      <c r="E8054" s="4">
        <v>0</v>
      </c>
      <c r="F8054" s="4" t="s">
        <v>29</v>
      </c>
    </row>
    <row r="8055" spans="1:6" x14ac:dyDescent="0.25">
      <c r="A8055" s="4" t="s">
        <v>78</v>
      </c>
      <c r="B8055" s="4" t="s">
        <v>23</v>
      </c>
      <c r="C8055" s="4" t="s">
        <v>36</v>
      </c>
      <c r="D8055" s="4">
        <v>2030</v>
      </c>
      <c r="E8055" s="4">
        <v>0</v>
      </c>
      <c r="F8055" s="4" t="s">
        <v>29</v>
      </c>
    </row>
    <row r="8056" spans="1:6" x14ac:dyDescent="0.25">
      <c r="A8056" s="4" t="s">
        <v>78</v>
      </c>
      <c r="B8056" s="4" t="s">
        <v>23</v>
      </c>
      <c r="C8056" s="4" t="s">
        <v>36</v>
      </c>
      <c r="D8056" s="4">
        <v>2031</v>
      </c>
      <c r="E8056" s="4">
        <v>0</v>
      </c>
      <c r="F8056" s="4" t="s">
        <v>29</v>
      </c>
    </row>
    <row r="8057" spans="1:6" x14ac:dyDescent="0.25">
      <c r="A8057" s="4" t="s">
        <v>78</v>
      </c>
      <c r="B8057" s="4" t="s">
        <v>23</v>
      </c>
      <c r="C8057" s="4" t="s">
        <v>36</v>
      </c>
      <c r="D8057" s="4">
        <v>2032</v>
      </c>
      <c r="E8057" s="4">
        <v>0</v>
      </c>
      <c r="F8057" s="4" t="s">
        <v>29</v>
      </c>
    </row>
    <row r="8058" spans="1:6" x14ac:dyDescent="0.25">
      <c r="A8058" s="4" t="s">
        <v>78</v>
      </c>
      <c r="B8058" s="4" t="s">
        <v>23</v>
      </c>
      <c r="C8058" s="4" t="s">
        <v>36</v>
      </c>
      <c r="D8058" s="4">
        <v>2033</v>
      </c>
      <c r="E8058" s="4">
        <v>0</v>
      </c>
      <c r="F8058" s="4" t="s">
        <v>29</v>
      </c>
    </row>
    <row r="8059" spans="1:6" x14ac:dyDescent="0.25">
      <c r="A8059" s="4" t="s">
        <v>78</v>
      </c>
      <c r="B8059" s="4" t="s">
        <v>23</v>
      </c>
      <c r="C8059" s="4" t="s">
        <v>36</v>
      </c>
      <c r="D8059" s="4">
        <v>2034</v>
      </c>
      <c r="E8059" s="4">
        <v>0</v>
      </c>
      <c r="F8059" s="4" t="s">
        <v>29</v>
      </c>
    </row>
    <row r="8060" spans="1:6" x14ac:dyDescent="0.25">
      <c r="A8060" s="4" t="s">
        <v>78</v>
      </c>
      <c r="B8060" s="4" t="s">
        <v>23</v>
      </c>
      <c r="C8060" s="4" t="s">
        <v>36</v>
      </c>
      <c r="D8060" s="4">
        <v>2035</v>
      </c>
      <c r="E8060" s="4">
        <v>0</v>
      </c>
      <c r="F8060" s="4" t="s">
        <v>29</v>
      </c>
    </row>
    <row r="8061" spans="1:6" x14ac:dyDescent="0.25">
      <c r="A8061" s="4" t="s">
        <v>78</v>
      </c>
      <c r="B8061" s="4" t="s">
        <v>23</v>
      </c>
      <c r="C8061" s="4" t="s">
        <v>36</v>
      </c>
      <c r="D8061" s="4">
        <v>2036</v>
      </c>
      <c r="E8061" s="4">
        <v>0</v>
      </c>
      <c r="F8061" s="4" t="s">
        <v>29</v>
      </c>
    </row>
    <row r="8062" spans="1:6" x14ac:dyDescent="0.25">
      <c r="A8062" s="4" t="s">
        <v>78</v>
      </c>
      <c r="B8062" s="4" t="s">
        <v>23</v>
      </c>
      <c r="C8062" s="4" t="s">
        <v>36</v>
      </c>
      <c r="D8062" s="4">
        <v>2037</v>
      </c>
      <c r="E8062" s="4">
        <v>0</v>
      </c>
      <c r="F8062" s="4" t="s">
        <v>29</v>
      </c>
    </row>
    <row r="8063" spans="1:6" x14ac:dyDescent="0.25">
      <c r="A8063" s="4" t="s">
        <v>78</v>
      </c>
      <c r="B8063" s="4" t="s">
        <v>23</v>
      </c>
      <c r="C8063" s="4" t="s">
        <v>36</v>
      </c>
      <c r="D8063" s="4">
        <v>2038</v>
      </c>
      <c r="E8063" s="4">
        <v>0</v>
      </c>
      <c r="F8063" s="4" t="s">
        <v>29</v>
      </c>
    </row>
    <row r="8064" spans="1:6" x14ac:dyDescent="0.25">
      <c r="A8064" s="4" t="s">
        <v>78</v>
      </c>
      <c r="B8064" s="4" t="s">
        <v>23</v>
      </c>
      <c r="C8064" s="4" t="s">
        <v>36</v>
      </c>
      <c r="D8064" s="4">
        <v>2039</v>
      </c>
      <c r="E8064" s="4">
        <v>0</v>
      </c>
      <c r="F8064" s="4" t="s">
        <v>29</v>
      </c>
    </row>
    <row r="8065" spans="1:6" x14ac:dyDescent="0.25">
      <c r="A8065" s="4" t="s">
        <v>78</v>
      </c>
      <c r="B8065" s="4" t="s">
        <v>23</v>
      </c>
      <c r="C8065" s="4" t="s">
        <v>36</v>
      </c>
      <c r="D8065" s="4">
        <v>2040</v>
      </c>
      <c r="E8065" s="4">
        <v>0</v>
      </c>
      <c r="F8065" s="4" t="s">
        <v>29</v>
      </c>
    </row>
    <row r="8066" spans="1:6" x14ac:dyDescent="0.25">
      <c r="A8066" s="4" t="s">
        <v>79</v>
      </c>
      <c r="B8066" s="4" t="s">
        <v>1</v>
      </c>
      <c r="C8066" s="4" t="s">
        <v>36</v>
      </c>
      <c r="D8066" s="4">
        <v>2005</v>
      </c>
      <c r="E8066" s="4">
        <v>0</v>
      </c>
      <c r="F8066" s="4" t="s">
        <v>29</v>
      </c>
    </row>
    <row r="8067" spans="1:6" x14ac:dyDescent="0.25">
      <c r="A8067" s="4" t="s">
        <v>79</v>
      </c>
      <c r="B8067" s="4" t="s">
        <v>1</v>
      </c>
      <c r="C8067" s="4" t="s">
        <v>36</v>
      </c>
      <c r="D8067" s="4">
        <v>2006</v>
      </c>
      <c r="E8067" s="4">
        <v>0</v>
      </c>
      <c r="F8067" s="4" t="s">
        <v>29</v>
      </c>
    </row>
    <row r="8068" spans="1:6" x14ac:dyDescent="0.25">
      <c r="A8068" s="4" t="s">
        <v>79</v>
      </c>
      <c r="B8068" s="4" t="s">
        <v>1</v>
      </c>
      <c r="C8068" s="4" t="s">
        <v>36</v>
      </c>
      <c r="D8068" s="4">
        <v>2007</v>
      </c>
      <c r="E8068" s="4">
        <v>0</v>
      </c>
      <c r="F8068" s="4" t="s">
        <v>29</v>
      </c>
    </row>
    <row r="8069" spans="1:6" x14ac:dyDescent="0.25">
      <c r="A8069" s="4" t="s">
        <v>79</v>
      </c>
      <c r="B8069" s="4" t="s">
        <v>1</v>
      </c>
      <c r="C8069" s="4" t="s">
        <v>36</v>
      </c>
      <c r="D8069" s="4">
        <v>2008</v>
      </c>
      <c r="E8069" s="4">
        <v>0</v>
      </c>
      <c r="F8069" s="4" t="s">
        <v>29</v>
      </c>
    </row>
    <row r="8070" spans="1:6" x14ac:dyDescent="0.25">
      <c r="A8070" s="4" t="s">
        <v>79</v>
      </c>
      <c r="B8070" s="4" t="s">
        <v>1</v>
      </c>
      <c r="C8070" s="4" t="s">
        <v>36</v>
      </c>
      <c r="D8070" s="4">
        <v>2009</v>
      </c>
      <c r="E8070" s="4">
        <v>0</v>
      </c>
      <c r="F8070" s="4" t="s">
        <v>29</v>
      </c>
    </row>
    <row r="8071" spans="1:6" x14ac:dyDescent="0.25">
      <c r="A8071" s="4" t="s">
        <v>79</v>
      </c>
      <c r="B8071" s="4" t="s">
        <v>1</v>
      </c>
      <c r="C8071" s="4" t="s">
        <v>36</v>
      </c>
      <c r="D8071" s="4">
        <v>2010</v>
      </c>
      <c r="E8071" s="4">
        <v>0</v>
      </c>
      <c r="F8071" s="4" t="s">
        <v>29</v>
      </c>
    </row>
    <row r="8072" spans="1:6" x14ac:dyDescent="0.25">
      <c r="A8072" s="4" t="s">
        <v>79</v>
      </c>
      <c r="B8072" s="4" t="s">
        <v>1</v>
      </c>
      <c r="C8072" s="4" t="s">
        <v>36</v>
      </c>
      <c r="D8072" s="4">
        <v>2011</v>
      </c>
      <c r="E8072" s="4">
        <v>0</v>
      </c>
      <c r="F8072" s="4" t="s">
        <v>29</v>
      </c>
    </row>
    <row r="8073" spans="1:6" x14ac:dyDescent="0.25">
      <c r="A8073" s="4" t="s">
        <v>79</v>
      </c>
      <c r="B8073" s="4" t="s">
        <v>1</v>
      </c>
      <c r="C8073" s="4" t="s">
        <v>36</v>
      </c>
      <c r="D8073" s="4">
        <v>2012</v>
      </c>
      <c r="E8073" s="4">
        <v>0</v>
      </c>
      <c r="F8073" s="4" t="s">
        <v>29</v>
      </c>
    </row>
    <row r="8074" spans="1:6" x14ac:dyDescent="0.25">
      <c r="A8074" s="4" t="s">
        <v>79</v>
      </c>
      <c r="B8074" s="4" t="s">
        <v>1</v>
      </c>
      <c r="C8074" s="4" t="s">
        <v>36</v>
      </c>
      <c r="D8074" s="4">
        <v>2013</v>
      </c>
      <c r="E8074" s="4">
        <v>0</v>
      </c>
      <c r="F8074" s="4" t="s">
        <v>29</v>
      </c>
    </row>
    <row r="8075" spans="1:6" x14ac:dyDescent="0.25">
      <c r="A8075" s="4" t="s">
        <v>79</v>
      </c>
      <c r="B8075" s="4" t="s">
        <v>1</v>
      </c>
      <c r="C8075" s="4" t="s">
        <v>36</v>
      </c>
      <c r="D8075" s="4">
        <v>2014</v>
      </c>
      <c r="E8075" s="4">
        <v>0</v>
      </c>
      <c r="F8075" s="4" t="s">
        <v>29</v>
      </c>
    </row>
    <row r="8076" spans="1:6" x14ac:dyDescent="0.25">
      <c r="A8076" s="4" t="s">
        <v>79</v>
      </c>
      <c r="B8076" s="4" t="s">
        <v>1</v>
      </c>
      <c r="C8076" s="4" t="s">
        <v>36</v>
      </c>
      <c r="D8076" s="4">
        <v>2015</v>
      </c>
      <c r="E8076" s="4">
        <v>0</v>
      </c>
      <c r="F8076" s="4" t="s">
        <v>29</v>
      </c>
    </row>
    <row r="8077" spans="1:6" x14ac:dyDescent="0.25">
      <c r="A8077" s="4" t="s">
        <v>79</v>
      </c>
      <c r="B8077" s="4" t="s">
        <v>1</v>
      </c>
      <c r="C8077" s="4" t="s">
        <v>36</v>
      </c>
      <c r="D8077" s="4">
        <v>2016</v>
      </c>
      <c r="E8077" s="4">
        <v>0</v>
      </c>
      <c r="F8077" s="4" t="s">
        <v>29</v>
      </c>
    </row>
    <row r="8078" spans="1:6" x14ac:dyDescent="0.25">
      <c r="A8078" s="4" t="s">
        <v>79</v>
      </c>
      <c r="B8078" s="4" t="s">
        <v>1</v>
      </c>
      <c r="C8078" s="4" t="s">
        <v>36</v>
      </c>
      <c r="D8078" s="4">
        <v>2017</v>
      </c>
      <c r="E8078" s="4">
        <v>0</v>
      </c>
      <c r="F8078" s="4" t="s">
        <v>29</v>
      </c>
    </row>
    <row r="8079" spans="1:6" x14ac:dyDescent="0.25">
      <c r="A8079" s="4" t="s">
        <v>79</v>
      </c>
      <c r="B8079" s="4" t="s">
        <v>1</v>
      </c>
      <c r="C8079" s="4" t="s">
        <v>36</v>
      </c>
      <c r="D8079" s="4">
        <v>2018</v>
      </c>
      <c r="E8079" s="4">
        <v>0</v>
      </c>
      <c r="F8079" s="4" t="s">
        <v>29</v>
      </c>
    </row>
    <row r="8080" spans="1:6" x14ac:dyDescent="0.25">
      <c r="A8080" s="4" t="s">
        <v>79</v>
      </c>
      <c r="B8080" s="4" t="s">
        <v>1</v>
      </c>
      <c r="C8080" s="4" t="s">
        <v>36</v>
      </c>
      <c r="D8080" s="4">
        <v>2019</v>
      </c>
      <c r="E8080" s="4">
        <v>0</v>
      </c>
      <c r="F8080" s="4" t="s">
        <v>29</v>
      </c>
    </row>
    <row r="8081" spans="1:6" x14ac:dyDescent="0.25">
      <c r="A8081" s="4" t="s">
        <v>79</v>
      </c>
      <c r="B8081" s="4" t="s">
        <v>1</v>
      </c>
      <c r="C8081" s="4" t="s">
        <v>36</v>
      </c>
      <c r="D8081" s="4">
        <v>2020</v>
      </c>
      <c r="E8081" s="4">
        <v>0</v>
      </c>
      <c r="F8081" s="4" t="s">
        <v>29</v>
      </c>
    </row>
    <row r="8082" spans="1:6" x14ac:dyDescent="0.25">
      <c r="A8082" s="4" t="s">
        <v>79</v>
      </c>
      <c r="B8082" s="4" t="s">
        <v>1</v>
      </c>
      <c r="C8082" s="4" t="s">
        <v>36</v>
      </c>
      <c r="D8082" s="4">
        <v>2021</v>
      </c>
      <c r="E8082" s="4">
        <v>0</v>
      </c>
      <c r="F8082" s="4" t="s">
        <v>29</v>
      </c>
    </row>
    <row r="8083" spans="1:6" x14ac:dyDescent="0.25">
      <c r="A8083" s="4" t="s">
        <v>79</v>
      </c>
      <c r="B8083" s="4" t="s">
        <v>1</v>
      </c>
      <c r="C8083" s="4" t="s">
        <v>36</v>
      </c>
      <c r="D8083" s="4">
        <v>2022</v>
      </c>
      <c r="E8083" s="4">
        <v>0</v>
      </c>
      <c r="F8083" s="4" t="s">
        <v>29</v>
      </c>
    </row>
    <row r="8084" spans="1:6" x14ac:dyDescent="0.25">
      <c r="A8084" s="4" t="s">
        <v>79</v>
      </c>
      <c r="B8084" s="4" t="s">
        <v>1</v>
      </c>
      <c r="C8084" s="4" t="s">
        <v>36</v>
      </c>
      <c r="D8084" s="4">
        <v>2023</v>
      </c>
      <c r="E8084" s="4">
        <v>0</v>
      </c>
      <c r="F8084" s="4" t="s">
        <v>29</v>
      </c>
    </row>
    <row r="8085" spans="1:6" x14ac:dyDescent="0.25">
      <c r="A8085" s="4" t="s">
        <v>79</v>
      </c>
      <c r="B8085" s="4" t="s">
        <v>1</v>
      </c>
      <c r="C8085" s="4" t="s">
        <v>36</v>
      </c>
      <c r="D8085" s="4">
        <v>2024</v>
      </c>
      <c r="E8085" s="4">
        <v>0</v>
      </c>
      <c r="F8085" s="4" t="s">
        <v>29</v>
      </c>
    </row>
    <row r="8086" spans="1:6" x14ac:dyDescent="0.25">
      <c r="A8086" s="4" t="s">
        <v>79</v>
      </c>
      <c r="B8086" s="4" t="s">
        <v>1</v>
      </c>
      <c r="C8086" s="4" t="s">
        <v>36</v>
      </c>
      <c r="D8086" s="4">
        <v>2025</v>
      </c>
      <c r="E8086" s="4">
        <v>0</v>
      </c>
      <c r="F8086" s="4" t="s">
        <v>29</v>
      </c>
    </row>
    <row r="8087" spans="1:6" x14ac:dyDescent="0.25">
      <c r="A8087" s="4" t="s">
        <v>79</v>
      </c>
      <c r="B8087" s="4" t="s">
        <v>1</v>
      </c>
      <c r="C8087" s="4" t="s">
        <v>36</v>
      </c>
      <c r="D8087" s="4">
        <v>2026</v>
      </c>
      <c r="E8087" s="4">
        <v>0</v>
      </c>
      <c r="F8087" s="4" t="s">
        <v>29</v>
      </c>
    </row>
    <row r="8088" spans="1:6" x14ac:dyDescent="0.25">
      <c r="A8088" s="4" t="s">
        <v>79</v>
      </c>
      <c r="B8088" s="4" t="s">
        <v>1</v>
      </c>
      <c r="C8088" s="4" t="s">
        <v>36</v>
      </c>
      <c r="D8088" s="4">
        <v>2027</v>
      </c>
      <c r="E8088" s="4">
        <v>0</v>
      </c>
      <c r="F8088" s="4" t="s">
        <v>29</v>
      </c>
    </row>
    <row r="8089" spans="1:6" x14ac:dyDescent="0.25">
      <c r="A8089" s="4" t="s">
        <v>79</v>
      </c>
      <c r="B8089" s="4" t="s">
        <v>1</v>
      </c>
      <c r="C8089" s="4" t="s">
        <v>36</v>
      </c>
      <c r="D8089" s="4">
        <v>2028</v>
      </c>
      <c r="E8089" s="4">
        <v>0</v>
      </c>
      <c r="F8089" s="4" t="s">
        <v>29</v>
      </c>
    </row>
    <row r="8090" spans="1:6" x14ac:dyDescent="0.25">
      <c r="A8090" s="4" t="s">
        <v>79</v>
      </c>
      <c r="B8090" s="4" t="s">
        <v>1</v>
      </c>
      <c r="C8090" s="4" t="s">
        <v>36</v>
      </c>
      <c r="D8090" s="4">
        <v>2029</v>
      </c>
      <c r="E8090" s="4">
        <v>0</v>
      </c>
      <c r="F8090" s="4" t="s">
        <v>29</v>
      </c>
    </row>
    <row r="8091" spans="1:6" x14ac:dyDescent="0.25">
      <c r="A8091" s="4" t="s">
        <v>79</v>
      </c>
      <c r="B8091" s="4" t="s">
        <v>1</v>
      </c>
      <c r="C8091" s="4" t="s">
        <v>36</v>
      </c>
      <c r="D8091" s="4">
        <v>2030</v>
      </c>
      <c r="E8091" s="4">
        <v>0</v>
      </c>
      <c r="F8091" s="4" t="s">
        <v>29</v>
      </c>
    </row>
    <row r="8092" spans="1:6" x14ac:dyDescent="0.25">
      <c r="A8092" s="4" t="s">
        <v>79</v>
      </c>
      <c r="B8092" s="4" t="s">
        <v>1</v>
      </c>
      <c r="C8092" s="4" t="s">
        <v>36</v>
      </c>
      <c r="D8092" s="4">
        <v>2031</v>
      </c>
      <c r="E8092" s="4">
        <v>0</v>
      </c>
      <c r="F8092" s="4" t="s">
        <v>29</v>
      </c>
    </row>
    <row r="8093" spans="1:6" x14ac:dyDescent="0.25">
      <c r="A8093" s="4" t="s">
        <v>79</v>
      </c>
      <c r="B8093" s="4" t="s">
        <v>1</v>
      </c>
      <c r="C8093" s="4" t="s">
        <v>36</v>
      </c>
      <c r="D8093" s="4">
        <v>2032</v>
      </c>
      <c r="E8093" s="4">
        <v>0</v>
      </c>
      <c r="F8093" s="4" t="s">
        <v>29</v>
      </c>
    </row>
    <row r="8094" spans="1:6" x14ac:dyDescent="0.25">
      <c r="A8094" s="4" t="s">
        <v>79</v>
      </c>
      <c r="B8094" s="4" t="s">
        <v>1</v>
      </c>
      <c r="C8094" s="4" t="s">
        <v>36</v>
      </c>
      <c r="D8094" s="4">
        <v>2033</v>
      </c>
      <c r="E8094" s="4">
        <v>0</v>
      </c>
      <c r="F8094" s="4" t="s">
        <v>29</v>
      </c>
    </row>
    <row r="8095" spans="1:6" x14ac:dyDescent="0.25">
      <c r="A8095" s="4" t="s">
        <v>79</v>
      </c>
      <c r="B8095" s="4" t="s">
        <v>1</v>
      </c>
      <c r="C8095" s="4" t="s">
        <v>36</v>
      </c>
      <c r="D8095" s="4">
        <v>2034</v>
      </c>
      <c r="E8095" s="4">
        <v>0</v>
      </c>
      <c r="F8095" s="4" t="s">
        <v>29</v>
      </c>
    </row>
    <row r="8096" spans="1:6" x14ac:dyDescent="0.25">
      <c r="A8096" s="4" t="s">
        <v>79</v>
      </c>
      <c r="B8096" s="4" t="s">
        <v>1</v>
      </c>
      <c r="C8096" s="4" t="s">
        <v>36</v>
      </c>
      <c r="D8096" s="4">
        <v>2035</v>
      </c>
      <c r="E8096" s="4">
        <v>0</v>
      </c>
      <c r="F8096" s="4" t="s">
        <v>29</v>
      </c>
    </row>
    <row r="8097" spans="1:6" x14ac:dyDescent="0.25">
      <c r="A8097" s="4" t="s">
        <v>79</v>
      </c>
      <c r="B8097" s="4" t="s">
        <v>1</v>
      </c>
      <c r="C8097" s="4" t="s">
        <v>36</v>
      </c>
      <c r="D8097" s="4">
        <v>2036</v>
      </c>
      <c r="E8097" s="4">
        <v>0</v>
      </c>
      <c r="F8097" s="4" t="s">
        <v>29</v>
      </c>
    </row>
    <row r="8098" spans="1:6" x14ac:dyDescent="0.25">
      <c r="A8098" s="4" t="s">
        <v>79</v>
      </c>
      <c r="B8098" s="4" t="s">
        <v>1</v>
      </c>
      <c r="C8098" s="4" t="s">
        <v>36</v>
      </c>
      <c r="D8098" s="4">
        <v>2037</v>
      </c>
      <c r="E8098" s="4">
        <v>0</v>
      </c>
      <c r="F8098" s="4" t="s">
        <v>29</v>
      </c>
    </row>
    <row r="8099" spans="1:6" x14ac:dyDescent="0.25">
      <c r="A8099" s="4" t="s">
        <v>79</v>
      </c>
      <c r="B8099" s="4" t="s">
        <v>1</v>
      </c>
      <c r="C8099" s="4" t="s">
        <v>36</v>
      </c>
      <c r="D8099" s="4">
        <v>2038</v>
      </c>
      <c r="E8099" s="4">
        <v>0</v>
      </c>
      <c r="F8099" s="4" t="s">
        <v>29</v>
      </c>
    </row>
    <row r="8100" spans="1:6" x14ac:dyDescent="0.25">
      <c r="A8100" s="4" t="s">
        <v>79</v>
      </c>
      <c r="B8100" s="4" t="s">
        <v>1</v>
      </c>
      <c r="C8100" s="4" t="s">
        <v>36</v>
      </c>
      <c r="D8100" s="4">
        <v>2039</v>
      </c>
      <c r="E8100" s="4">
        <v>0</v>
      </c>
      <c r="F8100" s="4" t="s">
        <v>29</v>
      </c>
    </row>
    <row r="8101" spans="1:6" x14ac:dyDescent="0.25">
      <c r="A8101" s="4" t="s">
        <v>79</v>
      </c>
      <c r="B8101" s="4" t="s">
        <v>1</v>
      </c>
      <c r="C8101" s="4" t="s">
        <v>36</v>
      </c>
      <c r="D8101" s="4">
        <v>2040</v>
      </c>
      <c r="E8101" s="4">
        <v>0</v>
      </c>
      <c r="F8101" s="4" t="s">
        <v>29</v>
      </c>
    </row>
    <row r="8102" spans="1:6" x14ac:dyDescent="0.25">
      <c r="A8102" s="4" t="s">
        <v>79</v>
      </c>
      <c r="B8102" s="4" t="s">
        <v>3</v>
      </c>
      <c r="C8102" s="4" t="s">
        <v>36</v>
      </c>
      <c r="D8102" s="4">
        <v>2005</v>
      </c>
      <c r="E8102" s="4">
        <v>2050</v>
      </c>
      <c r="F8102" s="4" t="s">
        <v>29</v>
      </c>
    </row>
    <row r="8103" spans="1:6" x14ac:dyDescent="0.25">
      <c r="A8103" s="4" t="s">
        <v>79</v>
      </c>
      <c r="B8103" s="4" t="s">
        <v>3</v>
      </c>
      <c r="C8103" s="4" t="s">
        <v>36</v>
      </c>
      <c r="D8103" s="4">
        <v>2006</v>
      </c>
      <c r="E8103" s="4">
        <v>1910</v>
      </c>
      <c r="F8103" s="4" t="s">
        <v>29</v>
      </c>
    </row>
    <row r="8104" spans="1:6" x14ac:dyDescent="0.25">
      <c r="A8104" s="4" t="s">
        <v>79</v>
      </c>
      <c r="B8104" s="4" t="s">
        <v>3</v>
      </c>
      <c r="C8104" s="4" t="s">
        <v>36</v>
      </c>
      <c r="D8104" s="4">
        <v>2007</v>
      </c>
      <c r="E8104" s="4">
        <v>1890</v>
      </c>
      <c r="F8104" s="4" t="s">
        <v>29</v>
      </c>
    </row>
    <row r="8105" spans="1:6" x14ac:dyDescent="0.25">
      <c r="A8105" s="4" t="s">
        <v>79</v>
      </c>
      <c r="B8105" s="4" t="s">
        <v>3</v>
      </c>
      <c r="C8105" s="4" t="s">
        <v>36</v>
      </c>
      <c r="D8105" s="4">
        <v>2008</v>
      </c>
      <c r="E8105" s="4">
        <v>1750</v>
      </c>
      <c r="F8105" s="4" t="s">
        <v>29</v>
      </c>
    </row>
    <row r="8106" spans="1:6" x14ac:dyDescent="0.25">
      <c r="A8106" s="4" t="s">
        <v>79</v>
      </c>
      <c r="B8106" s="4" t="s">
        <v>3</v>
      </c>
      <c r="C8106" s="4" t="s">
        <v>36</v>
      </c>
      <c r="D8106" s="4">
        <v>2009</v>
      </c>
      <c r="E8106" s="4">
        <v>1130</v>
      </c>
      <c r="F8106" s="4" t="s">
        <v>29</v>
      </c>
    </row>
    <row r="8107" spans="1:6" x14ac:dyDescent="0.25">
      <c r="A8107" s="4" t="s">
        <v>79</v>
      </c>
      <c r="B8107" s="4" t="s">
        <v>3</v>
      </c>
      <c r="C8107" s="4" t="s">
        <v>36</v>
      </c>
      <c r="D8107" s="4">
        <v>2010</v>
      </c>
      <c r="E8107" s="4">
        <v>1070</v>
      </c>
      <c r="F8107" s="4" t="s">
        <v>29</v>
      </c>
    </row>
    <row r="8108" spans="1:6" x14ac:dyDescent="0.25">
      <c r="A8108" s="4" t="s">
        <v>79</v>
      </c>
      <c r="B8108" s="4" t="s">
        <v>3</v>
      </c>
      <c r="C8108" s="4" t="s">
        <v>36</v>
      </c>
      <c r="D8108" s="4">
        <v>2011</v>
      </c>
      <c r="E8108" s="4">
        <v>860</v>
      </c>
      <c r="F8108" s="4" t="s">
        <v>29</v>
      </c>
    </row>
    <row r="8109" spans="1:6" x14ac:dyDescent="0.25">
      <c r="A8109" s="4" t="s">
        <v>79</v>
      </c>
      <c r="B8109" s="4" t="s">
        <v>3</v>
      </c>
      <c r="C8109" s="4" t="s">
        <v>36</v>
      </c>
      <c r="D8109" s="4">
        <v>2012</v>
      </c>
      <c r="E8109" s="4">
        <v>580</v>
      </c>
      <c r="F8109" s="4" t="s">
        <v>29</v>
      </c>
    </row>
    <row r="8110" spans="1:6" x14ac:dyDescent="0.25">
      <c r="A8110" s="4" t="s">
        <v>79</v>
      </c>
      <c r="B8110" s="4" t="s">
        <v>3</v>
      </c>
      <c r="C8110" s="4" t="s">
        <v>36</v>
      </c>
      <c r="D8110" s="4">
        <v>2013</v>
      </c>
      <c r="E8110" s="4">
        <v>330</v>
      </c>
      <c r="F8110" s="4" t="s">
        <v>29</v>
      </c>
    </row>
    <row r="8111" spans="1:6" x14ac:dyDescent="0.25">
      <c r="A8111" s="4" t="s">
        <v>79</v>
      </c>
      <c r="B8111" s="4" t="s">
        <v>3</v>
      </c>
      <c r="C8111" s="4" t="s">
        <v>36</v>
      </c>
      <c r="D8111" s="4">
        <v>2014</v>
      </c>
      <c r="E8111" s="4">
        <v>460</v>
      </c>
      <c r="F8111" s="4" t="s">
        <v>29</v>
      </c>
    </row>
    <row r="8112" spans="1:6" x14ac:dyDescent="0.25">
      <c r="A8112" s="4" t="s">
        <v>79</v>
      </c>
      <c r="B8112" s="4" t="s">
        <v>3</v>
      </c>
      <c r="C8112" s="4" t="s">
        <v>36</v>
      </c>
      <c r="D8112" s="4">
        <v>2015</v>
      </c>
      <c r="E8112" s="4">
        <v>439.2230136986301</v>
      </c>
      <c r="F8112" s="4" t="s">
        <v>29</v>
      </c>
    </row>
    <row r="8113" spans="1:6" x14ac:dyDescent="0.25">
      <c r="A8113" s="4" t="s">
        <v>79</v>
      </c>
      <c r="B8113" s="4" t="s">
        <v>3</v>
      </c>
      <c r="C8113" s="4" t="s">
        <v>36</v>
      </c>
      <c r="D8113" s="4">
        <v>2016</v>
      </c>
      <c r="E8113" s="4">
        <v>416.31040165903886</v>
      </c>
      <c r="F8113" s="4" t="s">
        <v>29</v>
      </c>
    </row>
    <row r="8114" spans="1:6" x14ac:dyDescent="0.25">
      <c r="A8114" s="4" t="s">
        <v>79</v>
      </c>
      <c r="B8114" s="4" t="s">
        <v>3</v>
      </c>
      <c r="C8114" s="4" t="s">
        <v>36</v>
      </c>
      <c r="D8114" s="4">
        <v>2017</v>
      </c>
      <c r="E8114" s="4">
        <v>312</v>
      </c>
      <c r="F8114" s="4" t="s">
        <v>29</v>
      </c>
    </row>
    <row r="8115" spans="1:6" x14ac:dyDescent="0.25">
      <c r="A8115" s="4" t="s">
        <v>79</v>
      </c>
      <c r="B8115" s="4" t="s">
        <v>3</v>
      </c>
      <c r="C8115" s="4" t="s">
        <v>36</v>
      </c>
      <c r="D8115" s="4">
        <v>2018</v>
      </c>
      <c r="E8115" s="4">
        <v>302</v>
      </c>
      <c r="F8115" s="4" t="s">
        <v>29</v>
      </c>
    </row>
    <row r="8116" spans="1:6" x14ac:dyDescent="0.25">
      <c r="A8116" s="4" t="s">
        <v>79</v>
      </c>
      <c r="B8116" s="4" t="s">
        <v>3</v>
      </c>
      <c r="C8116" s="4" t="s">
        <v>36</v>
      </c>
      <c r="D8116" s="4">
        <v>2019</v>
      </c>
      <c r="E8116" s="4">
        <v>287</v>
      </c>
      <c r="F8116" s="4" t="s">
        <v>29</v>
      </c>
    </row>
    <row r="8117" spans="1:6" x14ac:dyDescent="0.25">
      <c r="A8117" s="4" t="s">
        <v>79</v>
      </c>
      <c r="B8117" s="4" t="s">
        <v>3</v>
      </c>
      <c r="C8117" s="4" t="s">
        <v>36</v>
      </c>
      <c r="D8117" s="4">
        <v>2020</v>
      </c>
      <c r="E8117" s="4">
        <v>223</v>
      </c>
      <c r="F8117" s="4" t="s">
        <v>29</v>
      </c>
    </row>
    <row r="8118" spans="1:6" x14ac:dyDescent="0.25">
      <c r="A8118" s="4" t="s">
        <v>79</v>
      </c>
      <c r="B8118" s="4" t="s">
        <v>3</v>
      </c>
      <c r="C8118" s="4" t="s">
        <v>36</v>
      </c>
      <c r="D8118" s="4">
        <v>2021</v>
      </c>
      <c r="E8118" s="4">
        <v>201</v>
      </c>
      <c r="F8118" s="4" t="s">
        <v>29</v>
      </c>
    </row>
    <row r="8119" spans="1:6" x14ac:dyDescent="0.25">
      <c r="A8119" s="4" t="s">
        <v>79</v>
      </c>
      <c r="B8119" s="4" t="s">
        <v>3</v>
      </c>
      <c r="C8119" s="4" t="s">
        <v>36</v>
      </c>
      <c r="D8119" s="4">
        <v>2022</v>
      </c>
      <c r="E8119" s="4">
        <v>0</v>
      </c>
      <c r="F8119" s="4" t="s">
        <v>29</v>
      </c>
    </row>
    <row r="8120" spans="1:6" x14ac:dyDescent="0.25">
      <c r="A8120" s="4" t="s">
        <v>79</v>
      </c>
      <c r="B8120" s="4" t="s">
        <v>3</v>
      </c>
      <c r="C8120" s="4" t="s">
        <v>36</v>
      </c>
      <c r="D8120" s="4">
        <v>2023</v>
      </c>
      <c r="E8120" s="4">
        <v>0</v>
      </c>
      <c r="F8120" s="4" t="s">
        <v>29</v>
      </c>
    </row>
    <row r="8121" spans="1:6" x14ac:dyDescent="0.25">
      <c r="A8121" s="4" t="s">
        <v>79</v>
      </c>
      <c r="B8121" s="4" t="s">
        <v>3</v>
      </c>
      <c r="C8121" s="4" t="s">
        <v>36</v>
      </c>
      <c r="D8121" s="4">
        <v>2024</v>
      </c>
      <c r="E8121" s="4">
        <v>0</v>
      </c>
      <c r="F8121" s="4" t="s">
        <v>29</v>
      </c>
    </row>
    <row r="8122" spans="1:6" x14ac:dyDescent="0.25">
      <c r="A8122" s="4" t="s">
        <v>79</v>
      </c>
      <c r="B8122" s="4" t="s">
        <v>3</v>
      </c>
      <c r="C8122" s="4" t="s">
        <v>36</v>
      </c>
      <c r="D8122" s="4">
        <v>2025</v>
      </c>
      <c r="E8122" s="4">
        <v>0</v>
      </c>
      <c r="F8122" s="4" t="s">
        <v>29</v>
      </c>
    </row>
    <row r="8123" spans="1:6" x14ac:dyDescent="0.25">
      <c r="A8123" s="4" t="s">
        <v>79</v>
      </c>
      <c r="B8123" s="4" t="s">
        <v>3</v>
      </c>
      <c r="C8123" s="4" t="s">
        <v>36</v>
      </c>
      <c r="D8123" s="4">
        <v>2026</v>
      </c>
      <c r="E8123" s="4">
        <v>0</v>
      </c>
      <c r="F8123" s="4" t="s">
        <v>29</v>
      </c>
    </row>
    <row r="8124" spans="1:6" x14ac:dyDescent="0.25">
      <c r="A8124" s="4" t="s">
        <v>79</v>
      </c>
      <c r="B8124" s="4" t="s">
        <v>3</v>
      </c>
      <c r="C8124" s="4" t="s">
        <v>36</v>
      </c>
      <c r="D8124" s="4">
        <v>2027</v>
      </c>
      <c r="E8124" s="4">
        <v>0</v>
      </c>
      <c r="F8124" s="4" t="s">
        <v>29</v>
      </c>
    </row>
    <row r="8125" spans="1:6" x14ac:dyDescent="0.25">
      <c r="A8125" s="4" t="s">
        <v>79</v>
      </c>
      <c r="B8125" s="4" t="s">
        <v>3</v>
      </c>
      <c r="C8125" s="4" t="s">
        <v>36</v>
      </c>
      <c r="D8125" s="4">
        <v>2028</v>
      </c>
      <c r="E8125" s="4">
        <v>0</v>
      </c>
      <c r="F8125" s="4" t="s">
        <v>29</v>
      </c>
    </row>
    <row r="8126" spans="1:6" x14ac:dyDescent="0.25">
      <c r="A8126" s="4" t="s">
        <v>79</v>
      </c>
      <c r="B8126" s="4" t="s">
        <v>3</v>
      </c>
      <c r="C8126" s="4" t="s">
        <v>36</v>
      </c>
      <c r="D8126" s="4">
        <v>2029</v>
      </c>
      <c r="E8126" s="4">
        <v>0</v>
      </c>
      <c r="F8126" s="4" t="s">
        <v>29</v>
      </c>
    </row>
    <row r="8127" spans="1:6" x14ac:dyDescent="0.25">
      <c r="A8127" s="4" t="s">
        <v>79</v>
      </c>
      <c r="B8127" s="4" t="s">
        <v>3</v>
      </c>
      <c r="C8127" s="4" t="s">
        <v>36</v>
      </c>
      <c r="D8127" s="4">
        <v>2030</v>
      </c>
      <c r="E8127" s="4">
        <v>0</v>
      </c>
      <c r="F8127" s="4" t="s">
        <v>29</v>
      </c>
    </row>
    <row r="8128" spans="1:6" x14ac:dyDescent="0.25">
      <c r="A8128" s="4" t="s">
        <v>79</v>
      </c>
      <c r="B8128" s="4" t="s">
        <v>3</v>
      </c>
      <c r="C8128" s="4" t="s">
        <v>36</v>
      </c>
      <c r="D8128" s="4">
        <v>2031</v>
      </c>
      <c r="E8128" s="4">
        <v>0</v>
      </c>
      <c r="F8128" s="4" t="s">
        <v>29</v>
      </c>
    </row>
    <row r="8129" spans="1:6" x14ac:dyDescent="0.25">
      <c r="A8129" s="4" t="s">
        <v>79</v>
      </c>
      <c r="B8129" s="4" t="s">
        <v>3</v>
      </c>
      <c r="C8129" s="4" t="s">
        <v>36</v>
      </c>
      <c r="D8129" s="4">
        <v>2032</v>
      </c>
      <c r="E8129" s="4">
        <v>0</v>
      </c>
      <c r="F8129" s="4" t="s">
        <v>29</v>
      </c>
    </row>
    <row r="8130" spans="1:6" x14ac:dyDescent="0.25">
      <c r="A8130" s="4" t="s">
        <v>79</v>
      </c>
      <c r="B8130" s="4" t="s">
        <v>3</v>
      </c>
      <c r="C8130" s="4" t="s">
        <v>36</v>
      </c>
      <c r="D8130" s="4">
        <v>2033</v>
      </c>
      <c r="E8130" s="4">
        <v>0</v>
      </c>
      <c r="F8130" s="4" t="s">
        <v>29</v>
      </c>
    </row>
    <row r="8131" spans="1:6" x14ac:dyDescent="0.25">
      <c r="A8131" s="4" t="s">
        <v>79</v>
      </c>
      <c r="B8131" s="4" t="s">
        <v>3</v>
      </c>
      <c r="C8131" s="4" t="s">
        <v>36</v>
      </c>
      <c r="D8131" s="4">
        <v>2034</v>
      </c>
      <c r="E8131" s="4">
        <v>0</v>
      </c>
      <c r="F8131" s="4" t="s">
        <v>29</v>
      </c>
    </row>
    <row r="8132" spans="1:6" x14ac:dyDescent="0.25">
      <c r="A8132" s="4" t="s">
        <v>79</v>
      </c>
      <c r="B8132" s="4" t="s">
        <v>3</v>
      </c>
      <c r="C8132" s="4" t="s">
        <v>36</v>
      </c>
      <c r="D8132" s="4">
        <v>2035</v>
      </c>
      <c r="E8132" s="4">
        <v>0</v>
      </c>
      <c r="F8132" s="4" t="s">
        <v>29</v>
      </c>
    </row>
    <row r="8133" spans="1:6" x14ac:dyDescent="0.25">
      <c r="A8133" s="4" t="s">
        <v>79</v>
      </c>
      <c r="B8133" s="4" t="s">
        <v>3</v>
      </c>
      <c r="C8133" s="4" t="s">
        <v>36</v>
      </c>
      <c r="D8133" s="4">
        <v>2036</v>
      </c>
      <c r="E8133" s="4">
        <v>0</v>
      </c>
      <c r="F8133" s="4" t="s">
        <v>29</v>
      </c>
    </row>
    <row r="8134" spans="1:6" x14ac:dyDescent="0.25">
      <c r="A8134" s="4" t="s">
        <v>79</v>
      </c>
      <c r="B8134" s="4" t="s">
        <v>3</v>
      </c>
      <c r="C8134" s="4" t="s">
        <v>36</v>
      </c>
      <c r="D8134" s="4">
        <v>2037</v>
      </c>
      <c r="E8134" s="4">
        <v>0</v>
      </c>
      <c r="F8134" s="4" t="s">
        <v>29</v>
      </c>
    </row>
    <row r="8135" spans="1:6" x14ac:dyDescent="0.25">
      <c r="A8135" s="4" t="s">
        <v>79</v>
      </c>
      <c r="B8135" s="4" t="s">
        <v>3</v>
      </c>
      <c r="C8135" s="4" t="s">
        <v>36</v>
      </c>
      <c r="D8135" s="4">
        <v>2038</v>
      </c>
      <c r="E8135" s="4">
        <v>0</v>
      </c>
      <c r="F8135" s="4" t="s">
        <v>29</v>
      </c>
    </row>
    <row r="8136" spans="1:6" x14ac:dyDescent="0.25">
      <c r="A8136" s="4" t="s">
        <v>79</v>
      </c>
      <c r="B8136" s="4" t="s">
        <v>3</v>
      </c>
      <c r="C8136" s="4" t="s">
        <v>36</v>
      </c>
      <c r="D8136" s="4">
        <v>2039</v>
      </c>
      <c r="E8136" s="4">
        <v>0</v>
      </c>
      <c r="F8136" s="4" t="s">
        <v>29</v>
      </c>
    </row>
    <row r="8137" spans="1:6" x14ac:dyDescent="0.25">
      <c r="A8137" s="4" t="s">
        <v>79</v>
      </c>
      <c r="B8137" s="4" t="s">
        <v>3</v>
      </c>
      <c r="C8137" s="4" t="s">
        <v>36</v>
      </c>
      <c r="D8137" s="4">
        <v>2040</v>
      </c>
      <c r="E8137" s="4">
        <v>0</v>
      </c>
      <c r="F8137" s="4" t="s">
        <v>29</v>
      </c>
    </row>
    <row r="8138" spans="1:6" x14ac:dyDescent="0.25">
      <c r="A8138" s="4" t="s">
        <v>79</v>
      </c>
      <c r="B8138" s="4" t="s">
        <v>23</v>
      </c>
      <c r="C8138" s="4" t="s">
        <v>36</v>
      </c>
      <c r="D8138" s="4">
        <v>2005</v>
      </c>
      <c r="E8138" s="4">
        <v>2050</v>
      </c>
      <c r="F8138" s="4" t="s">
        <v>29</v>
      </c>
    </row>
    <row r="8139" spans="1:6" x14ac:dyDescent="0.25">
      <c r="A8139" s="4" t="s">
        <v>79</v>
      </c>
      <c r="B8139" s="4" t="s">
        <v>23</v>
      </c>
      <c r="C8139" s="4" t="s">
        <v>36</v>
      </c>
      <c r="D8139" s="4">
        <v>2006</v>
      </c>
      <c r="E8139" s="4">
        <v>1910</v>
      </c>
      <c r="F8139" s="4" t="s">
        <v>29</v>
      </c>
    </row>
    <row r="8140" spans="1:6" x14ac:dyDescent="0.25">
      <c r="A8140" s="4" t="s">
        <v>79</v>
      </c>
      <c r="B8140" s="4" t="s">
        <v>23</v>
      </c>
      <c r="C8140" s="4" t="s">
        <v>36</v>
      </c>
      <c r="D8140" s="4">
        <v>2007</v>
      </c>
      <c r="E8140" s="4">
        <v>1890</v>
      </c>
      <c r="F8140" s="4" t="s">
        <v>29</v>
      </c>
    </row>
    <row r="8141" spans="1:6" x14ac:dyDescent="0.25">
      <c r="A8141" s="4" t="s">
        <v>79</v>
      </c>
      <c r="B8141" s="4" t="s">
        <v>23</v>
      </c>
      <c r="C8141" s="4" t="s">
        <v>36</v>
      </c>
      <c r="D8141" s="4">
        <v>2008</v>
      </c>
      <c r="E8141" s="4">
        <v>1750</v>
      </c>
      <c r="F8141" s="4" t="s">
        <v>29</v>
      </c>
    </row>
    <row r="8142" spans="1:6" x14ac:dyDescent="0.25">
      <c r="A8142" s="4" t="s">
        <v>79</v>
      </c>
      <c r="B8142" s="4" t="s">
        <v>23</v>
      </c>
      <c r="C8142" s="4" t="s">
        <v>36</v>
      </c>
      <c r="D8142" s="4">
        <v>2009</v>
      </c>
      <c r="E8142" s="4">
        <v>1130</v>
      </c>
      <c r="F8142" s="4" t="s">
        <v>29</v>
      </c>
    </row>
    <row r="8143" spans="1:6" x14ac:dyDescent="0.25">
      <c r="A8143" s="4" t="s">
        <v>79</v>
      </c>
      <c r="B8143" s="4" t="s">
        <v>23</v>
      </c>
      <c r="C8143" s="4" t="s">
        <v>36</v>
      </c>
      <c r="D8143" s="4">
        <v>2010</v>
      </c>
      <c r="E8143" s="4">
        <v>1070</v>
      </c>
      <c r="F8143" s="4" t="s">
        <v>29</v>
      </c>
    </row>
    <row r="8144" spans="1:6" x14ac:dyDescent="0.25">
      <c r="A8144" s="4" t="s">
        <v>79</v>
      </c>
      <c r="B8144" s="4" t="s">
        <v>23</v>
      </c>
      <c r="C8144" s="4" t="s">
        <v>36</v>
      </c>
      <c r="D8144" s="4">
        <v>2011</v>
      </c>
      <c r="E8144" s="4">
        <v>860</v>
      </c>
      <c r="F8144" s="4" t="s">
        <v>29</v>
      </c>
    </row>
    <row r="8145" spans="1:6" x14ac:dyDescent="0.25">
      <c r="A8145" s="4" t="s">
        <v>79</v>
      </c>
      <c r="B8145" s="4" t="s">
        <v>23</v>
      </c>
      <c r="C8145" s="4" t="s">
        <v>36</v>
      </c>
      <c r="D8145" s="4">
        <v>2012</v>
      </c>
      <c r="E8145" s="4">
        <v>580</v>
      </c>
      <c r="F8145" s="4" t="s">
        <v>29</v>
      </c>
    </row>
    <row r="8146" spans="1:6" x14ac:dyDescent="0.25">
      <c r="A8146" s="4" t="s">
        <v>79</v>
      </c>
      <c r="B8146" s="4" t="s">
        <v>23</v>
      </c>
      <c r="C8146" s="4" t="s">
        <v>36</v>
      </c>
      <c r="D8146" s="4">
        <v>2013</v>
      </c>
      <c r="E8146" s="4">
        <v>330</v>
      </c>
      <c r="F8146" s="4" t="s">
        <v>29</v>
      </c>
    </row>
    <row r="8147" spans="1:6" x14ac:dyDescent="0.25">
      <c r="A8147" s="4" t="s">
        <v>79</v>
      </c>
      <c r="B8147" s="4" t="s">
        <v>23</v>
      </c>
      <c r="C8147" s="4" t="s">
        <v>36</v>
      </c>
      <c r="D8147" s="4">
        <v>2014</v>
      </c>
      <c r="E8147" s="4">
        <v>460</v>
      </c>
      <c r="F8147" s="4" t="s">
        <v>29</v>
      </c>
    </row>
    <row r="8148" spans="1:6" x14ac:dyDescent="0.25">
      <c r="A8148" s="4" t="s">
        <v>79</v>
      </c>
      <c r="B8148" s="4" t="s">
        <v>23</v>
      </c>
      <c r="C8148" s="4" t="s">
        <v>36</v>
      </c>
      <c r="D8148" s="4">
        <v>2015</v>
      </c>
      <c r="E8148" s="4">
        <v>439.2230136986301</v>
      </c>
      <c r="F8148" s="4" t="s">
        <v>29</v>
      </c>
    </row>
    <row r="8149" spans="1:6" x14ac:dyDescent="0.25">
      <c r="A8149" s="4" t="s">
        <v>79</v>
      </c>
      <c r="B8149" s="4" t="s">
        <v>23</v>
      </c>
      <c r="C8149" s="4" t="s">
        <v>36</v>
      </c>
      <c r="D8149" s="4">
        <v>2016</v>
      </c>
      <c r="E8149" s="4">
        <v>416.31040165903886</v>
      </c>
      <c r="F8149" s="4" t="s">
        <v>29</v>
      </c>
    </row>
    <row r="8150" spans="1:6" x14ac:dyDescent="0.25">
      <c r="A8150" s="4" t="s">
        <v>79</v>
      </c>
      <c r="B8150" s="4" t="s">
        <v>23</v>
      </c>
      <c r="C8150" s="4" t="s">
        <v>36</v>
      </c>
      <c r="D8150" s="4">
        <v>2017</v>
      </c>
      <c r="E8150" s="4">
        <v>312</v>
      </c>
      <c r="F8150" s="4" t="s">
        <v>29</v>
      </c>
    </row>
    <row r="8151" spans="1:6" x14ac:dyDescent="0.25">
      <c r="A8151" s="4" t="s">
        <v>79</v>
      </c>
      <c r="B8151" s="4" t="s">
        <v>23</v>
      </c>
      <c r="C8151" s="4" t="s">
        <v>36</v>
      </c>
      <c r="D8151" s="4">
        <v>2018</v>
      </c>
      <c r="E8151" s="4">
        <v>302</v>
      </c>
      <c r="F8151" s="4" t="s">
        <v>29</v>
      </c>
    </row>
    <row r="8152" spans="1:6" x14ac:dyDescent="0.25">
      <c r="A8152" s="4" t="s">
        <v>79</v>
      </c>
      <c r="B8152" s="4" t="s">
        <v>23</v>
      </c>
      <c r="C8152" s="4" t="s">
        <v>36</v>
      </c>
      <c r="D8152" s="4">
        <v>2019</v>
      </c>
      <c r="E8152" s="4">
        <v>287</v>
      </c>
      <c r="F8152" s="4" t="s">
        <v>29</v>
      </c>
    </row>
    <row r="8153" spans="1:6" x14ac:dyDescent="0.25">
      <c r="A8153" s="4" t="s">
        <v>79</v>
      </c>
      <c r="B8153" s="4" t="s">
        <v>23</v>
      </c>
      <c r="C8153" s="4" t="s">
        <v>36</v>
      </c>
      <c r="D8153" s="4">
        <v>2020</v>
      </c>
      <c r="E8153" s="4">
        <v>223</v>
      </c>
      <c r="F8153" s="4" t="s">
        <v>29</v>
      </c>
    </row>
    <row r="8154" spans="1:6" x14ac:dyDescent="0.25">
      <c r="A8154" s="4" t="s">
        <v>79</v>
      </c>
      <c r="B8154" s="4" t="s">
        <v>23</v>
      </c>
      <c r="C8154" s="4" t="s">
        <v>36</v>
      </c>
      <c r="D8154" s="4">
        <v>2021</v>
      </c>
      <c r="E8154" s="4">
        <v>201</v>
      </c>
      <c r="F8154" s="4" t="s">
        <v>29</v>
      </c>
    </row>
    <row r="8155" spans="1:6" x14ac:dyDescent="0.25">
      <c r="A8155" s="4" t="s">
        <v>79</v>
      </c>
      <c r="B8155" s="4" t="s">
        <v>23</v>
      </c>
      <c r="C8155" s="4" t="s">
        <v>36</v>
      </c>
      <c r="D8155" s="4">
        <v>2022</v>
      </c>
      <c r="E8155" s="4">
        <v>0</v>
      </c>
      <c r="F8155" s="4" t="s">
        <v>29</v>
      </c>
    </row>
    <row r="8156" spans="1:6" x14ac:dyDescent="0.25">
      <c r="A8156" s="4" t="s">
        <v>79</v>
      </c>
      <c r="B8156" s="4" t="s">
        <v>23</v>
      </c>
      <c r="C8156" s="4" t="s">
        <v>36</v>
      </c>
      <c r="D8156" s="4">
        <v>2023</v>
      </c>
      <c r="E8156" s="4">
        <v>0</v>
      </c>
      <c r="F8156" s="4" t="s">
        <v>29</v>
      </c>
    </row>
    <row r="8157" spans="1:6" x14ac:dyDescent="0.25">
      <c r="A8157" s="4" t="s">
        <v>79</v>
      </c>
      <c r="B8157" s="4" t="s">
        <v>23</v>
      </c>
      <c r="C8157" s="4" t="s">
        <v>36</v>
      </c>
      <c r="D8157" s="4">
        <v>2024</v>
      </c>
      <c r="E8157" s="4">
        <v>0</v>
      </c>
      <c r="F8157" s="4" t="s">
        <v>29</v>
      </c>
    </row>
    <row r="8158" spans="1:6" x14ac:dyDescent="0.25">
      <c r="A8158" s="4" t="s">
        <v>79</v>
      </c>
      <c r="B8158" s="4" t="s">
        <v>23</v>
      </c>
      <c r="C8158" s="4" t="s">
        <v>36</v>
      </c>
      <c r="D8158" s="4">
        <v>2025</v>
      </c>
      <c r="E8158" s="4">
        <v>0</v>
      </c>
      <c r="F8158" s="4" t="s">
        <v>29</v>
      </c>
    </row>
    <row r="8159" spans="1:6" x14ac:dyDescent="0.25">
      <c r="A8159" s="4" t="s">
        <v>79</v>
      </c>
      <c r="B8159" s="4" t="s">
        <v>23</v>
      </c>
      <c r="C8159" s="4" t="s">
        <v>36</v>
      </c>
      <c r="D8159" s="4">
        <v>2026</v>
      </c>
      <c r="E8159" s="4">
        <v>0</v>
      </c>
      <c r="F8159" s="4" t="s">
        <v>29</v>
      </c>
    </row>
    <row r="8160" spans="1:6" x14ac:dyDescent="0.25">
      <c r="A8160" s="4" t="s">
        <v>79</v>
      </c>
      <c r="B8160" s="4" t="s">
        <v>23</v>
      </c>
      <c r="C8160" s="4" t="s">
        <v>36</v>
      </c>
      <c r="D8160" s="4">
        <v>2027</v>
      </c>
      <c r="E8160" s="4">
        <v>0</v>
      </c>
      <c r="F8160" s="4" t="s">
        <v>29</v>
      </c>
    </row>
    <row r="8161" spans="1:6" x14ac:dyDescent="0.25">
      <c r="A8161" s="4" t="s">
        <v>79</v>
      </c>
      <c r="B8161" s="4" t="s">
        <v>23</v>
      </c>
      <c r="C8161" s="4" t="s">
        <v>36</v>
      </c>
      <c r="D8161" s="4">
        <v>2028</v>
      </c>
      <c r="E8161" s="4">
        <v>0</v>
      </c>
      <c r="F8161" s="4" t="s">
        <v>29</v>
      </c>
    </row>
    <row r="8162" spans="1:6" x14ac:dyDescent="0.25">
      <c r="A8162" s="4" t="s">
        <v>79</v>
      </c>
      <c r="B8162" s="4" t="s">
        <v>23</v>
      </c>
      <c r="C8162" s="4" t="s">
        <v>36</v>
      </c>
      <c r="D8162" s="4">
        <v>2029</v>
      </c>
      <c r="E8162" s="4">
        <v>0</v>
      </c>
      <c r="F8162" s="4" t="s">
        <v>29</v>
      </c>
    </row>
    <row r="8163" spans="1:6" x14ac:dyDescent="0.25">
      <c r="A8163" s="4" t="s">
        <v>79</v>
      </c>
      <c r="B8163" s="4" t="s">
        <v>23</v>
      </c>
      <c r="C8163" s="4" t="s">
        <v>36</v>
      </c>
      <c r="D8163" s="4">
        <v>2030</v>
      </c>
      <c r="E8163" s="4">
        <v>0</v>
      </c>
      <c r="F8163" s="4" t="s">
        <v>29</v>
      </c>
    </row>
    <row r="8164" spans="1:6" x14ac:dyDescent="0.25">
      <c r="A8164" s="4" t="s">
        <v>79</v>
      </c>
      <c r="B8164" s="4" t="s">
        <v>23</v>
      </c>
      <c r="C8164" s="4" t="s">
        <v>36</v>
      </c>
      <c r="D8164" s="4">
        <v>2031</v>
      </c>
      <c r="E8164" s="4">
        <v>0</v>
      </c>
      <c r="F8164" s="4" t="s">
        <v>29</v>
      </c>
    </row>
    <row r="8165" spans="1:6" x14ac:dyDescent="0.25">
      <c r="A8165" s="4" t="s">
        <v>79</v>
      </c>
      <c r="B8165" s="4" t="s">
        <v>23</v>
      </c>
      <c r="C8165" s="4" t="s">
        <v>36</v>
      </c>
      <c r="D8165" s="4">
        <v>2032</v>
      </c>
      <c r="E8165" s="4">
        <v>0</v>
      </c>
      <c r="F8165" s="4" t="s">
        <v>29</v>
      </c>
    </row>
    <row r="8166" spans="1:6" x14ac:dyDescent="0.25">
      <c r="A8166" s="4" t="s">
        <v>79</v>
      </c>
      <c r="B8166" s="4" t="s">
        <v>23</v>
      </c>
      <c r="C8166" s="4" t="s">
        <v>36</v>
      </c>
      <c r="D8166" s="4">
        <v>2033</v>
      </c>
      <c r="E8166" s="4">
        <v>0</v>
      </c>
      <c r="F8166" s="4" t="s">
        <v>29</v>
      </c>
    </row>
    <row r="8167" spans="1:6" x14ac:dyDescent="0.25">
      <c r="A8167" s="4" t="s">
        <v>79</v>
      </c>
      <c r="B8167" s="4" t="s">
        <v>23</v>
      </c>
      <c r="C8167" s="4" t="s">
        <v>36</v>
      </c>
      <c r="D8167" s="4">
        <v>2034</v>
      </c>
      <c r="E8167" s="4">
        <v>0</v>
      </c>
      <c r="F8167" s="4" t="s">
        <v>29</v>
      </c>
    </row>
    <row r="8168" spans="1:6" x14ac:dyDescent="0.25">
      <c r="A8168" s="4" t="s">
        <v>79</v>
      </c>
      <c r="B8168" s="4" t="s">
        <v>23</v>
      </c>
      <c r="C8168" s="4" t="s">
        <v>36</v>
      </c>
      <c r="D8168" s="4">
        <v>2035</v>
      </c>
      <c r="E8168" s="4">
        <v>0</v>
      </c>
      <c r="F8168" s="4" t="s">
        <v>29</v>
      </c>
    </row>
    <row r="8169" spans="1:6" x14ac:dyDescent="0.25">
      <c r="A8169" s="4" t="s">
        <v>79</v>
      </c>
      <c r="B8169" s="4" t="s">
        <v>23</v>
      </c>
      <c r="C8169" s="4" t="s">
        <v>36</v>
      </c>
      <c r="D8169" s="4">
        <v>2036</v>
      </c>
      <c r="E8169" s="4">
        <v>0</v>
      </c>
      <c r="F8169" s="4" t="s">
        <v>29</v>
      </c>
    </row>
    <row r="8170" spans="1:6" x14ac:dyDescent="0.25">
      <c r="A8170" s="4" t="s">
        <v>79</v>
      </c>
      <c r="B8170" s="4" t="s">
        <v>23</v>
      </c>
      <c r="C8170" s="4" t="s">
        <v>36</v>
      </c>
      <c r="D8170" s="4">
        <v>2037</v>
      </c>
      <c r="E8170" s="4">
        <v>0</v>
      </c>
      <c r="F8170" s="4" t="s">
        <v>29</v>
      </c>
    </row>
    <row r="8171" spans="1:6" x14ac:dyDescent="0.25">
      <c r="A8171" s="4" t="s">
        <v>79</v>
      </c>
      <c r="B8171" s="4" t="s">
        <v>23</v>
      </c>
      <c r="C8171" s="4" t="s">
        <v>36</v>
      </c>
      <c r="D8171" s="4">
        <v>2038</v>
      </c>
      <c r="E8171" s="4">
        <v>0</v>
      </c>
      <c r="F8171" s="4" t="s">
        <v>29</v>
      </c>
    </row>
    <row r="8172" spans="1:6" x14ac:dyDescent="0.25">
      <c r="A8172" s="4" t="s">
        <v>79</v>
      </c>
      <c r="B8172" s="4" t="s">
        <v>23</v>
      </c>
      <c r="C8172" s="4" t="s">
        <v>36</v>
      </c>
      <c r="D8172" s="4">
        <v>2039</v>
      </c>
      <c r="E8172" s="4">
        <v>0</v>
      </c>
      <c r="F8172" s="4" t="s">
        <v>29</v>
      </c>
    </row>
    <row r="8173" spans="1:6" x14ac:dyDescent="0.25">
      <c r="A8173" s="4" t="s">
        <v>79</v>
      </c>
      <c r="B8173" s="4" t="s">
        <v>23</v>
      </c>
      <c r="C8173" s="4" t="s">
        <v>36</v>
      </c>
      <c r="D8173" s="4">
        <v>2040</v>
      </c>
      <c r="E8173" s="4">
        <v>0</v>
      </c>
      <c r="F8173" s="4" t="s">
        <v>29</v>
      </c>
    </row>
    <row r="8174" spans="1:6" x14ac:dyDescent="0.25">
      <c r="A8174" s="4" t="s">
        <v>80</v>
      </c>
      <c r="B8174" s="4" t="s">
        <v>1</v>
      </c>
      <c r="C8174" s="4" t="s">
        <v>36</v>
      </c>
      <c r="D8174" s="4">
        <v>2005</v>
      </c>
      <c r="E8174" s="4">
        <v>48470</v>
      </c>
      <c r="F8174" s="4" t="s">
        <v>29</v>
      </c>
    </row>
    <row r="8175" spans="1:6" x14ac:dyDescent="0.25">
      <c r="A8175" s="4" t="s">
        <v>80</v>
      </c>
      <c r="B8175" s="4" t="s">
        <v>1</v>
      </c>
      <c r="C8175" s="4" t="s">
        <v>36</v>
      </c>
      <c r="D8175" s="4">
        <v>2006</v>
      </c>
      <c r="E8175" s="4">
        <v>48280</v>
      </c>
      <c r="F8175" s="4" t="s">
        <v>29</v>
      </c>
    </row>
    <row r="8176" spans="1:6" x14ac:dyDescent="0.25">
      <c r="A8176" s="4" t="s">
        <v>80</v>
      </c>
      <c r="B8176" s="4" t="s">
        <v>1</v>
      </c>
      <c r="C8176" s="4" t="s">
        <v>36</v>
      </c>
      <c r="D8176" s="4">
        <v>2007</v>
      </c>
      <c r="E8176" s="4">
        <v>58580</v>
      </c>
      <c r="F8176" s="4" t="s">
        <v>29</v>
      </c>
    </row>
    <row r="8177" spans="1:6" x14ac:dyDescent="0.25">
      <c r="A8177" s="4" t="s">
        <v>80</v>
      </c>
      <c r="B8177" s="4" t="s">
        <v>1</v>
      </c>
      <c r="C8177" s="4" t="s">
        <v>36</v>
      </c>
      <c r="D8177" s="4">
        <v>2008</v>
      </c>
      <c r="E8177" s="4">
        <v>54550</v>
      </c>
      <c r="F8177" s="4" t="s">
        <v>29</v>
      </c>
    </row>
    <row r="8178" spans="1:6" x14ac:dyDescent="0.25">
      <c r="A8178" s="4" t="s">
        <v>80</v>
      </c>
      <c r="B8178" s="4" t="s">
        <v>1</v>
      </c>
      <c r="C8178" s="4" t="s">
        <v>36</v>
      </c>
      <c r="D8178" s="4">
        <v>2009</v>
      </c>
      <c r="E8178" s="4">
        <v>42550</v>
      </c>
      <c r="F8178" s="4" t="s">
        <v>29</v>
      </c>
    </row>
    <row r="8179" spans="1:6" x14ac:dyDescent="0.25">
      <c r="A8179" s="4" t="s">
        <v>80</v>
      </c>
      <c r="B8179" s="4" t="s">
        <v>1</v>
      </c>
      <c r="C8179" s="4" t="s">
        <v>36</v>
      </c>
      <c r="D8179" s="4">
        <v>2010</v>
      </c>
      <c r="E8179" s="4">
        <v>43850</v>
      </c>
      <c r="F8179" s="4" t="s">
        <v>29</v>
      </c>
    </row>
    <row r="8180" spans="1:6" x14ac:dyDescent="0.25">
      <c r="A8180" s="4" t="s">
        <v>80</v>
      </c>
      <c r="B8180" s="4" t="s">
        <v>1</v>
      </c>
      <c r="C8180" s="4" t="s">
        <v>36</v>
      </c>
      <c r="D8180" s="4">
        <v>2011</v>
      </c>
      <c r="E8180" s="4">
        <v>42140</v>
      </c>
      <c r="F8180" s="4" t="s">
        <v>29</v>
      </c>
    </row>
    <row r="8181" spans="1:6" x14ac:dyDescent="0.25">
      <c r="A8181" s="4" t="s">
        <v>80</v>
      </c>
      <c r="B8181" s="4" t="s">
        <v>1</v>
      </c>
      <c r="C8181" s="4" t="s">
        <v>36</v>
      </c>
      <c r="D8181" s="4">
        <v>2012</v>
      </c>
      <c r="E8181" s="4">
        <v>31430</v>
      </c>
      <c r="F8181" s="4" t="s">
        <v>29</v>
      </c>
    </row>
    <row r="8182" spans="1:6" x14ac:dyDescent="0.25">
      <c r="A8182" s="4" t="s">
        <v>80</v>
      </c>
      <c r="B8182" s="4" t="s">
        <v>1</v>
      </c>
      <c r="C8182" s="4" t="s">
        <v>36</v>
      </c>
      <c r="D8182" s="4">
        <v>2013</v>
      </c>
      <c r="E8182" s="4">
        <v>36870</v>
      </c>
      <c r="F8182" s="4" t="s">
        <v>29</v>
      </c>
    </row>
    <row r="8183" spans="1:6" x14ac:dyDescent="0.25">
      <c r="A8183" s="4" t="s">
        <v>80</v>
      </c>
      <c r="B8183" s="4" t="s">
        <v>1</v>
      </c>
      <c r="C8183" s="4" t="s">
        <v>36</v>
      </c>
      <c r="D8183" s="4">
        <v>2014</v>
      </c>
      <c r="E8183" s="4">
        <v>34340</v>
      </c>
      <c r="F8183" s="4" t="s">
        <v>29</v>
      </c>
    </row>
    <row r="8184" spans="1:6" x14ac:dyDescent="0.25">
      <c r="A8184" s="4" t="s">
        <v>80</v>
      </c>
      <c r="B8184" s="4" t="s">
        <v>1</v>
      </c>
      <c r="C8184" s="4" t="s">
        <v>36</v>
      </c>
      <c r="D8184" s="4">
        <v>2015</v>
      </c>
      <c r="E8184" s="4">
        <v>27348</v>
      </c>
      <c r="F8184" s="4" t="s">
        <v>29</v>
      </c>
    </row>
    <row r="8185" spans="1:6" x14ac:dyDescent="0.25">
      <c r="A8185" s="4" t="s">
        <v>80</v>
      </c>
      <c r="B8185" s="4" t="s">
        <v>1</v>
      </c>
      <c r="C8185" s="4" t="s">
        <v>36</v>
      </c>
      <c r="D8185" s="4">
        <v>2016</v>
      </c>
      <c r="E8185" s="4">
        <v>33334</v>
      </c>
      <c r="F8185" s="4" t="s">
        <v>29</v>
      </c>
    </row>
    <row r="8186" spans="1:6" x14ac:dyDescent="0.25">
      <c r="A8186" s="4" t="s">
        <v>80</v>
      </c>
      <c r="B8186" s="4" t="s">
        <v>1</v>
      </c>
      <c r="C8186" s="4" t="s">
        <v>36</v>
      </c>
      <c r="D8186" s="4">
        <v>2017</v>
      </c>
      <c r="E8186" s="4">
        <v>34760</v>
      </c>
      <c r="F8186" s="4" t="s">
        <v>29</v>
      </c>
    </row>
    <row r="8187" spans="1:6" x14ac:dyDescent="0.25">
      <c r="A8187" s="4" t="s">
        <v>80</v>
      </c>
      <c r="B8187" s="4" t="s">
        <v>1</v>
      </c>
      <c r="C8187" s="4" t="s">
        <v>36</v>
      </c>
      <c r="D8187" s="4">
        <v>2018</v>
      </c>
      <c r="E8187" s="4">
        <v>29943.074179243024</v>
      </c>
      <c r="F8187" s="4" t="s">
        <v>29</v>
      </c>
    </row>
    <row r="8188" spans="1:6" x14ac:dyDescent="0.25">
      <c r="A8188" s="4" t="s">
        <v>80</v>
      </c>
      <c r="B8188" s="4" t="s">
        <v>1</v>
      </c>
      <c r="C8188" s="4" t="s">
        <v>36</v>
      </c>
      <c r="D8188" s="4">
        <v>2019</v>
      </c>
      <c r="E8188" s="4">
        <v>29968.449411092381</v>
      </c>
      <c r="F8188" s="4" t="s">
        <v>29</v>
      </c>
    </row>
    <row r="8189" spans="1:6" x14ac:dyDescent="0.25">
      <c r="A8189" s="4" t="s">
        <v>80</v>
      </c>
      <c r="B8189" s="4" t="s">
        <v>1</v>
      </c>
      <c r="C8189" s="4" t="s">
        <v>36</v>
      </c>
      <c r="D8189" s="4">
        <v>2020</v>
      </c>
      <c r="E8189" s="4">
        <v>23373.788212816609</v>
      </c>
      <c r="F8189" s="4" t="s">
        <v>29</v>
      </c>
    </row>
    <row r="8190" spans="1:6" x14ac:dyDescent="0.25">
      <c r="A8190" s="4" t="s">
        <v>80</v>
      </c>
      <c r="B8190" s="4" t="s">
        <v>1</v>
      </c>
      <c r="C8190" s="4" t="s">
        <v>36</v>
      </c>
      <c r="D8190" s="4">
        <v>2021</v>
      </c>
      <c r="E8190" s="4">
        <v>23819.012558388451</v>
      </c>
      <c r="F8190" s="4" t="s">
        <v>29</v>
      </c>
    </row>
    <row r="8191" spans="1:6" x14ac:dyDescent="0.25">
      <c r="A8191" s="4" t="s">
        <v>80</v>
      </c>
      <c r="B8191" s="4" t="s">
        <v>1</v>
      </c>
      <c r="C8191" s="4" t="s">
        <v>36</v>
      </c>
      <c r="D8191" s="4">
        <v>2022</v>
      </c>
      <c r="E8191" s="4">
        <v>23313.191624099385</v>
      </c>
      <c r="F8191" s="4" t="s">
        <v>29</v>
      </c>
    </row>
    <row r="8192" spans="1:6" x14ac:dyDescent="0.25">
      <c r="A8192" s="4" t="s">
        <v>80</v>
      </c>
      <c r="B8192" s="4" t="s">
        <v>1</v>
      </c>
      <c r="C8192" s="4" t="s">
        <v>36</v>
      </c>
      <c r="D8192" s="4">
        <v>2023</v>
      </c>
      <c r="E8192" s="4">
        <v>26668.918521480115</v>
      </c>
      <c r="F8192" s="4" t="s">
        <v>29</v>
      </c>
    </row>
    <row r="8193" spans="1:6" x14ac:dyDescent="0.25">
      <c r="A8193" s="4" t="s">
        <v>80</v>
      </c>
      <c r="B8193" s="4" t="s">
        <v>1</v>
      </c>
      <c r="C8193" s="4" t="s">
        <v>36</v>
      </c>
      <c r="D8193" s="4">
        <v>2024</v>
      </c>
      <c r="E8193" s="4">
        <v>26008.9765202526</v>
      </c>
      <c r="F8193" s="4" t="s">
        <v>29</v>
      </c>
    </row>
    <row r="8194" spans="1:6" x14ac:dyDescent="0.25">
      <c r="A8194" s="4" t="s">
        <v>80</v>
      </c>
      <c r="B8194" s="4" t="s">
        <v>1</v>
      </c>
      <c r="C8194" s="4" t="s">
        <v>36</v>
      </c>
      <c r="D8194" s="4">
        <v>2025</v>
      </c>
      <c r="E8194" s="4">
        <v>25222.764641027643</v>
      </c>
      <c r="F8194" s="4" t="s">
        <v>29</v>
      </c>
    </row>
    <row r="8195" spans="1:6" x14ac:dyDescent="0.25">
      <c r="A8195" s="4" t="s">
        <v>80</v>
      </c>
      <c r="B8195" s="4" t="s">
        <v>1</v>
      </c>
      <c r="C8195" s="4" t="s">
        <v>36</v>
      </c>
      <c r="D8195" s="4">
        <v>2026</v>
      </c>
      <c r="E8195" s="4">
        <v>23101.052005617599</v>
      </c>
      <c r="F8195" s="4" t="s">
        <v>29</v>
      </c>
    </row>
    <row r="8196" spans="1:6" x14ac:dyDescent="0.25">
      <c r="A8196" s="4" t="s">
        <v>80</v>
      </c>
      <c r="B8196" s="4" t="s">
        <v>1</v>
      </c>
      <c r="C8196" s="4" t="s">
        <v>36</v>
      </c>
      <c r="D8196" s="4">
        <v>2027</v>
      </c>
      <c r="E8196" s="4">
        <v>21315.52846813955</v>
      </c>
      <c r="F8196" s="4" t="s">
        <v>29</v>
      </c>
    </row>
    <row r="8197" spans="1:6" x14ac:dyDescent="0.25">
      <c r="A8197" s="4" t="s">
        <v>80</v>
      </c>
      <c r="B8197" s="4" t="s">
        <v>1</v>
      </c>
      <c r="C8197" s="4" t="s">
        <v>36</v>
      </c>
      <c r="D8197" s="4">
        <v>2028</v>
      </c>
      <c r="E8197" s="4">
        <v>18689.10127746845</v>
      </c>
      <c r="F8197" s="4" t="s">
        <v>29</v>
      </c>
    </row>
    <row r="8198" spans="1:6" x14ac:dyDescent="0.25">
      <c r="A8198" s="4" t="s">
        <v>80</v>
      </c>
      <c r="B8198" s="4" t="s">
        <v>1</v>
      </c>
      <c r="C8198" s="4" t="s">
        <v>36</v>
      </c>
      <c r="D8198" s="4">
        <v>2029</v>
      </c>
      <c r="E8198" s="4">
        <v>17315.590956273947</v>
      </c>
      <c r="F8198" s="4" t="s">
        <v>29</v>
      </c>
    </row>
    <row r="8199" spans="1:6" x14ac:dyDescent="0.25">
      <c r="A8199" s="4" t="s">
        <v>80</v>
      </c>
      <c r="B8199" s="4" t="s">
        <v>1</v>
      </c>
      <c r="C8199" s="4" t="s">
        <v>36</v>
      </c>
      <c r="D8199" s="4">
        <v>2030</v>
      </c>
      <c r="E8199" s="4">
        <v>15610.750049990724</v>
      </c>
      <c r="F8199" s="4" t="s">
        <v>29</v>
      </c>
    </row>
    <row r="8200" spans="1:6" x14ac:dyDescent="0.25">
      <c r="A8200" s="4" t="s">
        <v>80</v>
      </c>
      <c r="B8200" s="4" t="s">
        <v>1</v>
      </c>
      <c r="C8200" s="4" t="s">
        <v>36</v>
      </c>
      <c r="D8200" s="4">
        <v>2031</v>
      </c>
      <c r="E8200" s="4">
        <v>15846.831286431523</v>
      </c>
      <c r="F8200" s="4" t="s">
        <v>29</v>
      </c>
    </row>
    <row r="8201" spans="1:6" x14ac:dyDescent="0.25">
      <c r="A8201" s="4" t="s">
        <v>80</v>
      </c>
      <c r="B8201" s="4" t="s">
        <v>1</v>
      </c>
      <c r="C8201" s="4" t="s">
        <v>36</v>
      </c>
      <c r="D8201" s="4">
        <v>2032</v>
      </c>
      <c r="E8201" s="4">
        <v>16053.54000032391</v>
      </c>
      <c r="F8201" s="4" t="s">
        <v>29</v>
      </c>
    </row>
    <row r="8202" spans="1:6" x14ac:dyDescent="0.25">
      <c r="A8202" s="4" t="s">
        <v>80</v>
      </c>
      <c r="B8202" s="4" t="s">
        <v>1</v>
      </c>
      <c r="C8202" s="4" t="s">
        <v>36</v>
      </c>
      <c r="D8202" s="4">
        <v>2033</v>
      </c>
      <c r="E8202" s="4">
        <v>16622.054031338201</v>
      </c>
      <c r="F8202" s="4" t="s">
        <v>29</v>
      </c>
    </row>
    <row r="8203" spans="1:6" x14ac:dyDescent="0.25">
      <c r="A8203" s="4" t="s">
        <v>80</v>
      </c>
      <c r="B8203" s="4" t="s">
        <v>1</v>
      </c>
      <c r="C8203" s="4" t="s">
        <v>36</v>
      </c>
      <c r="D8203" s="4">
        <v>2034</v>
      </c>
      <c r="E8203" s="4">
        <v>18351.897155786075</v>
      </c>
      <c r="F8203" s="4" t="s">
        <v>29</v>
      </c>
    </row>
    <row r="8204" spans="1:6" x14ac:dyDescent="0.25">
      <c r="A8204" s="4" t="s">
        <v>80</v>
      </c>
      <c r="B8204" s="4" t="s">
        <v>1</v>
      </c>
      <c r="C8204" s="4" t="s">
        <v>36</v>
      </c>
      <c r="D8204" s="4">
        <v>2035</v>
      </c>
      <c r="E8204" s="4">
        <v>18407.787914308949</v>
      </c>
      <c r="F8204" s="4" t="s">
        <v>29</v>
      </c>
    </row>
    <row r="8205" spans="1:6" x14ac:dyDescent="0.25">
      <c r="A8205" s="4" t="s">
        <v>80</v>
      </c>
      <c r="B8205" s="4" t="s">
        <v>1</v>
      </c>
      <c r="C8205" s="4" t="s">
        <v>36</v>
      </c>
      <c r="D8205" s="4">
        <v>2036</v>
      </c>
      <c r="E8205" s="4">
        <v>17434.941505607054</v>
      </c>
      <c r="F8205" s="4" t="s">
        <v>29</v>
      </c>
    </row>
    <row r="8206" spans="1:6" x14ac:dyDescent="0.25">
      <c r="A8206" s="4" t="s">
        <v>80</v>
      </c>
      <c r="B8206" s="4" t="s">
        <v>1</v>
      </c>
      <c r="C8206" s="4" t="s">
        <v>36</v>
      </c>
      <c r="D8206" s="4">
        <v>2037</v>
      </c>
      <c r="E8206" s="4">
        <v>16612.144028718023</v>
      </c>
      <c r="F8206" s="4" t="s">
        <v>29</v>
      </c>
    </row>
    <row r="8207" spans="1:6" x14ac:dyDescent="0.25">
      <c r="A8207" s="4" t="s">
        <v>80</v>
      </c>
      <c r="B8207" s="4" t="s">
        <v>1</v>
      </c>
      <c r="C8207" s="4" t="s">
        <v>36</v>
      </c>
      <c r="D8207" s="4">
        <v>2038</v>
      </c>
      <c r="E8207" s="4">
        <v>14875.738569860132</v>
      </c>
      <c r="F8207" s="4" t="s">
        <v>29</v>
      </c>
    </row>
    <row r="8208" spans="1:6" x14ac:dyDescent="0.25">
      <c r="A8208" s="4" t="s">
        <v>80</v>
      </c>
      <c r="B8208" s="4" t="s">
        <v>1</v>
      </c>
      <c r="C8208" s="4" t="s">
        <v>36</v>
      </c>
      <c r="D8208" s="4">
        <v>2039</v>
      </c>
      <c r="E8208" s="4">
        <v>12769.901432064178</v>
      </c>
      <c r="F8208" s="4" t="s">
        <v>29</v>
      </c>
    </row>
    <row r="8209" spans="1:6" x14ac:dyDescent="0.25">
      <c r="A8209" s="4" t="s">
        <v>80</v>
      </c>
      <c r="B8209" s="4" t="s">
        <v>1</v>
      </c>
      <c r="C8209" s="4" t="s">
        <v>36</v>
      </c>
      <c r="D8209" s="4">
        <v>2040</v>
      </c>
      <c r="E8209" s="4">
        <v>10786.375798465739</v>
      </c>
      <c r="F8209" s="4" t="s">
        <v>29</v>
      </c>
    </row>
    <row r="8210" spans="1:6" x14ac:dyDescent="0.25">
      <c r="A8210" s="4" t="s">
        <v>80</v>
      </c>
      <c r="B8210" s="4" t="s">
        <v>2</v>
      </c>
      <c r="C8210" s="4" t="s">
        <v>36</v>
      </c>
      <c r="D8210" s="4">
        <v>2005</v>
      </c>
      <c r="E8210" s="4">
        <v>0</v>
      </c>
      <c r="F8210" s="4" t="s">
        <v>29</v>
      </c>
    </row>
    <row r="8211" spans="1:6" x14ac:dyDescent="0.25">
      <c r="A8211" s="4" t="s">
        <v>80</v>
      </c>
      <c r="B8211" s="4" t="s">
        <v>2</v>
      </c>
      <c r="C8211" s="4" t="s">
        <v>36</v>
      </c>
      <c r="D8211" s="4">
        <v>2006</v>
      </c>
      <c r="E8211" s="4">
        <v>0</v>
      </c>
      <c r="F8211" s="4" t="s">
        <v>29</v>
      </c>
    </row>
    <row r="8212" spans="1:6" x14ac:dyDescent="0.25">
      <c r="A8212" s="4" t="s">
        <v>80</v>
      </c>
      <c r="B8212" s="4" t="s">
        <v>2</v>
      </c>
      <c r="C8212" s="4" t="s">
        <v>36</v>
      </c>
      <c r="D8212" s="4">
        <v>2007</v>
      </c>
      <c r="E8212" s="4">
        <v>0</v>
      </c>
      <c r="F8212" s="4" t="s">
        <v>29</v>
      </c>
    </row>
    <row r="8213" spans="1:6" x14ac:dyDescent="0.25">
      <c r="A8213" s="4" t="s">
        <v>80</v>
      </c>
      <c r="B8213" s="4" t="s">
        <v>2</v>
      </c>
      <c r="C8213" s="4" t="s">
        <v>36</v>
      </c>
      <c r="D8213" s="4">
        <v>2008</v>
      </c>
      <c r="E8213" s="4">
        <v>0</v>
      </c>
      <c r="F8213" s="4" t="s">
        <v>29</v>
      </c>
    </row>
    <row r="8214" spans="1:6" x14ac:dyDescent="0.25">
      <c r="A8214" s="4" t="s">
        <v>80</v>
      </c>
      <c r="B8214" s="4" t="s">
        <v>2</v>
      </c>
      <c r="C8214" s="4" t="s">
        <v>36</v>
      </c>
      <c r="D8214" s="4">
        <v>2009</v>
      </c>
      <c r="E8214" s="4">
        <v>0</v>
      </c>
      <c r="F8214" s="4" t="s">
        <v>29</v>
      </c>
    </row>
    <row r="8215" spans="1:6" x14ac:dyDescent="0.25">
      <c r="A8215" s="4" t="s">
        <v>80</v>
      </c>
      <c r="B8215" s="4" t="s">
        <v>2</v>
      </c>
      <c r="C8215" s="4" t="s">
        <v>36</v>
      </c>
      <c r="D8215" s="4">
        <v>2010</v>
      </c>
      <c r="E8215" s="4">
        <v>0</v>
      </c>
      <c r="F8215" s="4" t="s">
        <v>29</v>
      </c>
    </row>
    <row r="8216" spans="1:6" x14ac:dyDescent="0.25">
      <c r="A8216" s="4" t="s">
        <v>80</v>
      </c>
      <c r="B8216" s="4" t="s">
        <v>2</v>
      </c>
      <c r="C8216" s="4" t="s">
        <v>36</v>
      </c>
      <c r="D8216" s="4">
        <v>2011</v>
      </c>
      <c r="E8216" s="4">
        <v>0</v>
      </c>
      <c r="F8216" s="4" t="s">
        <v>29</v>
      </c>
    </row>
    <row r="8217" spans="1:6" x14ac:dyDescent="0.25">
      <c r="A8217" s="4" t="s">
        <v>80</v>
      </c>
      <c r="B8217" s="4" t="s">
        <v>2</v>
      </c>
      <c r="C8217" s="4" t="s">
        <v>36</v>
      </c>
      <c r="D8217" s="4">
        <v>2012</v>
      </c>
      <c r="E8217" s="4">
        <v>0</v>
      </c>
      <c r="F8217" s="4" t="s">
        <v>29</v>
      </c>
    </row>
    <row r="8218" spans="1:6" x14ac:dyDescent="0.25">
      <c r="A8218" s="4" t="s">
        <v>80</v>
      </c>
      <c r="B8218" s="4" t="s">
        <v>2</v>
      </c>
      <c r="C8218" s="4" t="s">
        <v>36</v>
      </c>
      <c r="D8218" s="4">
        <v>2013</v>
      </c>
      <c r="E8218" s="4">
        <v>0</v>
      </c>
      <c r="F8218" s="4" t="s">
        <v>29</v>
      </c>
    </row>
    <row r="8219" spans="1:6" x14ac:dyDescent="0.25">
      <c r="A8219" s="4" t="s">
        <v>80</v>
      </c>
      <c r="B8219" s="4" t="s">
        <v>2</v>
      </c>
      <c r="C8219" s="4" t="s">
        <v>36</v>
      </c>
      <c r="D8219" s="4">
        <v>2014</v>
      </c>
      <c r="E8219" s="4">
        <v>0</v>
      </c>
      <c r="F8219" s="4" t="s">
        <v>29</v>
      </c>
    </row>
    <row r="8220" spans="1:6" x14ac:dyDescent="0.25">
      <c r="A8220" s="4" t="s">
        <v>80</v>
      </c>
      <c r="B8220" s="4" t="s">
        <v>2</v>
      </c>
      <c r="C8220" s="4" t="s">
        <v>36</v>
      </c>
      <c r="D8220" s="4">
        <v>2015</v>
      </c>
      <c r="E8220" s="4">
        <v>0</v>
      </c>
      <c r="F8220" s="4" t="s">
        <v>29</v>
      </c>
    </row>
    <row r="8221" spans="1:6" x14ac:dyDescent="0.25">
      <c r="A8221" s="4" t="s">
        <v>80</v>
      </c>
      <c r="B8221" s="4" t="s">
        <v>2</v>
      </c>
      <c r="C8221" s="4" t="s">
        <v>36</v>
      </c>
      <c r="D8221" s="4">
        <v>2016</v>
      </c>
      <c r="E8221" s="4">
        <v>0</v>
      </c>
      <c r="F8221" s="4" t="s">
        <v>29</v>
      </c>
    </row>
    <row r="8222" spans="1:6" x14ac:dyDescent="0.25">
      <c r="A8222" s="4" t="s">
        <v>80</v>
      </c>
      <c r="B8222" s="4" t="s">
        <v>2</v>
      </c>
      <c r="C8222" s="4" t="s">
        <v>36</v>
      </c>
      <c r="D8222" s="4">
        <v>2017</v>
      </c>
      <c r="E8222" s="4">
        <v>336</v>
      </c>
      <c r="F8222" s="4" t="s">
        <v>29</v>
      </c>
    </row>
    <row r="8223" spans="1:6" x14ac:dyDescent="0.25">
      <c r="A8223" s="4" t="s">
        <v>80</v>
      </c>
      <c r="B8223" s="4" t="s">
        <v>2</v>
      </c>
      <c r="C8223" s="4" t="s">
        <v>36</v>
      </c>
      <c r="D8223" s="4">
        <v>2018</v>
      </c>
      <c r="E8223" s="4">
        <v>7773.7079864464204</v>
      </c>
      <c r="F8223" s="4" t="s">
        <v>29</v>
      </c>
    </row>
    <row r="8224" spans="1:6" x14ac:dyDescent="0.25">
      <c r="A8224" s="4" t="s">
        <v>80</v>
      </c>
      <c r="B8224" s="4" t="s">
        <v>2</v>
      </c>
      <c r="C8224" s="4" t="s">
        <v>36</v>
      </c>
      <c r="D8224" s="4">
        <v>2019</v>
      </c>
      <c r="E8224" s="4">
        <v>12503.100257559858</v>
      </c>
      <c r="F8224" s="4" t="s">
        <v>29</v>
      </c>
    </row>
    <row r="8225" spans="1:6" x14ac:dyDescent="0.25">
      <c r="A8225" s="4" t="s">
        <v>80</v>
      </c>
      <c r="B8225" s="4" t="s">
        <v>2</v>
      </c>
      <c r="C8225" s="4" t="s">
        <v>36</v>
      </c>
      <c r="D8225" s="4">
        <v>2020</v>
      </c>
      <c r="E8225" s="4">
        <v>19087.093389296962</v>
      </c>
      <c r="F8225" s="4" t="s">
        <v>29</v>
      </c>
    </row>
    <row r="8226" spans="1:6" x14ac:dyDescent="0.25">
      <c r="A8226" s="4" t="s">
        <v>80</v>
      </c>
      <c r="B8226" s="4" t="s">
        <v>2</v>
      </c>
      <c r="C8226" s="4" t="s">
        <v>36</v>
      </c>
      <c r="D8226" s="4">
        <v>2021</v>
      </c>
      <c r="E8226" s="4">
        <v>22161.594963273878</v>
      </c>
      <c r="F8226" s="4" t="s">
        <v>29</v>
      </c>
    </row>
    <row r="8227" spans="1:6" x14ac:dyDescent="0.25">
      <c r="A8227" s="4" t="s">
        <v>80</v>
      </c>
      <c r="B8227" s="4" t="s">
        <v>2</v>
      </c>
      <c r="C8227" s="4" t="s">
        <v>36</v>
      </c>
      <c r="D8227" s="4">
        <v>2022</v>
      </c>
      <c r="E8227" s="4">
        <v>23578.492161912942</v>
      </c>
      <c r="F8227" s="4" t="s">
        <v>29</v>
      </c>
    </row>
    <row r="8228" spans="1:6" x14ac:dyDescent="0.25">
      <c r="A8228" s="4" t="s">
        <v>80</v>
      </c>
      <c r="B8228" s="4" t="s">
        <v>2</v>
      </c>
      <c r="C8228" s="4" t="s">
        <v>36</v>
      </c>
      <c r="D8228" s="4">
        <v>2023</v>
      </c>
      <c r="E8228" s="4">
        <v>22577.506438996472</v>
      </c>
      <c r="F8228" s="4" t="s">
        <v>29</v>
      </c>
    </row>
    <row r="8229" spans="1:6" x14ac:dyDescent="0.25">
      <c r="A8229" s="4" t="s">
        <v>80</v>
      </c>
      <c r="B8229" s="4" t="s">
        <v>2</v>
      </c>
      <c r="C8229" s="4" t="s">
        <v>36</v>
      </c>
      <c r="D8229" s="4">
        <v>2024</v>
      </c>
      <c r="E8229" s="4">
        <v>22482.113898693122</v>
      </c>
      <c r="F8229" s="4" t="s">
        <v>29</v>
      </c>
    </row>
    <row r="8230" spans="1:6" x14ac:dyDescent="0.25">
      <c r="A8230" s="4" t="s">
        <v>80</v>
      </c>
      <c r="B8230" s="4" t="s">
        <v>2</v>
      </c>
      <c r="C8230" s="4" t="s">
        <v>36</v>
      </c>
      <c r="D8230" s="4">
        <v>2025</v>
      </c>
      <c r="E8230" s="4">
        <v>21266.494960094125</v>
      </c>
      <c r="F8230" s="4" t="s">
        <v>29</v>
      </c>
    </row>
    <row r="8231" spans="1:6" x14ac:dyDescent="0.25">
      <c r="A8231" s="4" t="s">
        <v>80</v>
      </c>
      <c r="B8231" s="4" t="s">
        <v>2</v>
      </c>
      <c r="C8231" s="4" t="s">
        <v>36</v>
      </c>
      <c r="D8231" s="4">
        <v>2026</v>
      </c>
      <c r="E8231" s="4">
        <v>19185.347705809403</v>
      </c>
      <c r="F8231" s="4" t="s">
        <v>29</v>
      </c>
    </row>
    <row r="8232" spans="1:6" x14ac:dyDescent="0.25">
      <c r="A8232" s="4" t="s">
        <v>80</v>
      </c>
      <c r="B8232" s="4" t="s">
        <v>2</v>
      </c>
      <c r="C8232" s="4" t="s">
        <v>36</v>
      </c>
      <c r="D8232" s="4">
        <v>2027</v>
      </c>
      <c r="E8232" s="4">
        <v>15667.366211962224</v>
      </c>
      <c r="F8232" s="4" t="s">
        <v>29</v>
      </c>
    </row>
    <row r="8233" spans="1:6" x14ac:dyDescent="0.25">
      <c r="A8233" s="4" t="s">
        <v>80</v>
      </c>
      <c r="B8233" s="4" t="s">
        <v>2</v>
      </c>
      <c r="C8233" s="4" t="s">
        <v>36</v>
      </c>
      <c r="D8233" s="4">
        <v>2028</v>
      </c>
      <c r="E8233" s="4">
        <v>13315.844700944388</v>
      </c>
      <c r="F8233" s="4" t="s">
        <v>29</v>
      </c>
    </row>
    <row r="8234" spans="1:6" x14ac:dyDescent="0.25">
      <c r="A8234" s="4" t="s">
        <v>80</v>
      </c>
      <c r="B8234" s="4" t="s">
        <v>2</v>
      </c>
      <c r="C8234" s="4" t="s">
        <v>36</v>
      </c>
      <c r="D8234" s="4">
        <v>2029</v>
      </c>
      <c r="E8234" s="4">
        <v>11176.81007345226</v>
      </c>
      <c r="F8234" s="4" t="s">
        <v>29</v>
      </c>
    </row>
    <row r="8235" spans="1:6" x14ac:dyDescent="0.25">
      <c r="A8235" s="4" t="s">
        <v>80</v>
      </c>
      <c r="B8235" s="4" t="s">
        <v>2</v>
      </c>
      <c r="C8235" s="4" t="s">
        <v>36</v>
      </c>
      <c r="D8235" s="4">
        <v>2030</v>
      </c>
      <c r="E8235" s="4">
        <v>9505.2465897166858</v>
      </c>
      <c r="F8235" s="4" t="s">
        <v>29</v>
      </c>
    </row>
    <row r="8236" spans="1:6" x14ac:dyDescent="0.25">
      <c r="A8236" s="4" t="s">
        <v>80</v>
      </c>
      <c r="B8236" s="4" t="s">
        <v>2</v>
      </c>
      <c r="C8236" s="4" t="s">
        <v>36</v>
      </c>
      <c r="D8236" s="4">
        <v>2031</v>
      </c>
      <c r="E8236" s="4">
        <v>9239.2444910807972</v>
      </c>
      <c r="F8236" s="4" t="s">
        <v>29</v>
      </c>
    </row>
    <row r="8237" spans="1:6" x14ac:dyDescent="0.25">
      <c r="A8237" s="4" t="s">
        <v>80</v>
      </c>
      <c r="B8237" s="4" t="s">
        <v>2</v>
      </c>
      <c r="C8237" s="4" t="s">
        <v>36</v>
      </c>
      <c r="D8237" s="4">
        <v>2032</v>
      </c>
      <c r="E8237" s="4">
        <v>8326.3378803777541</v>
      </c>
      <c r="F8237" s="4" t="s">
        <v>29</v>
      </c>
    </row>
    <row r="8238" spans="1:6" x14ac:dyDescent="0.25">
      <c r="A8238" s="4" t="s">
        <v>80</v>
      </c>
      <c r="B8238" s="4" t="s">
        <v>2</v>
      </c>
      <c r="C8238" s="4" t="s">
        <v>36</v>
      </c>
      <c r="D8238" s="4">
        <v>2033</v>
      </c>
      <c r="E8238" s="4">
        <v>7098.6358866736628</v>
      </c>
      <c r="F8238" s="4" t="s">
        <v>29</v>
      </c>
    </row>
    <row r="8239" spans="1:6" x14ac:dyDescent="0.25">
      <c r="A8239" s="4" t="s">
        <v>80</v>
      </c>
      <c r="B8239" s="4" t="s">
        <v>2</v>
      </c>
      <c r="C8239" s="4" t="s">
        <v>36</v>
      </c>
      <c r="D8239" s="4">
        <v>2034</v>
      </c>
      <c r="E8239" s="4">
        <v>6059.8111227701993</v>
      </c>
      <c r="F8239" s="4" t="s">
        <v>29</v>
      </c>
    </row>
    <row r="8240" spans="1:6" x14ac:dyDescent="0.25">
      <c r="A8240" s="4" t="s">
        <v>80</v>
      </c>
      <c r="B8240" s="4" t="s">
        <v>2</v>
      </c>
      <c r="C8240" s="4" t="s">
        <v>36</v>
      </c>
      <c r="D8240" s="4">
        <v>2035</v>
      </c>
      <c r="E8240" s="4">
        <v>5461.6998950682064</v>
      </c>
      <c r="F8240" s="4" t="s">
        <v>29</v>
      </c>
    </row>
    <row r="8241" spans="1:6" x14ac:dyDescent="0.25">
      <c r="A8241" s="4" t="s">
        <v>80</v>
      </c>
      <c r="B8241" s="4" t="s">
        <v>2</v>
      </c>
      <c r="C8241" s="4" t="s">
        <v>36</v>
      </c>
      <c r="D8241" s="4">
        <v>2036</v>
      </c>
      <c r="E8241" s="4">
        <v>5020.9863588667367</v>
      </c>
      <c r="F8241" s="4" t="s">
        <v>29</v>
      </c>
    </row>
    <row r="8242" spans="1:6" x14ac:dyDescent="0.25">
      <c r="A8242" s="4" t="s">
        <v>80</v>
      </c>
      <c r="B8242" s="4" t="s">
        <v>2</v>
      </c>
      <c r="C8242" s="4" t="s">
        <v>36</v>
      </c>
      <c r="D8242" s="4">
        <v>2037</v>
      </c>
      <c r="E8242" s="4">
        <v>5027.2391438715522</v>
      </c>
      <c r="F8242" s="4" t="s">
        <v>29</v>
      </c>
    </row>
    <row r="8243" spans="1:6" x14ac:dyDescent="0.25">
      <c r="A8243" s="4" t="s">
        <v>80</v>
      </c>
      <c r="B8243" s="4" t="s">
        <v>2</v>
      </c>
      <c r="C8243" s="4" t="s">
        <v>36</v>
      </c>
      <c r="D8243" s="4">
        <v>2038</v>
      </c>
      <c r="E8243" s="4">
        <v>4696.7039917204502</v>
      </c>
      <c r="F8243" s="4" t="s">
        <v>29</v>
      </c>
    </row>
    <row r="8244" spans="1:6" x14ac:dyDescent="0.25">
      <c r="A8244" s="4" t="s">
        <v>80</v>
      </c>
      <c r="B8244" s="4" t="s">
        <v>2</v>
      </c>
      <c r="C8244" s="4" t="s">
        <v>36</v>
      </c>
      <c r="D8244" s="4">
        <v>2039</v>
      </c>
      <c r="E8244" s="4">
        <v>4240.8975261970136</v>
      </c>
      <c r="F8244" s="4" t="s">
        <v>29</v>
      </c>
    </row>
    <row r="8245" spans="1:6" x14ac:dyDescent="0.25">
      <c r="A8245" s="4" t="s">
        <v>80</v>
      </c>
      <c r="B8245" s="4" t="s">
        <v>2</v>
      </c>
      <c r="C8245" s="4" t="s">
        <v>36</v>
      </c>
      <c r="D8245" s="4">
        <v>2040</v>
      </c>
      <c r="E8245" s="4">
        <v>3839.3855469354762</v>
      </c>
      <c r="F8245" s="4" t="s">
        <v>29</v>
      </c>
    </row>
    <row r="8246" spans="1:6" x14ac:dyDescent="0.25">
      <c r="A8246" s="4" t="s">
        <v>80</v>
      </c>
      <c r="B8246" s="4" t="s">
        <v>23</v>
      </c>
      <c r="C8246" s="4" t="s">
        <v>36</v>
      </c>
      <c r="D8246" s="4">
        <v>2005</v>
      </c>
      <c r="E8246" s="4">
        <v>48470</v>
      </c>
      <c r="F8246" s="4" t="s">
        <v>29</v>
      </c>
    </row>
    <row r="8247" spans="1:6" x14ac:dyDescent="0.25">
      <c r="A8247" s="4" t="s">
        <v>80</v>
      </c>
      <c r="B8247" s="4" t="s">
        <v>23</v>
      </c>
      <c r="C8247" s="4" t="s">
        <v>36</v>
      </c>
      <c r="D8247" s="4">
        <v>2006</v>
      </c>
      <c r="E8247" s="4">
        <v>48280</v>
      </c>
      <c r="F8247" s="4" t="s">
        <v>29</v>
      </c>
    </row>
    <row r="8248" spans="1:6" x14ac:dyDescent="0.25">
      <c r="A8248" s="4" t="s">
        <v>80</v>
      </c>
      <c r="B8248" s="4" t="s">
        <v>23</v>
      </c>
      <c r="C8248" s="4" t="s">
        <v>36</v>
      </c>
      <c r="D8248" s="4">
        <v>2007</v>
      </c>
      <c r="E8248" s="4">
        <v>58580</v>
      </c>
      <c r="F8248" s="4" t="s">
        <v>29</v>
      </c>
    </row>
    <row r="8249" spans="1:6" x14ac:dyDescent="0.25">
      <c r="A8249" s="4" t="s">
        <v>80</v>
      </c>
      <c r="B8249" s="4" t="s">
        <v>23</v>
      </c>
      <c r="C8249" s="4" t="s">
        <v>36</v>
      </c>
      <c r="D8249" s="4">
        <v>2008</v>
      </c>
      <c r="E8249" s="4">
        <v>54550</v>
      </c>
      <c r="F8249" s="4" t="s">
        <v>29</v>
      </c>
    </row>
    <row r="8250" spans="1:6" x14ac:dyDescent="0.25">
      <c r="A8250" s="4" t="s">
        <v>80</v>
      </c>
      <c r="B8250" s="4" t="s">
        <v>23</v>
      </c>
      <c r="C8250" s="4" t="s">
        <v>36</v>
      </c>
      <c r="D8250" s="4">
        <v>2009</v>
      </c>
      <c r="E8250" s="4">
        <v>42550</v>
      </c>
      <c r="F8250" s="4" t="s">
        <v>29</v>
      </c>
    </row>
    <row r="8251" spans="1:6" x14ac:dyDescent="0.25">
      <c r="A8251" s="4" t="s">
        <v>80</v>
      </c>
      <c r="B8251" s="4" t="s">
        <v>23</v>
      </c>
      <c r="C8251" s="4" t="s">
        <v>36</v>
      </c>
      <c r="D8251" s="4">
        <v>2010</v>
      </c>
      <c r="E8251" s="4">
        <v>43850</v>
      </c>
      <c r="F8251" s="4" t="s">
        <v>29</v>
      </c>
    </row>
    <row r="8252" spans="1:6" x14ac:dyDescent="0.25">
      <c r="A8252" s="4" t="s">
        <v>80</v>
      </c>
      <c r="B8252" s="4" t="s">
        <v>23</v>
      </c>
      <c r="C8252" s="4" t="s">
        <v>36</v>
      </c>
      <c r="D8252" s="4">
        <v>2011</v>
      </c>
      <c r="E8252" s="4">
        <v>42140</v>
      </c>
      <c r="F8252" s="4" t="s">
        <v>29</v>
      </c>
    </row>
    <row r="8253" spans="1:6" x14ac:dyDescent="0.25">
      <c r="A8253" s="4" t="s">
        <v>80</v>
      </c>
      <c r="B8253" s="4" t="s">
        <v>23</v>
      </c>
      <c r="C8253" s="4" t="s">
        <v>36</v>
      </c>
      <c r="D8253" s="4">
        <v>2012</v>
      </c>
      <c r="E8253" s="4">
        <v>31430</v>
      </c>
      <c r="F8253" s="4" t="s">
        <v>29</v>
      </c>
    </row>
    <row r="8254" spans="1:6" x14ac:dyDescent="0.25">
      <c r="A8254" s="4" t="s">
        <v>80</v>
      </c>
      <c r="B8254" s="4" t="s">
        <v>23</v>
      </c>
      <c r="C8254" s="4" t="s">
        <v>36</v>
      </c>
      <c r="D8254" s="4">
        <v>2013</v>
      </c>
      <c r="E8254" s="4">
        <v>36870</v>
      </c>
      <c r="F8254" s="4" t="s">
        <v>29</v>
      </c>
    </row>
    <row r="8255" spans="1:6" x14ac:dyDescent="0.25">
      <c r="A8255" s="4" t="s">
        <v>80</v>
      </c>
      <c r="B8255" s="4" t="s">
        <v>23</v>
      </c>
      <c r="C8255" s="4" t="s">
        <v>36</v>
      </c>
      <c r="D8255" s="4">
        <v>2014</v>
      </c>
      <c r="E8255" s="4">
        <v>34340</v>
      </c>
      <c r="F8255" s="4" t="s">
        <v>29</v>
      </c>
    </row>
    <row r="8256" spans="1:6" x14ac:dyDescent="0.25">
      <c r="A8256" s="4" t="s">
        <v>80</v>
      </c>
      <c r="B8256" s="4" t="s">
        <v>23</v>
      </c>
      <c r="C8256" s="4" t="s">
        <v>36</v>
      </c>
      <c r="D8256" s="4">
        <v>2015</v>
      </c>
      <c r="E8256" s="4">
        <v>27348</v>
      </c>
      <c r="F8256" s="4" t="s">
        <v>29</v>
      </c>
    </row>
    <row r="8257" spans="1:6" x14ac:dyDescent="0.25">
      <c r="A8257" s="4" t="s">
        <v>80</v>
      </c>
      <c r="B8257" s="4" t="s">
        <v>23</v>
      </c>
      <c r="C8257" s="4" t="s">
        <v>36</v>
      </c>
      <c r="D8257" s="4">
        <v>2016</v>
      </c>
      <c r="E8257" s="4">
        <v>33334</v>
      </c>
      <c r="F8257" s="4" t="s">
        <v>29</v>
      </c>
    </row>
    <row r="8258" spans="1:6" x14ac:dyDescent="0.25">
      <c r="A8258" s="4" t="s">
        <v>80</v>
      </c>
      <c r="B8258" s="4" t="s">
        <v>23</v>
      </c>
      <c r="C8258" s="4" t="s">
        <v>36</v>
      </c>
      <c r="D8258" s="4">
        <v>2017</v>
      </c>
      <c r="E8258" s="4">
        <v>35096</v>
      </c>
      <c r="F8258" s="4" t="s">
        <v>29</v>
      </c>
    </row>
    <row r="8259" spans="1:6" x14ac:dyDescent="0.25">
      <c r="A8259" s="4" t="s">
        <v>80</v>
      </c>
      <c r="B8259" s="4" t="s">
        <v>23</v>
      </c>
      <c r="C8259" s="4" t="s">
        <v>36</v>
      </c>
      <c r="D8259" s="4">
        <v>2018</v>
      </c>
      <c r="E8259" s="4">
        <v>37716.782165689445</v>
      </c>
      <c r="F8259" s="4" t="s">
        <v>29</v>
      </c>
    </row>
    <row r="8260" spans="1:6" x14ac:dyDescent="0.25">
      <c r="A8260" s="4" t="s">
        <v>80</v>
      </c>
      <c r="B8260" s="4" t="s">
        <v>23</v>
      </c>
      <c r="C8260" s="4" t="s">
        <v>36</v>
      </c>
      <c r="D8260" s="4">
        <v>2019</v>
      </c>
      <c r="E8260" s="4">
        <v>42471.549668652238</v>
      </c>
      <c r="F8260" s="4" t="s">
        <v>29</v>
      </c>
    </row>
    <row r="8261" spans="1:6" x14ac:dyDescent="0.25">
      <c r="A8261" s="4" t="s">
        <v>80</v>
      </c>
      <c r="B8261" s="4" t="s">
        <v>23</v>
      </c>
      <c r="C8261" s="4" t="s">
        <v>36</v>
      </c>
      <c r="D8261" s="4">
        <v>2020</v>
      </c>
      <c r="E8261" s="4">
        <v>42460.881602113572</v>
      </c>
      <c r="F8261" s="4" t="s">
        <v>29</v>
      </c>
    </row>
    <row r="8262" spans="1:6" x14ac:dyDescent="0.25">
      <c r="A8262" s="4" t="s">
        <v>80</v>
      </c>
      <c r="B8262" s="4" t="s">
        <v>23</v>
      </c>
      <c r="C8262" s="4" t="s">
        <v>36</v>
      </c>
      <c r="D8262" s="4">
        <v>2021</v>
      </c>
      <c r="E8262" s="4">
        <v>45980.607521662329</v>
      </c>
      <c r="F8262" s="4" t="s">
        <v>29</v>
      </c>
    </row>
    <row r="8263" spans="1:6" x14ac:dyDescent="0.25">
      <c r="A8263" s="4" t="s">
        <v>80</v>
      </c>
      <c r="B8263" s="4" t="s">
        <v>23</v>
      </c>
      <c r="C8263" s="4" t="s">
        <v>36</v>
      </c>
      <c r="D8263" s="4">
        <v>2022</v>
      </c>
      <c r="E8263" s="4">
        <v>46891.683786012327</v>
      </c>
      <c r="F8263" s="4" t="s">
        <v>29</v>
      </c>
    </row>
    <row r="8264" spans="1:6" x14ac:dyDescent="0.25">
      <c r="A8264" s="4" t="s">
        <v>80</v>
      </c>
      <c r="B8264" s="4" t="s">
        <v>23</v>
      </c>
      <c r="C8264" s="4" t="s">
        <v>36</v>
      </c>
      <c r="D8264" s="4">
        <v>2023</v>
      </c>
      <c r="E8264" s="4">
        <v>49246.424960476586</v>
      </c>
      <c r="F8264" s="4" t="s">
        <v>29</v>
      </c>
    </row>
    <row r="8265" spans="1:6" x14ac:dyDescent="0.25">
      <c r="A8265" s="4" t="s">
        <v>80</v>
      </c>
      <c r="B8265" s="4" t="s">
        <v>23</v>
      </c>
      <c r="C8265" s="4" t="s">
        <v>36</v>
      </c>
      <c r="D8265" s="4">
        <v>2024</v>
      </c>
      <c r="E8265" s="4">
        <v>48491.090418945721</v>
      </c>
      <c r="F8265" s="4" t="s">
        <v>29</v>
      </c>
    </row>
    <row r="8266" spans="1:6" x14ac:dyDescent="0.25">
      <c r="A8266" s="4" t="s">
        <v>80</v>
      </c>
      <c r="B8266" s="4" t="s">
        <v>23</v>
      </c>
      <c r="C8266" s="4" t="s">
        <v>36</v>
      </c>
      <c r="D8266" s="4">
        <v>2025</v>
      </c>
      <c r="E8266" s="4">
        <v>46489.259601121768</v>
      </c>
      <c r="F8266" s="4" t="s">
        <v>29</v>
      </c>
    </row>
    <row r="8267" spans="1:6" x14ac:dyDescent="0.25">
      <c r="A8267" s="4" t="s">
        <v>80</v>
      </c>
      <c r="B8267" s="4" t="s">
        <v>23</v>
      </c>
      <c r="C8267" s="4" t="s">
        <v>36</v>
      </c>
      <c r="D8267" s="4">
        <v>2026</v>
      </c>
      <c r="E8267" s="4">
        <v>42286.399711427002</v>
      </c>
      <c r="F8267" s="4" t="s">
        <v>29</v>
      </c>
    </row>
    <row r="8268" spans="1:6" x14ac:dyDescent="0.25">
      <c r="A8268" s="4" t="s">
        <v>80</v>
      </c>
      <c r="B8268" s="4" t="s">
        <v>23</v>
      </c>
      <c r="C8268" s="4" t="s">
        <v>36</v>
      </c>
      <c r="D8268" s="4">
        <v>2027</v>
      </c>
      <c r="E8268" s="4">
        <v>36982.894680101774</v>
      </c>
      <c r="F8268" s="4" t="s">
        <v>29</v>
      </c>
    </row>
    <row r="8269" spans="1:6" x14ac:dyDescent="0.25">
      <c r="A8269" s="4" t="s">
        <v>80</v>
      </c>
      <c r="B8269" s="4" t="s">
        <v>23</v>
      </c>
      <c r="C8269" s="4" t="s">
        <v>36</v>
      </c>
      <c r="D8269" s="4">
        <v>2028</v>
      </c>
      <c r="E8269" s="4">
        <v>32004.945978412838</v>
      </c>
      <c r="F8269" s="4" t="s">
        <v>29</v>
      </c>
    </row>
    <row r="8270" spans="1:6" x14ac:dyDescent="0.25">
      <c r="A8270" s="4" t="s">
        <v>80</v>
      </c>
      <c r="B8270" s="4" t="s">
        <v>23</v>
      </c>
      <c r="C8270" s="4" t="s">
        <v>36</v>
      </c>
      <c r="D8270" s="4">
        <v>2029</v>
      </c>
      <c r="E8270" s="4">
        <v>28492.401029726207</v>
      </c>
      <c r="F8270" s="4" t="s">
        <v>29</v>
      </c>
    </row>
    <row r="8271" spans="1:6" x14ac:dyDescent="0.25">
      <c r="A8271" s="4" t="s">
        <v>80</v>
      </c>
      <c r="B8271" s="4" t="s">
        <v>23</v>
      </c>
      <c r="C8271" s="4" t="s">
        <v>36</v>
      </c>
      <c r="D8271" s="4">
        <v>2030</v>
      </c>
      <c r="E8271" s="4">
        <v>25115.996639707409</v>
      </c>
      <c r="F8271" s="4" t="s">
        <v>29</v>
      </c>
    </row>
    <row r="8272" spans="1:6" x14ac:dyDescent="0.25">
      <c r="A8272" s="4" t="s">
        <v>80</v>
      </c>
      <c r="B8272" s="4" t="s">
        <v>23</v>
      </c>
      <c r="C8272" s="4" t="s">
        <v>36</v>
      </c>
      <c r="D8272" s="4">
        <v>2031</v>
      </c>
      <c r="E8272" s="4">
        <v>25086.07577751232</v>
      </c>
      <c r="F8272" s="4" t="s">
        <v>29</v>
      </c>
    </row>
    <row r="8273" spans="1:6" x14ac:dyDescent="0.25">
      <c r="A8273" s="4" t="s">
        <v>80</v>
      </c>
      <c r="B8273" s="4" t="s">
        <v>23</v>
      </c>
      <c r="C8273" s="4" t="s">
        <v>36</v>
      </c>
      <c r="D8273" s="4">
        <v>2032</v>
      </c>
      <c r="E8273" s="4">
        <v>24379.877880701664</v>
      </c>
      <c r="F8273" s="4" t="s">
        <v>29</v>
      </c>
    </row>
    <row r="8274" spans="1:6" x14ac:dyDescent="0.25">
      <c r="A8274" s="4" t="s">
        <v>80</v>
      </c>
      <c r="B8274" s="4" t="s">
        <v>23</v>
      </c>
      <c r="C8274" s="4" t="s">
        <v>36</v>
      </c>
      <c r="D8274" s="4">
        <v>2033</v>
      </c>
      <c r="E8274" s="4">
        <v>23720.689918011863</v>
      </c>
      <c r="F8274" s="4" t="s">
        <v>29</v>
      </c>
    </row>
    <row r="8275" spans="1:6" x14ac:dyDescent="0.25">
      <c r="A8275" s="4" t="s">
        <v>80</v>
      </c>
      <c r="B8275" s="4" t="s">
        <v>23</v>
      </c>
      <c r="C8275" s="4" t="s">
        <v>36</v>
      </c>
      <c r="D8275" s="4">
        <v>2034</v>
      </c>
      <c r="E8275" s="4">
        <v>24411.708278556274</v>
      </c>
      <c r="F8275" s="4" t="s">
        <v>29</v>
      </c>
    </row>
    <row r="8276" spans="1:6" x14ac:dyDescent="0.25">
      <c r="A8276" s="4" t="s">
        <v>80</v>
      </c>
      <c r="B8276" s="4" t="s">
        <v>23</v>
      </c>
      <c r="C8276" s="4" t="s">
        <v>36</v>
      </c>
      <c r="D8276" s="4">
        <v>2035</v>
      </c>
      <c r="E8276" s="4">
        <v>23869.487809377155</v>
      </c>
      <c r="F8276" s="4" t="s">
        <v>29</v>
      </c>
    </row>
    <row r="8277" spans="1:6" x14ac:dyDescent="0.25">
      <c r="A8277" s="4" t="s">
        <v>80</v>
      </c>
      <c r="B8277" s="4" t="s">
        <v>23</v>
      </c>
      <c r="C8277" s="4" t="s">
        <v>36</v>
      </c>
      <c r="D8277" s="4">
        <v>2036</v>
      </c>
      <c r="E8277" s="4">
        <v>22455.92786447379</v>
      </c>
      <c r="F8277" s="4" t="s">
        <v>29</v>
      </c>
    </row>
    <row r="8278" spans="1:6" x14ac:dyDescent="0.25">
      <c r="A8278" s="4" t="s">
        <v>80</v>
      </c>
      <c r="B8278" s="4" t="s">
        <v>23</v>
      </c>
      <c r="C8278" s="4" t="s">
        <v>36</v>
      </c>
      <c r="D8278" s="4">
        <v>2037</v>
      </c>
      <c r="E8278" s="4">
        <v>21639.383172589576</v>
      </c>
      <c r="F8278" s="4" t="s">
        <v>29</v>
      </c>
    </row>
    <row r="8279" spans="1:6" x14ac:dyDescent="0.25">
      <c r="A8279" s="4" t="s">
        <v>80</v>
      </c>
      <c r="B8279" s="4" t="s">
        <v>23</v>
      </c>
      <c r="C8279" s="4" t="s">
        <v>36</v>
      </c>
      <c r="D8279" s="4">
        <v>2038</v>
      </c>
      <c r="E8279" s="4">
        <v>19572.442561580581</v>
      </c>
      <c r="F8279" s="4" t="s">
        <v>29</v>
      </c>
    </row>
    <row r="8280" spans="1:6" x14ac:dyDescent="0.25">
      <c r="A8280" s="4" t="s">
        <v>80</v>
      </c>
      <c r="B8280" s="4" t="s">
        <v>23</v>
      </c>
      <c r="C8280" s="4" t="s">
        <v>36</v>
      </c>
      <c r="D8280" s="4">
        <v>2039</v>
      </c>
      <c r="E8280" s="4">
        <v>17010.798958261192</v>
      </c>
      <c r="F8280" s="4" t="s">
        <v>29</v>
      </c>
    </row>
    <row r="8281" spans="1:6" x14ac:dyDescent="0.25">
      <c r="A8281" s="4" t="s">
        <v>80</v>
      </c>
      <c r="B8281" s="4" t="s">
        <v>23</v>
      </c>
      <c r="C8281" s="4" t="s">
        <v>36</v>
      </c>
      <c r="D8281" s="4">
        <v>2040</v>
      </c>
      <c r="E8281" s="4">
        <v>14625.761345401215</v>
      </c>
      <c r="F8281" s="4" t="s">
        <v>29</v>
      </c>
    </row>
    <row r="8282" spans="1:6" x14ac:dyDescent="0.25">
      <c r="A8282" s="4" t="s">
        <v>81</v>
      </c>
      <c r="B8282" s="4" t="s">
        <v>1</v>
      </c>
      <c r="C8282" s="4" t="s">
        <v>36</v>
      </c>
      <c r="D8282" s="4">
        <v>2005</v>
      </c>
      <c r="E8282" s="4">
        <v>2990</v>
      </c>
      <c r="F8282" s="4" t="s">
        <v>29</v>
      </c>
    </row>
    <row r="8283" spans="1:6" x14ac:dyDescent="0.25">
      <c r="A8283" s="4" t="s">
        <v>81</v>
      </c>
      <c r="B8283" s="4" t="s">
        <v>1</v>
      </c>
      <c r="C8283" s="4" t="s">
        <v>36</v>
      </c>
      <c r="D8283" s="4">
        <v>2006</v>
      </c>
      <c r="E8283" s="4">
        <v>2970</v>
      </c>
      <c r="F8283" s="4" t="s">
        <v>29</v>
      </c>
    </row>
    <row r="8284" spans="1:6" x14ac:dyDescent="0.25">
      <c r="A8284" s="4" t="s">
        <v>81</v>
      </c>
      <c r="B8284" s="4" t="s">
        <v>1</v>
      </c>
      <c r="C8284" s="4" t="s">
        <v>36</v>
      </c>
      <c r="D8284" s="4">
        <v>2007</v>
      </c>
      <c r="E8284" s="4">
        <v>2790</v>
      </c>
      <c r="F8284" s="4" t="s">
        <v>29</v>
      </c>
    </row>
    <row r="8285" spans="1:6" x14ac:dyDescent="0.25">
      <c r="A8285" s="4" t="s">
        <v>81</v>
      </c>
      <c r="B8285" s="4" t="s">
        <v>1</v>
      </c>
      <c r="C8285" s="4" t="s">
        <v>36</v>
      </c>
      <c r="D8285" s="4">
        <v>2008</v>
      </c>
      <c r="E8285" s="4">
        <v>2580</v>
      </c>
      <c r="F8285" s="4" t="s">
        <v>29</v>
      </c>
    </row>
    <row r="8286" spans="1:6" x14ac:dyDescent="0.25">
      <c r="A8286" s="4" t="s">
        <v>81</v>
      </c>
      <c r="B8286" s="4" t="s">
        <v>1</v>
      </c>
      <c r="C8286" s="4" t="s">
        <v>36</v>
      </c>
      <c r="D8286" s="4">
        <v>2009</v>
      </c>
      <c r="E8286" s="4">
        <v>2470</v>
      </c>
      <c r="F8286" s="4" t="s">
        <v>29</v>
      </c>
    </row>
    <row r="8287" spans="1:6" x14ac:dyDescent="0.25">
      <c r="A8287" s="4" t="s">
        <v>81</v>
      </c>
      <c r="B8287" s="4" t="s">
        <v>1</v>
      </c>
      <c r="C8287" s="4" t="s">
        <v>36</v>
      </c>
      <c r="D8287" s="4">
        <v>2010</v>
      </c>
      <c r="E8287" s="4">
        <v>2390</v>
      </c>
      <c r="F8287" s="4" t="s">
        <v>29</v>
      </c>
    </row>
    <row r="8288" spans="1:6" x14ac:dyDescent="0.25">
      <c r="A8288" s="4" t="s">
        <v>81</v>
      </c>
      <c r="B8288" s="4" t="s">
        <v>1</v>
      </c>
      <c r="C8288" s="4" t="s">
        <v>36</v>
      </c>
      <c r="D8288" s="4">
        <v>2011</v>
      </c>
      <c r="E8288" s="4">
        <v>1670</v>
      </c>
      <c r="F8288" s="4" t="s">
        <v>29</v>
      </c>
    </row>
    <row r="8289" spans="1:6" x14ac:dyDescent="0.25">
      <c r="A8289" s="4" t="s">
        <v>81</v>
      </c>
      <c r="B8289" s="4" t="s">
        <v>1</v>
      </c>
      <c r="C8289" s="4" t="s">
        <v>36</v>
      </c>
      <c r="D8289" s="4">
        <v>2012</v>
      </c>
      <c r="E8289" s="4">
        <v>2070</v>
      </c>
      <c r="F8289" s="4" t="s">
        <v>29</v>
      </c>
    </row>
    <row r="8290" spans="1:6" x14ac:dyDescent="0.25">
      <c r="A8290" s="4" t="s">
        <v>81</v>
      </c>
      <c r="B8290" s="4" t="s">
        <v>1</v>
      </c>
      <c r="C8290" s="4" t="s">
        <v>36</v>
      </c>
      <c r="D8290" s="4">
        <v>2013</v>
      </c>
      <c r="E8290" s="4">
        <v>1960</v>
      </c>
      <c r="F8290" s="4" t="s">
        <v>29</v>
      </c>
    </row>
    <row r="8291" spans="1:6" x14ac:dyDescent="0.25">
      <c r="A8291" s="4" t="s">
        <v>81</v>
      </c>
      <c r="B8291" s="4" t="s">
        <v>1</v>
      </c>
      <c r="C8291" s="4" t="s">
        <v>36</v>
      </c>
      <c r="D8291" s="4">
        <v>2014</v>
      </c>
      <c r="E8291" s="4">
        <v>1690</v>
      </c>
      <c r="F8291" s="4" t="s">
        <v>29</v>
      </c>
    </row>
    <row r="8292" spans="1:6" x14ac:dyDescent="0.25">
      <c r="A8292" s="4" t="s">
        <v>81</v>
      </c>
      <c r="B8292" s="4" t="s">
        <v>1</v>
      </c>
      <c r="C8292" s="4" t="s">
        <v>36</v>
      </c>
      <c r="D8292" s="4">
        <v>2015</v>
      </c>
      <c r="E8292" s="4">
        <v>1576</v>
      </c>
      <c r="F8292" s="4" t="s">
        <v>29</v>
      </c>
    </row>
    <row r="8293" spans="1:6" x14ac:dyDescent="0.25">
      <c r="A8293" s="4" t="s">
        <v>81</v>
      </c>
      <c r="B8293" s="4" t="s">
        <v>1</v>
      </c>
      <c r="C8293" s="4" t="s">
        <v>36</v>
      </c>
      <c r="D8293" s="4">
        <v>2016</v>
      </c>
      <c r="E8293" s="4">
        <v>1428</v>
      </c>
      <c r="F8293" s="4" t="s">
        <v>29</v>
      </c>
    </row>
    <row r="8294" spans="1:6" x14ac:dyDescent="0.25">
      <c r="A8294" s="4" t="s">
        <v>81</v>
      </c>
      <c r="B8294" s="4" t="s">
        <v>1</v>
      </c>
      <c r="C8294" s="4" t="s">
        <v>36</v>
      </c>
      <c r="D8294" s="4">
        <v>2017</v>
      </c>
      <c r="E8294" s="4">
        <v>54</v>
      </c>
      <c r="F8294" s="4" t="s">
        <v>29</v>
      </c>
    </row>
    <row r="8295" spans="1:6" x14ac:dyDescent="0.25">
      <c r="A8295" s="4" t="s">
        <v>81</v>
      </c>
      <c r="B8295" s="4" t="s">
        <v>1</v>
      </c>
      <c r="C8295" s="4" t="s">
        <v>36</v>
      </c>
      <c r="D8295" s="4">
        <v>2018</v>
      </c>
      <c r="E8295" s="4">
        <v>100</v>
      </c>
      <c r="F8295" s="4" t="s">
        <v>29</v>
      </c>
    </row>
    <row r="8296" spans="1:6" x14ac:dyDescent="0.25">
      <c r="A8296" s="4" t="s">
        <v>81</v>
      </c>
      <c r="B8296" s="4" t="s">
        <v>1</v>
      </c>
      <c r="C8296" s="4" t="s">
        <v>36</v>
      </c>
      <c r="D8296" s="4">
        <v>2019</v>
      </c>
      <c r="E8296" s="4">
        <v>1212.9230769230767</v>
      </c>
      <c r="F8296" s="4" t="s">
        <v>29</v>
      </c>
    </row>
    <row r="8297" spans="1:6" x14ac:dyDescent="0.25">
      <c r="A8297" s="4" t="s">
        <v>81</v>
      </c>
      <c r="B8297" s="4" t="s">
        <v>1</v>
      </c>
      <c r="C8297" s="4" t="s">
        <v>36</v>
      </c>
      <c r="D8297" s="4">
        <v>2020</v>
      </c>
      <c r="E8297" s="4">
        <v>1305.840579710145</v>
      </c>
      <c r="F8297" s="4" t="s">
        <v>29</v>
      </c>
    </row>
    <row r="8298" spans="1:6" x14ac:dyDescent="0.25">
      <c r="A8298" s="4" t="s">
        <v>81</v>
      </c>
      <c r="B8298" s="4" t="s">
        <v>1</v>
      </c>
      <c r="C8298" s="4" t="s">
        <v>36</v>
      </c>
      <c r="D8298" s="4">
        <v>2021</v>
      </c>
      <c r="E8298" s="4">
        <v>1321.7941381236001</v>
      </c>
      <c r="F8298" s="4" t="s">
        <v>29</v>
      </c>
    </row>
    <row r="8299" spans="1:6" x14ac:dyDescent="0.25">
      <c r="A8299" s="4" t="s">
        <v>81</v>
      </c>
      <c r="B8299" s="4" t="s">
        <v>1</v>
      </c>
      <c r="C8299" s="4" t="s">
        <v>36</v>
      </c>
      <c r="D8299" s="4">
        <v>2022</v>
      </c>
      <c r="E8299" s="4">
        <v>1282.140313979892</v>
      </c>
      <c r="F8299" s="4" t="s">
        <v>29</v>
      </c>
    </row>
    <row r="8300" spans="1:6" x14ac:dyDescent="0.25">
      <c r="A8300" s="4" t="s">
        <v>81</v>
      </c>
      <c r="B8300" s="4" t="s">
        <v>1</v>
      </c>
      <c r="C8300" s="4" t="s">
        <v>36</v>
      </c>
      <c r="D8300" s="4">
        <v>2023</v>
      </c>
      <c r="E8300" s="4">
        <v>1243.6761045604951</v>
      </c>
      <c r="F8300" s="4" t="s">
        <v>29</v>
      </c>
    </row>
    <row r="8301" spans="1:6" x14ac:dyDescent="0.25">
      <c r="A8301" s="4" t="s">
        <v>81</v>
      </c>
      <c r="B8301" s="4" t="s">
        <v>1</v>
      </c>
      <c r="C8301" s="4" t="s">
        <v>36</v>
      </c>
      <c r="D8301" s="4">
        <v>2024</v>
      </c>
      <c r="E8301" s="4">
        <v>1206.3658214236802</v>
      </c>
      <c r="F8301" s="4" t="s">
        <v>29</v>
      </c>
    </row>
    <row r="8302" spans="1:6" x14ac:dyDescent="0.25">
      <c r="A8302" s="4" t="s">
        <v>81</v>
      </c>
      <c r="B8302" s="4" t="s">
        <v>1</v>
      </c>
      <c r="C8302" s="4" t="s">
        <v>36</v>
      </c>
      <c r="D8302" s="4">
        <v>2025</v>
      </c>
      <c r="E8302" s="4">
        <v>1170.1748467809698</v>
      </c>
      <c r="F8302" s="4" t="s">
        <v>29</v>
      </c>
    </row>
    <row r="8303" spans="1:6" x14ac:dyDescent="0.25">
      <c r="A8303" s="4" t="s">
        <v>81</v>
      </c>
      <c r="B8303" s="4" t="s">
        <v>1</v>
      </c>
      <c r="C8303" s="4" t="s">
        <v>36</v>
      </c>
      <c r="D8303" s="4">
        <v>2026</v>
      </c>
      <c r="E8303" s="4">
        <v>1100.773667787993</v>
      </c>
      <c r="F8303" s="4" t="s">
        <v>29</v>
      </c>
    </row>
    <row r="8304" spans="1:6" x14ac:dyDescent="0.25">
      <c r="A8304" s="4" t="s">
        <v>81</v>
      </c>
      <c r="B8304" s="4" t="s">
        <v>1</v>
      </c>
      <c r="C8304" s="4" t="s">
        <v>36</v>
      </c>
      <c r="D8304" s="4">
        <v>2027</v>
      </c>
      <c r="E8304" s="4">
        <v>1035.0491030775092</v>
      </c>
      <c r="F8304" s="4" t="s">
        <v>29</v>
      </c>
    </row>
    <row r="8305" spans="1:6" x14ac:dyDescent="0.25">
      <c r="A8305" s="4" t="s">
        <v>81</v>
      </c>
      <c r="B8305" s="4" t="s">
        <v>1</v>
      </c>
      <c r="C8305" s="4" t="s">
        <v>36</v>
      </c>
      <c r="D8305" s="4">
        <v>2028</v>
      </c>
      <c r="E8305" s="4">
        <v>969.68433922894485</v>
      </c>
      <c r="F8305" s="4" t="s">
        <v>29</v>
      </c>
    </row>
    <row r="8306" spans="1:6" x14ac:dyDescent="0.25">
      <c r="A8306" s="4" t="s">
        <v>81</v>
      </c>
      <c r="B8306" s="4" t="s">
        <v>1</v>
      </c>
      <c r="C8306" s="4" t="s">
        <v>36</v>
      </c>
      <c r="D8306" s="4">
        <v>2029</v>
      </c>
      <c r="E8306" s="4">
        <v>923.80193080776769</v>
      </c>
      <c r="F8306" s="4" t="s">
        <v>29</v>
      </c>
    </row>
    <row r="8307" spans="1:6" x14ac:dyDescent="0.25">
      <c r="A8307" s="4" t="s">
        <v>81</v>
      </c>
      <c r="B8307" s="4" t="s">
        <v>1</v>
      </c>
      <c r="C8307" s="4" t="s">
        <v>36</v>
      </c>
      <c r="D8307" s="4">
        <v>2030</v>
      </c>
      <c r="E8307" s="4">
        <v>879.9425763609695</v>
      </c>
      <c r="F8307" s="4" t="s">
        <v>29</v>
      </c>
    </row>
    <row r="8308" spans="1:6" x14ac:dyDescent="0.25">
      <c r="A8308" s="4" t="s">
        <v>81</v>
      </c>
      <c r="B8308" s="4" t="s">
        <v>1</v>
      </c>
      <c r="C8308" s="4" t="s">
        <v>36</v>
      </c>
      <c r="D8308" s="4">
        <v>2031</v>
      </c>
      <c r="E8308" s="4">
        <v>838.02190205643433</v>
      </c>
      <c r="F8308" s="4" t="s">
        <v>29</v>
      </c>
    </row>
    <row r="8309" spans="1:6" x14ac:dyDescent="0.25">
      <c r="A8309" s="4" t="s">
        <v>81</v>
      </c>
      <c r="B8309" s="4" t="s">
        <v>1</v>
      </c>
      <c r="C8309" s="4" t="s">
        <v>36</v>
      </c>
      <c r="D8309" s="4">
        <v>2032</v>
      </c>
      <c r="E8309" s="4">
        <v>797.95890428623284</v>
      </c>
      <c r="F8309" s="4" t="s">
        <v>29</v>
      </c>
    </row>
    <row r="8310" spans="1:6" x14ac:dyDescent="0.25">
      <c r="A8310" s="4" t="s">
        <v>81</v>
      </c>
      <c r="B8310" s="4" t="s">
        <v>1</v>
      </c>
      <c r="C8310" s="4" t="s">
        <v>36</v>
      </c>
      <c r="D8310" s="4">
        <v>2033</v>
      </c>
      <c r="E8310" s="4">
        <v>768.02390546227321</v>
      </c>
      <c r="F8310" s="4" t="s">
        <v>29</v>
      </c>
    </row>
    <row r="8311" spans="1:6" x14ac:dyDescent="0.25">
      <c r="A8311" s="4" t="s">
        <v>81</v>
      </c>
      <c r="B8311" s="4" t="s">
        <v>1</v>
      </c>
      <c r="C8311" s="4" t="s">
        <v>36</v>
      </c>
      <c r="D8311" s="4">
        <v>2034</v>
      </c>
      <c r="E8311" s="4">
        <v>731.13242134135135</v>
      </c>
      <c r="F8311" s="4" t="s">
        <v>29</v>
      </c>
    </row>
    <row r="8312" spans="1:6" x14ac:dyDescent="0.25">
      <c r="A8312" s="4" t="s">
        <v>81</v>
      </c>
      <c r="B8312" s="4" t="s">
        <v>1</v>
      </c>
      <c r="C8312" s="4" t="s">
        <v>36</v>
      </c>
      <c r="D8312" s="4">
        <v>2035</v>
      </c>
      <c r="E8312" s="4">
        <v>695.88585376151161</v>
      </c>
      <c r="F8312" s="4" t="s">
        <v>29</v>
      </c>
    </row>
    <row r="8313" spans="1:6" x14ac:dyDescent="0.25">
      <c r="A8313" s="4" t="s">
        <v>81</v>
      </c>
      <c r="B8313" s="4" t="s">
        <v>1</v>
      </c>
      <c r="C8313" s="4" t="s">
        <v>36</v>
      </c>
      <c r="D8313" s="4">
        <v>2036</v>
      </c>
      <c r="E8313" s="4">
        <v>669.65564891703605</v>
      </c>
      <c r="F8313" s="4" t="s">
        <v>29</v>
      </c>
    </row>
    <row r="8314" spans="1:6" x14ac:dyDescent="0.25">
      <c r="A8314" s="4" t="s">
        <v>81</v>
      </c>
      <c r="B8314" s="4" t="s">
        <v>1</v>
      </c>
      <c r="C8314" s="4" t="s">
        <v>36</v>
      </c>
      <c r="D8314" s="4">
        <v>2037</v>
      </c>
      <c r="E8314" s="4">
        <v>637.21325954934548</v>
      </c>
      <c r="F8314" s="4" t="s">
        <v>29</v>
      </c>
    </row>
    <row r="8315" spans="1:6" x14ac:dyDescent="0.25">
      <c r="A8315" s="4" t="s">
        <v>81</v>
      </c>
      <c r="B8315" s="4" t="s">
        <v>1</v>
      </c>
      <c r="C8315" s="4" t="s">
        <v>36</v>
      </c>
      <c r="D8315" s="4">
        <v>2038</v>
      </c>
      <c r="E8315" s="4">
        <v>606.22666189844745</v>
      </c>
      <c r="F8315" s="4" t="s">
        <v>29</v>
      </c>
    </row>
    <row r="8316" spans="1:6" x14ac:dyDescent="0.25">
      <c r="A8316" s="4" t="s">
        <v>81</v>
      </c>
      <c r="B8316" s="4" t="s">
        <v>1</v>
      </c>
      <c r="C8316" s="4" t="s">
        <v>36</v>
      </c>
      <c r="D8316" s="4">
        <v>2039</v>
      </c>
      <c r="E8316" s="4">
        <v>583.26232947536823</v>
      </c>
      <c r="F8316" s="4" t="s">
        <v>29</v>
      </c>
    </row>
    <row r="8317" spans="1:6" x14ac:dyDescent="0.25">
      <c r="A8317" s="4" t="s">
        <v>81</v>
      </c>
      <c r="B8317" s="4" t="s">
        <v>1</v>
      </c>
      <c r="C8317" s="4" t="s">
        <v>36</v>
      </c>
      <c r="D8317" s="4">
        <v>2040</v>
      </c>
      <c r="E8317" s="4">
        <v>554.65785325171532</v>
      </c>
      <c r="F8317" s="4" t="s">
        <v>29</v>
      </c>
    </row>
    <row r="8318" spans="1:6" x14ac:dyDescent="0.25">
      <c r="A8318" s="4" t="s">
        <v>81</v>
      </c>
      <c r="B8318" s="4" t="s">
        <v>23</v>
      </c>
      <c r="C8318" s="4" t="s">
        <v>36</v>
      </c>
      <c r="D8318" s="4">
        <v>2005</v>
      </c>
      <c r="E8318" s="4">
        <v>2990</v>
      </c>
      <c r="F8318" s="4" t="s">
        <v>29</v>
      </c>
    </row>
    <row r="8319" spans="1:6" x14ac:dyDescent="0.25">
      <c r="A8319" s="4" t="s">
        <v>81</v>
      </c>
      <c r="B8319" s="4" t="s">
        <v>23</v>
      </c>
      <c r="C8319" s="4" t="s">
        <v>36</v>
      </c>
      <c r="D8319" s="4">
        <v>2006</v>
      </c>
      <c r="E8319" s="4">
        <v>2970</v>
      </c>
      <c r="F8319" s="4" t="s">
        <v>29</v>
      </c>
    </row>
    <row r="8320" spans="1:6" x14ac:dyDescent="0.25">
      <c r="A8320" s="4" t="s">
        <v>81</v>
      </c>
      <c r="B8320" s="4" t="s">
        <v>23</v>
      </c>
      <c r="C8320" s="4" t="s">
        <v>36</v>
      </c>
      <c r="D8320" s="4">
        <v>2007</v>
      </c>
      <c r="E8320" s="4">
        <v>2790</v>
      </c>
      <c r="F8320" s="4" t="s">
        <v>29</v>
      </c>
    </row>
    <row r="8321" spans="1:6" x14ac:dyDescent="0.25">
      <c r="A8321" s="4" t="s">
        <v>81</v>
      </c>
      <c r="B8321" s="4" t="s">
        <v>23</v>
      </c>
      <c r="C8321" s="4" t="s">
        <v>36</v>
      </c>
      <c r="D8321" s="4">
        <v>2008</v>
      </c>
      <c r="E8321" s="4">
        <v>2580</v>
      </c>
      <c r="F8321" s="4" t="s">
        <v>29</v>
      </c>
    </row>
    <row r="8322" spans="1:6" x14ac:dyDescent="0.25">
      <c r="A8322" s="4" t="s">
        <v>81</v>
      </c>
      <c r="B8322" s="4" t="s">
        <v>23</v>
      </c>
      <c r="C8322" s="4" t="s">
        <v>36</v>
      </c>
      <c r="D8322" s="4">
        <v>2009</v>
      </c>
      <c r="E8322" s="4">
        <v>2470</v>
      </c>
      <c r="F8322" s="4" t="s">
        <v>29</v>
      </c>
    </row>
    <row r="8323" spans="1:6" x14ac:dyDescent="0.25">
      <c r="A8323" s="4" t="s">
        <v>81</v>
      </c>
      <c r="B8323" s="4" t="s">
        <v>23</v>
      </c>
      <c r="C8323" s="4" t="s">
        <v>36</v>
      </c>
      <c r="D8323" s="4">
        <v>2010</v>
      </c>
      <c r="E8323" s="4">
        <v>2390</v>
      </c>
      <c r="F8323" s="4" t="s">
        <v>29</v>
      </c>
    </row>
    <row r="8324" spans="1:6" x14ac:dyDescent="0.25">
      <c r="A8324" s="4" t="s">
        <v>81</v>
      </c>
      <c r="B8324" s="4" t="s">
        <v>23</v>
      </c>
      <c r="C8324" s="4" t="s">
        <v>36</v>
      </c>
      <c r="D8324" s="4">
        <v>2011</v>
      </c>
      <c r="E8324" s="4">
        <v>1670</v>
      </c>
      <c r="F8324" s="4" t="s">
        <v>29</v>
      </c>
    </row>
    <row r="8325" spans="1:6" x14ac:dyDescent="0.25">
      <c r="A8325" s="4" t="s">
        <v>81</v>
      </c>
      <c r="B8325" s="4" t="s">
        <v>23</v>
      </c>
      <c r="C8325" s="4" t="s">
        <v>36</v>
      </c>
      <c r="D8325" s="4">
        <v>2012</v>
      </c>
      <c r="E8325" s="4">
        <v>2070</v>
      </c>
      <c r="F8325" s="4" t="s">
        <v>29</v>
      </c>
    </row>
    <row r="8326" spans="1:6" x14ac:dyDescent="0.25">
      <c r="A8326" s="4" t="s">
        <v>81</v>
      </c>
      <c r="B8326" s="4" t="s">
        <v>23</v>
      </c>
      <c r="C8326" s="4" t="s">
        <v>36</v>
      </c>
      <c r="D8326" s="4">
        <v>2013</v>
      </c>
      <c r="E8326" s="4">
        <v>1960</v>
      </c>
      <c r="F8326" s="4" t="s">
        <v>29</v>
      </c>
    </row>
    <row r="8327" spans="1:6" x14ac:dyDescent="0.25">
      <c r="A8327" s="4" t="s">
        <v>81</v>
      </c>
      <c r="B8327" s="4" t="s">
        <v>23</v>
      </c>
      <c r="C8327" s="4" t="s">
        <v>36</v>
      </c>
      <c r="D8327" s="4">
        <v>2014</v>
      </c>
      <c r="E8327" s="4">
        <v>1690</v>
      </c>
      <c r="F8327" s="4" t="s">
        <v>29</v>
      </c>
    </row>
    <row r="8328" spans="1:6" x14ac:dyDescent="0.25">
      <c r="A8328" s="4" t="s">
        <v>81</v>
      </c>
      <c r="B8328" s="4" t="s">
        <v>23</v>
      </c>
      <c r="C8328" s="4" t="s">
        <v>36</v>
      </c>
      <c r="D8328" s="4">
        <v>2015</v>
      </c>
      <c r="E8328" s="4">
        <v>1576</v>
      </c>
      <c r="F8328" s="4" t="s">
        <v>29</v>
      </c>
    </row>
    <row r="8329" spans="1:6" x14ac:dyDescent="0.25">
      <c r="A8329" s="4" t="s">
        <v>81</v>
      </c>
      <c r="B8329" s="4" t="s">
        <v>23</v>
      </c>
      <c r="C8329" s="4" t="s">
        <v>36</v>
      </c>
      <c r="D8329" s="4">
        <v>2016</v>
      </c>
      <c r="E8329" s="4">
        <v>1428</v>
      </c>
      <c r="F8329" s="4" t="s">
        <v>29</v>
      </c>
    </row>
    <row r="8330" spans="1:6" x14ac:dyDescent="0.25">
      <c r="A8330" s="4" t="s">
        <v>81</v>
      </c>
      <c r="B8330" s="4" t="s">
        <v>23</v>
      </c>
      <c r="C8330" s="4" t="s">
        <v>36</v>
      </c>
      <c r="D8330" s="4">
        <v>2017</v>
      </c>
      <c r="E8330" s="4">
        <v>54</v>
      </c>
      <c r="F8330" s="4" t="s">
        <v>29</v>
      </c>
    </row>
    <row r="8331" spans="1:6" x14ac:dyDescent="0.25">
      <c r="A8331" s="4" t="s">
        <v>81</v>
      </c>
      <c r="B8331" s="4" t="s">
        <v>23</v>
      </c>
      <c r="C8331" s="4" t="s">
        <v>36</v>
      </c>
      <c r="D8331" s="4">
        <v>2018</v>
      </c>
      <c r="E8331" s="4">
        <v>100</v>
      </c>
      <c r="F8331" s="4" t="s">
        <v>29</v>
      </c>
    </row>
    <row r="8332" spans="1:6" x14ac:dyDescent="0.25">
      <c r="A8332" s="4" t="s">
        <v>81</v>
      </c>
      <c r="B8332" s="4" t="s">
        <v>23</v>
      </c>
      <c r="C8332" s="4" t="s">
        <v>36</v>
      </c>
      <c r="D8332" s="4">
        <v>2019</v>
      </c>
      <c r="E8332" s="4">
        <v>1212.9230769230767</v>
      </c>
      <c r="F8332" s="4" t="s">
        <v>29</v>
      </c>
    </row>
    <row r="8333" spans="1:6" x14ac:dyDescent="0.25">
      <c r="A8333" s="4" t="s">
        <v>81</v>
      </c>
      <c r="B8333" s="4" t="s">
        <v>23</v>
      </c>
      <c r="C8333" s="4" t="s">
        <v>36</v>
      </c>
      <c r="D8333" s="4">
        <v>2020</v>
      </c>
      <c r="E8333" s="4">
        <v>1305.840579710145</v>
      </c>
      <c r="F8333" s="4" t="s">
        <v>29</v>
      </c>
    </row>
    <row r="8334" spans="1:6" x14ac:dyDescent="0.25">
      <c r="A8334" s="4" t="s">
        <v>81</v>
      </c>
      <c r="B8334" s="4" t="s">
        <v>23</v>
      </c>
      <c r="C8334" s="4" t="s">
        <v>36</v>
      </c>
      <c r="D8334" s="4">
        <v>2021</v>
      </c>
      <c r="E8334" s="4">
        <v>1321.7941381236001</v>
      </c>
      <c r="F8334" s="4" t="s">
        <v>29</v>
      </c>
    </row>
    <row r="8335" spans="1:6" x14ac:dyDescent="0.25">
      <c r="A8335" s="4" t="s">
        <v>81</v>
      </c>
      <c r="B8335" s="4" t="s">
        <v>23</v>
      </c>
      <c r="C8335" s="4" t="s">
        <v>36</v>
      </c>
      <c r="D8335" s="4">
        <v>2022</v>
      </c>
      <c r="E8335" s="4">
        <v>1282.140313979892</v>
      </c>
      <c r="F8335" s="4" t="s">
        <v>29</v>
      </c>
    </row>
    <row r="8336" spans="1:6" x14ac:dyDescent="0.25">
      <c r="A8336" s="4" t="s">
        <v>81</v>
      </c>
      <c r="B8336" s="4" t="s">
        <v>23</v>
      </c>
      <c r="C8336" s="4" t="s">
        <v>36</v>
      </c>
      <c r="D8336" s="4">
        <v>2023</v>
      </c>
      <c r="E8336" s="4">
        <v>1243.6761045604951</v>
      </c>
      <c r="F8336" s="4" t="s">
        <v>29</v>
      </c>
    </row>
    <row r="8337" spans="1:6" x14ac:dyDescent="0.25">
      <c r="A8337" s="4" t="s">
        <v>81</v>
      </c>
      <c r="B8337" s="4" t="s">
        <v>23</v>
      </c>
      <c r="C8337" s="4" t="s">
        <v>36</v>
      </c>
      <c r="D8337" s="4">
        <v>2024</v>
      </c>
      <c r="E8337" s="4">
        <v>1206.3658214236802</v>
      </c>
      <c r="F8337" s="4" t="s">
        <v>29</v>
      </c>
    </row>
    <row r="8338" spans="1:6" x14ac:dyDescent="0.25">
      <c r="A8338" s="4" t="s">
        <v>81</v>
      </c>
      <c r="B8338" s="4" t="s">
        <v>23</v>
      </c>
      <c r="C8338" s="4" t="s">
        <v>36</v>
      </c>
      <c r="D8338" s="4">
        <v>2025</v>
      </c>
      <c r="E8338" s="4">
        <v>1170.1748467809698</v>
      </c>
      <c r="F8338" s="4" t="s">
        <v>29</v>
      </c>
    </row>
    <row r="8339" spans="1:6" x14ac:dyDescent="0.25">
      <c r="A8339" s="4" t="s">
        <v>81</v>
      </c>
      <c r="B8339" s="4" t="s">
        <v>23</v>
      </c>
      <c r="C8339" s="4" t="s">
        <v>36</v>
      </c>
      <c r="D8339" s="4">
        <v>2026</v>
      </c>
      <c r="E8339" s="4">
        <v>1100.773667787993</v>
      </c>
      <c r="F8339" s="4" t="s">
        <v>29</v>
      </c>
    </row>
    <row r="8340" spans="1:6" x14ac:dyDescent="0.25">
      <c r="A8340" s="4" t="s">
        <v>81</v>
      </c>
      <c r="B8340" s="4" t="s">
        <v>23</v>
      </c>
      <c r="C8340" s="4" t="s">
        <v>36</v>
      </c>
      <c r="D8340" s="4">
        <v>2027</v>
      </c>
      <c r="E8340" s="4">
        <v>1035.0491030775092</v>
      </c>
      <c r="F8340" s="4" t="s">
        <v>29</v>
      </c>
    </row>
    <row r="8341" spans="1:6" x14ac:dyDescent="0.25">
      <c r="A8341" s="4" t="s">
        <v>81</v>
      </c>
      <c r="B8341" s="4" t="s">
        <v>23</v>
      </c>
      <c r="C8341" s="4" t="s">
        <v>36</v>
      </c>
      <c r="D8341" s="4">
        <v>2028</v>
      </c>
      <c r="E8341" s="4">
        <v>969.68433922894485</v>
      </c>
      <c r="F8341" s="4" t="s">
        <v>29</v>
      </c>
    </row>
    <row r="8342" spans="1:6" x14ac:dyDescent="0.25">
      <c r="A8342" s="4" t="s">
        <v>81</v>
      </c>
      <c r="B8342" s="4" t="s">
        <v>23</v>
      </c>
      <c r="C8342" s="4" t="s">
        <v>36</v>
      </c>
      <c r="D8342" s="4">
        <v>2029</v>
      </c>
      <c r="E8342" s="4">
        <v>923.80193080776769</v>
      </c>
      <c r="F8342" s="4" t="s">
        <v>29</v>
      </c>
    </row>
    <row r="8343" spans="1:6" x14ac:dyDescent="0.25">
      <c r="A8343" s="4" t="s">
        <v>81</v>
      </c>
      <c r="B8343" s="4" t="s">
        <v>23</v>
      </c>
      <c r="C8343" s="4" t="s">
        <v>36</v>
      </c>
      <c r="D8343" s="4">
        <v>2030</v>
      </c>
      <c r="E8343" s="4">
        <v>879.9425763609695</v>
      </c>
      <c r="F8343" s="4" t="s">
        <v>29</v>
      </c>
    </row>
    <row r="8344" spans="1:6" x14ac:dyDescent="0.25">
      <c r="A8344" s="4" t="s">
        <v>81</v>
      </c>
      <c r="B8344" s="4" t="s">
        <v>23</v>
      </c>
      <c r="C8344" s="4" t="s">
        <v>36</v>
      </c>
      <c r="D8344" s="4">
        <v>2031</v>
      </c>
      <c r="E8344" s="4">
        <v>838.02190205643433</v>
      </c>
      <c r="F8344" s="4" t="s">
        <v>29</v>
      </c>
    </row>
    <row r="8345" spans="1:6" x14ac:dyDescent="0.25">
      <c r="A8345" s="4" t="s">
        <v>81</v>
      </c>
      <c r="B8345" s="4" t="s">
        <v>23</v>
      </c>
      <c r="C8345" s="4" t="s">
        <v>36</v>
      </c>
      <c r="D8345" s="4">
        <v>2032</v>
      </c>
      <c r="E8345" s="4">
        <v>797.95890428623284</v>
      </c>
      <c r="F8345" s="4" t="s">
        <v>29</v>
      </c>
    </row>
    <row r="8346" spans="1:6" x14ac:dyDescent="0.25">
      <c r="A8346" s="4" t="s">
        <v>81</v>
      </c>
      <c r="B8346" s="4" t="s">
        <v>23</v>
      </c>
      <c r="C8346" s="4" t="s">
        <v>36</v>
      </c>
      <c r="D8346" s="4">
        <v>2033</v>
      </c>
      <c r="E8346" s="4">
        <v>768.02390546227321</v>
      </c>
      <c r="F8346" s="4" t="s">
        <v>29</v>
      </c>
    </row>
    <row r="8347" spans="1:6" x14ac:dyDescent="0.25">
      <c r="A8347" s="4" t="s">
        <v>81</v>
      </c>
      <c r="B8347" s="4" t="s">
        <v>23</v>
      </c>
      <c r="C8347" s="4" t="s">
        <v>36</v>
      </c>
      <c r="D8347" s="4">
        <v>2034</v>
      </c>
      <c r="E8347" s="4">
        <v>731.13242134135135</v>
      </c>
      <c r="F8347" s="4" t="s">
        <v>29</v>
      </c>
    </row>
    <row r="8348" spans="1:6" x14ac:dyDescent="0.25">
      <c r="A8348" s="4" t="s">
        <v>81</v>
      </c>
      <c r="B8348" s="4" t="s">
        <v>23</v>
      </c>
      <c r="C8348" s="4" t="s">
        <v>36</v>
      </c>
      <c r="D8348" s="4">
        <v>2035</v>
      </c>
      <c r="E8348" s="4">
        <v>695.88585376151161</v>
      </c>
      <c r="F8348" s="4" t="s">
        <v>29</v>
      </c>
    </row>
    <row r="8349" spans="1:6" x14ac:dyDescent="0.25">
      <c r="A8349" s="4" t="s">
        <v>81</v>
      </c>
      <c r="B8349" s="4" t="s">
        <v>23</v>
      </c>
      <c r="C8349" s="4" t="s">
        <v>36</v>
      </c>
      <c r="D8349" s="4">
        <v>2036</v>
      </c>
      <c r="E8349" s="4">
        <v>669.65564891703605</v>
      </c>
      <c r="F8349" s="4" t="s">
        <v>29</v>
      </c>
    </row>
    <row r="8350" spans="1:6" x14ac:dyDescent="0.25">
      <c r="A8350" s="4" t="s">
        <v>81</v>
      </c>
      <c r="B8350" s="4" t="s">
        <v>23</v>
      </c>
      <c r="C8350" s="4" t="s">
        <v>36</v>
      </c>
      <c r="D8350" s="4">
        <v>2037</v>
      </c>
      <c r="E8350" s="4">
        <v>637.21325954934548</v>
      </c>
      <c r="F8350" s="4" t="s">
        <v>29</v>
      </c>
    </row>
    <row r="8351" spans="1:6" x14ac:dyDescent="0.25">
      <c r="A8351" s="4" t="s">
        <v>81</v>
      </c>
      <c r="B8351" s="4" t="s">
        <v>23</v>
      </c>
      <c r="C8351" s="4" t="s">
        <v>36</v>
      </c>
      <c r="D8351" s="4">
        <v>2038</v>
      </c>
      <c r="E8351" s="4">
        <v>606.22666189844745</v>
      </c>
      <c r="F8351" s="4" t="s">
        <v>29</v>
      </c>
    </row>
    <row r="8352" spans="1:6" x14ac:dyDescent="0.25">
      <c r="A8352" s="4" t="s">
        <v>81</v>
      </c>
      <c r="B8352" s="4" t="s">
        <v>23</v>
      </c>
      <c r="C8352" s="4" t="s">
        <v>36</v>
      </c>
      <c r="D8352" s="4">
        <v>2039</v>
      </c>
      <c r="E8352" s="4">
        <v>583.26232947536823</v>
      </c>
      <c r="F8352" s="4" t="s">
        <v>29</v>
      </c>
    </row>
    <row r="8353" spans="1:6" x14ac:dyDescent="0.25">
      <c r="A8353" s="4" t="s">
        <v>81</v>
      </c>
      <c r="B8353" s="4" t="s">
        <v>23</v>
      </c>
      <c r="C8353" s="4" t="s">
        <v>36</v>
      </c>
      <c r="D8353" s="4">
        <v>2040</v>
      </c>
      <c r="E8353" s="4">
        <v>554.65785325171532</v>
      </c>
      <c r="F8353" s="4" t="s">
        <v>29</v>
      </c>
    </row>
    <row r="8354" spans="1:6" x14ac:dyDescent="0.25">
      <c r="A8354" s="4" t="s">
        <v>82</v>
      </c>
      <c r="B8354" s="4" t="s">
        <v>1</v>
      </c>
      <c r="C8354" s="4" t="s">
        <v>36</v>
      </c>
      <c r="D8354" s="4">
        <v>2005</v>
      </c>
      <c r="E8354" s="4">
        <v>0</v>
      </c>
      <c r="F8354" s="4" t="s">
        <v>29</v>
      </c>
    </row>
    <row r="8355" spans="1:6" x14ac:dyDescent="0.25">
      <c r="A8355" s="4" t="s">
        <v>82</v>
      </c>
      <c r="B8355" s="4" t="s">
        <v>1</v>
      </c>
      <c r="C8355" s="4" t="s">
        <v>36</v>
      </c>
      <c r="D8355" s="4">
        <v>2006</v>
      </c>
      <c r="E8355" s="4">
        <v>0</v>
      </c>
      <c r="F8355" s="4" t="s">
        <v>29</v>
      </c>
    </row>
    <row r="8356" spans="1:6" x14ac:dyDescent="0.25">
      <c r="A8356" s="4" t="s">
        <v>82</v>
      </c>
      <c r="B8356" s="4" t="s">
        <v>1</v>
      </c>
      <c r="C8356" s="4" t="s">
        <v>36</v>
      </c>
      <c r="D8356" s="4">
        <v>2007</v>
      </c>
      <c r="E8356" s="4">
        <v>0</v>
      </c>
      <c r="F8356" s="4" t="s">
        <v>29</v>
      </c>
    </row>
    <row r="8357" spans="1:6" x14ac:dyDescent="0.25">
      <c r="A8357" s="4" t="s">
        <v>82</v>
      </c>
      <c r="B8357" s="4" t="s">
        <v>1</v>
      </c>
      <c r="C8357" s="4" t="s">
        <v>36</v>
      </c>
      <c r="D8357" s="4">
        <v>2008</v>
      </c>
      <c r="E8357" s="4">
        <v>0</v>
      </c>
      <c r="F8357" s="4" t="s">
        <v>29</v>
      </c>
    </row>
    <row r="8358" spans="1:6" x14ac:dyDescent="0.25">
      <c r="A8358" s="4" t="s">
        <v>82</v>
      </c>
      <c r="B8358" s="4" t="s">
        <v>1</v>
      </c>
      <c r="C8358" s="4" t="s">
        <v>36</v>
      </c>
      <c r="D8358" s="4">
        <v>2009</v>
      </c>
      <c r="E8358" s="4">
        <v>0</v>
      </c>
      <c r="F8358" s="4" t="s">
        <v>29</v>
      </c>
    </row>
    <row r="8359" spans="1:6" x14ac:dyDescent="0.25">
      <c r="A8359" s="4" t="s">
        <v>82</v>
      </c>
      <c r="B8359" s="4" t="s">
        <v>1</v>
      </c>
      <c r="C8359" s="4" t="s">
        <v>36</v>
      </c>
      <c r="D8359" s="4">
        <v>2010</v>
      </c>
      <c r="E8359" s="4">
        <v>0</v>
      </c>
      <c r="F8359" s="4" t="s">
        <v>29</v>
      </c>
    </row>
    <row r="8360" spans="1:6" x14ac:dyDescent="0.25">
      <c r="A8360" s="4" t="s">
        <v>82</v>
      </c>
      <c r="B8360" s="4" t="s">
        <v>1</v>
      </c>
      <c r="C8360" s="4" t="s">
        <v>36</v>
      </c>
      <c r="D8360" s="4">
        <v>2011</v>
      </c>
      <c r="E8360" s="4">
        <v>0</v>
      </c>
      <c r="F8360" s="4" t="s">
        <v>29</v>
      </c>
    </row>
    <row r="8361" spans="1:6" x14ac:dyDescent="0.25">
      <c r="A8361" s="4" t="s">
        <v>82</v>
      </c>
      <c r="B8361" s="4" t="s">
        <v>1</v>
      </c>
      <c r="C8361" s="4" t="s">
        <v>36</v>
      </c>
      <c r="D8361" s="4">
        <v>2012</v>
      </c>
      <c r="E8361" s="4">
        <v>0</v>
      </c>
      <c r="F8361" s="4" t="s">
        <v>29</v>
      </c>
    </row>
    <row r="8362" spans="1:6" x14ac:dyDescent="0.25">
      <c r="A8362" s="4" t="s">
        <v>82</v>
      </c>
      <c r="B8362" s="4" t="s">
        <v>1</v>
      </c>
      <c r="C8362" s="4" t="s">
        <v>36</v>
      </c>
      <c r="D8362" s="4">
        <v>2013</v>
      </c>
      <c r="E8362" s="4">
        <v>0</v>
      </c>
      <c r="F8362" s="4" t="s">
        <v>29</v>
      </c>
    </row>
    <row r="8363" spans="1:6" x14ac:dyDescent="0.25">
      <c r="A8363" s="4" t="s">
        <v>82</v>
      </c>
      <c r="B8363" s="4" t="s">
        <v>1</v>
      </c>
      <c r="C8363" s="4" t="s">
        <v>36</v>
      </c>
      <c r="D8363" s="4">
        <v>2014</v>
      </c>
      <c r="E8363" s="4">
        <v>0</v>
      </c>
      <c r="F8363" s="4" t="s">
        <v>29</v>
      </c>
    </row>
    <row r="8364" spans="1:6" x14ac:dyDescent="0.25">
      <c r="A8364" s="4" t="s">
        <v>82</v>
      </c>
      <c r="B8364" s="4" t="s">
        <v>1</v>
      </c>
      <c r="C8364" s="4" t="s">
        <v>36</v>
      </c>
      <c r="D8364" s="4">
        <v>2015</v>
      </c>
      <c r="E8364" s="4">
        <v>0</v>
      </c>
      <c r="F8364" s="4" t="s">
        <v>29</v>
      </c>
    </row>
    <row r="8365" spans="1:6" x14ac:dyDescent="0.25">
      <c r="A8365" s="4" t="s">
        <v>82</v>
      </c>
      <c r="B8365" s="4" t="s">
        <v>1</v>
      </c>
      <c r="C8365" s="4" t="s">
        <v>36</v>
      </c>
      <c r="D8365" s="4">
        <v>2016</v>
      </c>
      <c r="E8365" s="4">
        <v>0</v>
      </c>
      <c r="F8365" s="4" t="s">
        <v>29</v>
      </c>
    </row>
    <row r="8366" spans="1:6" x14ac:dyDescent="0.25">
      <c r="A8366" s="4" t="s">
        <v>82</v>
      </c>
      <c r="B8366" s="4" t="s">
        <v>1</v>
      </c>
      <c r="C8366" s="4" t="s">
        <v>36</v>
      </c>
      <c r="D8366" s="4">
        <v>2017</v>
      </c>
      <c r="E8366" s="4">
        <v>0</v>
      </c>
      <c r="F8366" s="4" t="s">
        <v>29</v>
      </c>
    </row>
    <row r="8367" spans="1:6" x14ac:dyDescent="0.25">
      <c r="A8367" s="4" t="s">
        <v>82</v>
      </c>
      <c r="B8367" s="4" t="s">
        <v>1</v>
      </c>
      <c r="C8367" s="4" t="s">
        <v>36</v>
      </c>
      <c r="D8367" s="4">
        <v>2018</v>
      </c>
      <c r="E8367" s="4">
        <v>0</v>
      </c>
      <c r="F8367" s="4" t="s">
        <v>29</v>
      </c>
    </row>
    <row r="8368" spans="1:6" x14ac:dyDescent="0.25">
      <c r="A8368" s="4" t="s">
        <v>82</v>
      </c>
      <c r="B8368" s="4" t="s">
        <v>1</v>
      </c>
      <c r="C8368" s="4" t="s">
        <v>36</v>
      </c>
      <c r="D8368" s="4">
        <v>2019</v>
      </c>
      <c r="E8368" s="4">
        <v>0</v>
      </c>
      <c r="F8368" s="4" t="s">
        <v>29</v>
      </c>
    </row>
    <row r="8369" spans="1:6" x14ac:dyDescent="0.25">
      <c r="A8369" s="4" t="s">
        <v>82</v>
      </c>
      <c r="B8369" s="4" t="s">
        <v>1</v>
      </c>
      <c r="C8369" s="4" t="s">
        <v>36</v>
      </c>
      <c r="D8369" s="4">
        <v>2020</v>
      </c>
      <c r="E8369" s="4">
        <v>0</v>
      </c>
      <c r="F8369" s="4" t="s">
        <v>29</v>
      </c>
    </row>
    <row r="8370" spans="1:6" x14ac:dyDescent="0.25">
      <c r="A8370" s="4" t="s">
        <v>82</v>
      </c>
      <c r="B8370" s="4" t="s">
        <v>1</v>
      </c>
      <c r="C8370" s="4" t="s">
        <v>36</v>
      </c>
      <c r="D8370" s="4">
        <v>2021</v>
      </c>
      <c r="E8370" s="4">
        <v>0</v>
      </c>
      <c r="F8370" s="4" t="s">
        <v>29</v>
      </c>
    </row>
    <row r="8371" spans="1:6" x14ac:dyDescent="0.25">
      <c r="A8371" s="4" t="s">
        <v>82</v>
      </c>
      <c r="B8371" s="4" t="s">
        <v>1</v>
      </c>
      <c r="C8371" s="4" t="s">
        <v>36</v>
      </c>
      <c r="D8371" s="4">
        <v>2022</v>
      </c>
      <c r="E8371" s="4">
        <v>0</v>
      </c>
      <c r="F8371" s="4" t="s">
        <v>29</v>
      </c>
    </row>
    <row r="8372" spans="1:6" x14ac:dyDescent="0.25">
      <c r="A8372" s="4" t="s">
        <v>82</v>
      </c>
      <c r="B8372" s="4" t="s">
        <v>1</v>
      </c>
      <c r="C8372" s="4" t="s">
        <v>36</v>
      </c>
      <c r="D8372" s="4">
        <v>2023</v>
      </c>
      <c r="E8372" s="4">
        <v>0</v>
      </c>
      <c r="F8372" s="4" t="s">
        <v>29</v>
      </c>
    </row>
    <row r="8373" spans="1:6" x14ac:dyDescent="0.25">
      <c r="A8373" s="4" t="s">
        <v>82</v>
      </c>
      <c r="B8373" s="4" t="s">
        <v>1</v>
      </c>
      <c r="C8373" s="4" t="s">
        <v>36</v>
      </c>
      <c r="D8373" s="4">
        <v>2024</v>
      </c>
      <c r="E8373" s="4">
        <v>0</v>
      </c>
      <c r="F8373" s="4" t="s">
        <v>29</v>
      </c>
    </row>
    <row r="8374" spans="1:6" x14ac:dyDescent="0.25">
      <c r="A8374" s="4" t="s">
        <v>82</v>
      </c>
      <c r="B8374" s="4" t="s">
        <v>1</v>
      </c>
      <c r="C8374" s="4" t="s">
        <v>36</v>
      </c>
      <c r="D8374" s="4">
        <v>2025</v>
      </c>
      <c r="E8374" s="4">
        <v>0</v>
      </c>
      <c r="F8374" s="4" t="s">
        <v>29</v>
      </c>
    </row>
    <row r="8375" spans="1:6" x14ac:dyDescent="0.25">
      <c r="A8375" s="4" t="s">
        <v>82</v>
      </c>
      <c r="B8375" s="4" t="s">
        <v>1</v>
      </c>
      <c r="C8375" s="4" t="s">
        <v>36</v>
      </c>
      <c r="D8375" s="4">
        <v>2026</v>
      </c>
      <c r="E8375" s="4">
        <v>0</v>
      </c>
      <c r="F8375" s="4" t="s">
        <v>29</v>
      </c>
    </row>
    <row r="8376" spans="1:6" x14ac:dyDescent="0.25">
      <c r="A8376" s="4" t="s">
        <v>82</v>
      </c>
      <c r="B8376" s="4" t="s">
        <v>1</v>
      </c>
      <c r="C8376" s="4" t="s">
        <v>36</v>
      </c>
      <c r="D8376" s="4">
        <v>2027</v>
      </c>
      <c r="E8376" s="4">
        <v>0</v>
      </c>
      <c r="F8376" s="4" t="s">
        <v>29</v>
      </c>
    </row>
    <row r="8377" spans="1:6" x14ac:dyDescent="0.25">
      <c r="A8377" s="4" t="s">
        <v>82</v>
      </c>
      <c r="B8377" s="4" t="s">
        <v>1</v>
      </c>
      <c r="C8377" s="4" t="s">
        <v>36</v>
      </c>
      <c r="D8377" s="4">
        <v>2028</v>
      </c>
      <c r="E8377" s="4">
        <v>0</v>
      </c>
      <c r="F8377" s="4" t="s">
        <v>29</v>
      </c>
    </row>
    <row r="8378" spans="1:6" x14ac:dyDescent="0.25">
      <c r="A8378" s="4" t="s">
        <v>82</v>
      </c>
      <c r="B8378" s="4" t="s">
        <v>1</v>
      </c>
      <c r="C8378" s="4" t="s">
        <v>36</v>
      </c>
      <c r="D8378" s="4">
        <v>2029</v>
      </c>
      <c r="E8378" s="4">
        <v>0</v>
      </c>
      <c r="F8378" s="4" t="s">
        <v>29</v>
      </c>
    </row>
    <row r="8379" spans="1:6" x14ac:dyDescent="0.25">
      <c r="A8379" s="4" t="s">
        <v>82</v>
      </c>
      <c r="B8379" s="4" t="s">
        <v>1</v>
      </c>
      <c r="C8379" s="4" t="s">
        <v>36</v>
      </c>
      <c r="D8379" s="4">
        <v>2030</v>
      </c>
      <c r="E8379" s="4">
        <v>0</v>
      </c>
      <c r="F8379" s="4" t="s">
        <v>29</v>
      </c>
    </row>
    <row r="8380" spans="1:6" x14ac:dyDescent="0.25">
      <c r="A8380" s="4" t="s">
        <v>82</v>
      </c>
      <c r="B8380" s="4" t="s">
        <v>1</v>
      </c>
      <c r="C8380" s="4" t="s">
        <v>36</v>
      </c>
      <c r="D8380" s="4">
        <v>2031</v>
      </c>
      <c r="E8380" s="4">
        <v>0</v>
      </c>
      <c r="F8380" s="4" t="s">
        <v>29</v>
      </c>
    </row>
    <row r="8381" spans="1:6" x14ac:dyDescent="0.25">
      <c r="A8381" s="4" t="s">
        <v>82</v>
      </c>
      <c r="B8381" s="4" t="s">
        <v>1</v>
      </c>
      <c r="C8381" s="4" t="s">
        <v>36</v>
      </c>
      <c r="D8381" s="4">
        <v>2032</v>
      </c>
      <c r="E8381" s="4">
        <v>0</v>
      </c>
      <c r="F8381" s="4" t="s">
        <v>29</v>
      </c>
    </row>
    <row r="8382" spans="1:6" x14ac:dyDescent="0.25">
      <c r="A8382" s="4" t="s">
        <v>82</v>
      </c>
      <c r="B8382" s="4" t="s">
        <v>1</v>
      </c>
      <c r="C8382" s="4" t="s">
        <v>36</v>
      </c>
      <c r="D8382" s="4">
        <v>2033</v>
      </c>
      <c r="E8382" s="4">
        <v>0</v>
      </c>
      <c r="F8382" s="4" t="s">
        <v>29</v>
      </c>
    </row>
    <row r="8383" spans="1:6" x14ac:dyDescent="0.25">
      <c r="A8383" s="4" t="s">
        <v>82</v>
      </c>
      <c r="B8383" s="4" t="s">
        <v>1</v>
      </c>
      <c r="C8383" s="4" t="s">
        <v>36</v>
      </c>
      <c r="D8383" s="4">
        <v>2034</v>
      </c>
      <c r="E8383" s="4">
        <v>0</v>
      </c>
      <c r="F8383" s="4" t="s">
        <v>29</v>
      </c>
    </row>
    <row r="8384" spans="1:6" x14ac:dyDescent="0.25">
      <c r="A8384" s="4" t="s">
        <v>82</v>
      </c>
      <c r="B8384" s="4" t="s">
        <v>1</v>
      </c>
      <c r="C8384" s="4" t="s">
        <v>36</v>
      </c>
      <c r="D8384" s="4">
        <v>2035</v>
      </c>
      <c r="E8384" s="4">
        <v>0</v>
      </c>
      <c r="F8384" s="4" t="s">
        <v>29</v>
      </c>
    </row>
    <row r="8385" spans="1:6" x14ac:dyDescent="0.25">
      <c r="A8385" s="4" t="s">
        <v>82</v>
      </c>
      <c r="B8385" s="4" t="s">
        <v>1</v>
      </c>
      <c r="C8385" s="4" t="s">
        <v>36</v>
      </c>
      <c r="D8385" s="4">
        <v>2036</v>
      </c>
      <c r="E8385" s="4">
        <v>0</v>
      </c>
      <c r="F8385" s="4" t="s">
        <v>29</v>
      </c>
    </row>
    <row r="8386" spans="1:6" x14ac:dyDescent="0.25">
      <c r="A8386" s="4" t="s">
        <v>82</v>
      </c>
      <c r="B8386" s="4" t="s">
        <v>1</v>
      </c>
      <c r="C8386" s="4" t="s">
        <v>36</v>
      </c>
      <c r="D8386" s="4">
        <v>2037</v>
      </c>
      <c r="E8386" s="4">
        <v>0</v>
      </c>
      <c r="F8386" s="4" t="s">
        <v>29</v>
      </c>
    </row>
    <row r="8387" spans="1:6" x14ac:dyDescent="0.25">
      <c r="A8387" s="4" t="s">
        <v>82</v>
      </c>
      <c r="B8387" s="4" t="s">
        <v>1</v>
      </c>
      <c r="C8387" s="4" t="s">
        <v>36</v>
      </c>
      <c r="D8387" s="4">
        <v>2038</v>
      </c>
      <c r="E8387" s="4">
        <v>0</v>
      </c>
      <c r="F8387" s="4" t="s">
        <v>29</v>
      </c>
    </row>
    <row r="8388" spans="1:6" x14ac:dyDescent="0.25">
      <c r="A8388" s="4" t="s">
        <v>82</v>
      </c>
      <c r="B8388" s="4" t="s">
        <v>1</v>
      </c>
      <c r="C8388" s="4" t="s">
        <v>36</v>
      </c>
      <c r="D8388" s="4">
        <v>2039</v>
      </c>
      <c r="E8388" s="4">
        <v>0</v>
      </c>
      <c r="F8388" s="4" t="s">
        <v>29</v>
      </c>
    </row>
    <row r="8389" spans="1:6" x14ac:dyDescent="0.25">
      <c r="A8389" s="4" t="s">
        <v>82</v>
      </c>
      <c r="B8389" s="4" t="s">
        <v>1</v>
      </c>
      <c r="C8389" s="4" t="s">
        <v>36</v>
      </c>
      <c r="D8389" s="4">
        <v>2040</v>
      </c>
      <c r="E8389" s="4">
        <v>0</v>
      </c>
      <c r="F8389" s="4" t="s">
        <v>29</v>
      </c>
    </row>
    <row r="8390" spans="1:6" x14ac:dyDescent="0.25">
      <c r="A8390" s="4" t="s">
        <v>82</v>
      </c>
      <c r="B8390" s="4" t="s">
        <v>2</v>
      </c>
      <c r="C8390" s="4" t="s">
        <v>36</v>
      </c>
      <c r="D8390" s="4">
        <v>2005</v>
      </c>
      <c r="E8390" s="4">
        <v>0</v>
      </c>
      <c r="F8390" s="4" t="s">
        <v>29</v>
      </c>
    </row>
    <row r="8391" spans="1:6" x14ac:dyDescent="0.25">
      <c r="A8391" s="4" t="s">
        <v>82</v>
      </c>
      <c r="B8391" s="4" t="s">
        <v>2</v>
      </c>
      <c r="C8391" s="4" t="s">
        <v>36</v>
      </c>
      <c r="D8391" s="4">
        <v>2006</v>
      </c>
      <c r="E8391" s="4">
        <v>0</v>
      </c>
      <c r="F8391" s="4" t="s">
        <v>29</v>
      </c>
    </row>
    <row r="8392" spans="1:6" x14ac:dyDescent="0.25">
      <c r="A8392" s="4" t="s">
        <v>82</v>
      </c>
      <c r="B8392" s="4" t="s">
        <v>2</v>
      </c>
      <c r="C8392" s="4" t="s">
        <v>36</v>
      </c>
      <c r="D8392" s="4">
        <v>2007</v>
      </c>
      <c r="E8392" s="4">
        <v>0</v>
      </c>
      <c r="F8392" s="4" t="s">
        <v>29</v>
      </c>
    </row>
    <row r="8393" spans="1:6" x14ac:dyDescent="0.25">
      <c r="A8393" s="4" t="s">
        <v>82</v>
      </c>
      <c r="B8393" s="4" t="s">
        <v>2</v>
      </c>
      <c r="C8393" s="4" t="s">
        <v>36</v>
      </c>
      <c r="D8393" s="4">
        <v>2008</v>
      </c>
      <c r="E8393" s="4">
        <v>0</v>
      </c>
      <c r="F8393" s="4" t="s">
        <v>29</v>
      </c>
    </row>
    <row r="8394" spans="1:6" x14ac:dyDescent="0.25">
      <c r="A8394" s="4" t="s">
        <v>82</v>
      </c>
      <c r="B8394" s="4" t="s">
        <v>2</v>
      </c>
      <c r="C8394" s="4" t="s">
        <v>36</v>
      </c>
      <c r="D8394" s="4">
        <v>2009</v>
      </c>
      <c r="E8394" s="4">
        <v>0</v>
      </c>
      <c r="F8394" s="4" t="s">
        <v>29</v>
      </c>
    </row>
    <row r="8395" spans="1:6" x14ac:dyDescent="0.25">
      <c r="A8395" s="4" t="s">
        <v>82</v>
      </c>
      <c r="B8395" s="4" t="s">
        <v>2</v>
      </c>
      <c r="C8395" s="4" t="s">
        <v>36</v>
      </c>
      <c r="D8395" s="4">
        <v>2010</v>
      </c>
      <c r="E8395" s="4">
        <v>0</v>
      </c>
      <c r="F8395" s="4" t="s">
        <v>29</v>
      </c>
    </row>
    <row r="8396" spans="1:6" x14ac:dyDescent="0.25">
      <c r="A8396" s="4" t="s">
        <v>82</v>
      </c>
      <c r="B8396" s="4" t="s">
        <v>2</v>
      </c>
      <c r="C8396" s="4" t="s">
        <v>36</v>
      </c>
      <c r="D8396" s="4">
        <v>2011</v>
      </c>
      <c r="E8396" s="4">
        <v>0</v>
      </c>
      <c r="F8396" s="4" t="s">
        <v>29</v>
      </c>
    </row>
    <row r="8397" spans="1:6" x14ac:dyDescent="0.25">
      <c r="A8397" s="4" t="s">
        <v>82</v>
      </c>
      <c r="B8397" s="4" t="s">
        <v>2</v>
      </c>
      <c r="C8397" s="4" t="s">
        <v>36</v>
      </c>
      <c r="D8397" s="4">
        <v>2012</v>
      </c>
      <c r="E8397" s="4">
        <v>0</v>
      </c>
      <c r="F8397" s="4" t="s">
        <v>29</v>
      </c>
    </row>
    <row r="8398" spans="1:6" x14ac:dyDescent="0.25">
      <c r="A8398" s="4" t="s">
        <v>82</v>
      </c>
      <c r="B8398" s="4" t="s">
        <v>2</v>
      </c>
      <c r="C8398" s="4" t="s">
        <v>36</v>
      </c>
      <c r="D8398" s="4">
        <v>2013</v>
      </c>
      <c r="E8398" s="4">
        <v>0</v>
      </c>
      <c r="F8398" s="4" t="s">
        <v>29</v>
      </c>
    </row>
    <row r="8399" spans="1:6" x14ac:dyDescent="0.25">
      <c r="A8399" s="4" t="s">
        <v>82</v>
      </c>
      <c r="B8399" s="4" t="s">
        <v>2</v>
      </c>
      <c r="C8399" s="4" t="s">
        <v>36</v>
      </c>
      <c r="D8399" s="4">
        <v>2014</v>
      </c>
      <c r="E8399" s="4">
        <v>0</v>
      </c>
      <c r="F8399" s="4" t="s">
        <v>29</v>
      </c>
    </row>
    <row r="8400" spans="1:6" x14ac:dyDescent="0.25">
      <c r="A8400" s="4" t="s">
        <v>82</v>
      </c>
      <c r="B8400" s="4" t="s">
        <v>2</v>
      </c>
      <c r="C8400" s="4" t="s">
        <v>36</v>
      </c>
      <c r="D8400" s="4">
        <v>2015</v>
      </c>
      <c r="E8400" s="4">
        <v>0</v>
      </c>
      <c r="F8400" s="4" t="s">
        <v>29</v>
      </c>
    </row>
    <row r="8401" spans="1:6" x14ac:dyDescent="0.25">
      <c r="A8401" s="4" t="s">
        <v>82</v>
      </c>
      <c r="B8401" s="4" t="s">
        <v>2</v>
      </c>
      <c r="C8401" s="4" t="s">
        <v>36</v>
      </c>
      <c r="D8401" s="4">
        <v>2016</v>
      </c>
      <c r="E8401" s="4">
        <v>0</v>
      </c>
      <c r="F8401" s="4" t="s">
        <v>29</v>
      </c>
    </row>
    <row r="8402" spans="1:6" x14ac:dyDescent="0.25">
      <c r="A8402" s="4" t="s">
        <v>82</v>
      </c>
      <c r="B8402" s="4" t="s">
        <v>2</v>
      </c>
      <c r="C8402" s="4" t="s">
        <v>36</v>
      </c>
      <c r="D8402" s="4">
        <v>2017</v>
      </c>
      <c r="E8402" s="4">
        <v>0</v>
      </c>
      <c r="F8402" s="4" t="s">
        <v>29</v>
      </c>
    </row>
    <row r="8403" spans="1:6" x14ac:dyDescent="0.25">
      <c r="A8403" s="4" t="s">
        <v>82</v>
      </c>
      <c r="B8403" s="4" t="s">
        <v>2</v>
      </c>
      <c r="C8403" s="4" t="s">
        <v>36</v>
      </c>
      <c r="D8403" s="4">
        <v>2018</v>
      </c>
      <c r="E8403" s="4">
        <v>0</v>
      </c>
      <c r="F8403" s="4" t="s">
        <v>29</v>
      </c>
    </row>
    <row r="8404" spans="1:6" x14ac:dyDescent="0.25">
      <c r="A8404" s="4" t="s">
        <v>82</v>
      </c>
      <c r="B8404" s="4" t="s">
        <v>2</v>
      </c>
      <c r="C8404" s="4" t="s">
        <v>36</v>
      </c>
      <c r="D8404" s="4">
        <v>2019</v>
      </c>
      <c r="E8404" s="4">
        <v>0</v>
      </c>
      <c r="F8404" s="4" t="s">
        <v>29</v>
      </c>
    </row>
    <row r="8405" spans="1:6" x14ac:dyDescent="0.25">
      <c r="A8405" s="4" t="s">
        <v>82</v>
      </c>
      <c r="B8405" s="4" t="s">
        <v>2</v>
      </c>
      <c r="C8405" s="4" t="s">
        <v>36</v>
      </c>
      <c r="D8405" s="4">
        <v>2020</v>
      </c>
      <c r="E8405" s="4">
        <v>0</v>
      </c>
      <c r="F8405" s="4" t="s">
        <v>29</v>
      </c>
    </row>
    <row r="8406" spans="1:6" x14ac:dyDescent="0.25">
      <c r="A8406" s="4" t="s">
        <v>82</v>
      </c>
      <c r="B8406" s="4" t="s">
        <v>2</v>
      </c>
      <c r="C8406" s="4" t="s">
        <v>36</v>
      </c>
      <c r="D8406" s="4">
        <v>2021</v>
      </c>
      <c r="E8406" s="4">
        <v>0</v>
      </c>
      <c r="F8406" s="4" t="s">
        <v>29</v>
      </c>
    </row>
    <row r="8407" spans="1:6" x14ac:dyDescent="0.25">
      <c r="A8407" s="4" t="s">
        <v>82</v>
      </c>
      <c r="B8407" s="4" t="s">
        <v>2</v>
      </c>
      <c r="C8407" s="4" t="s">
        <v>36</v>
      </c>
      <c r="D8407" s="4">
        <v>2022</v>
      </c>
      <c r="E8407" s="4">
        <v>0</v>
      </c>
      <c r="F8407" s="4" t="s">
        <v>29</v>
      </c>
    </row>
    <row r="8408" spans="1:6" x14ac:dyDescent="0.25">
      <c r="A8408" s="4" t="s">
        <v>82</v>
      </c>
      <c r="B8408" s="4" t="s">
        <v>2</v>
      </c>
      <c r="C8408" s="4" t="s">
        <v>36</v>
      </c>
      <c r="D8408" s="4">
        <v>2023</v>
      </c>
      <c r="E8408" s="4">
        <v>0</v>
      </c>
      <c r="F8408" s="4" t="s">
        <v>29</v>
      </c>
    </row>
    <row r="8409" spans="1:6" x14ac:dyDescent="0.25">
      <c r="A8409" s="4" t="s">
        <v>82</v>
      </c>
      <c r="B8409" s="4" t="s">
        <v>2</v>
      </c>
      <c r="C8409" s="4" t="s">
        <v>36</v>
      </c>
      <c r="D8409" s="4">
        <v>2024</v>
      </c>
      <c r="E8409" s="4">
        <v>0</v>
      </c>
      <c r="F8409" s="4" t="s">
        <v>29</v>
      </c>
    </row>
    <row r="8410" spans="1:6" x14ac:dyDescent="0.25">
      <c r="A8410" s="4" t="s">
        <v>82</v>
      </c>
      <c r="B8410" s="4" t="s">
        <v>2</v>
      </c>
      <c r="C8410" s="4" t="s">
        <v>36</v>
      </c>
      <c r="D8410" s="4">
        <v>2025</v>
      </c>
      <c r="E8410" s="4">
        <v>0</v>
      </c>
      <c r="F8410" s="4" t="s">
        <v>29</v>
      </c>
    </row>
    <row r="8411" spans="1:6" x14ac:dyDescent="0.25">
      <c r="A8411" s="4" t="s">
        <v>82</v>
      </c>
      <c r="B8411" s="4" t="s">
        <v>2</v>
      </c>
      <c r="C8411" s="4" t="s">
        <v>36</v>
      </c>
      <c r="D8411" s="4">
        <v>2026</v>
      </c>
      <c r="E8411" s="4">
        <v>0</v>
      </c>
      <c r="F8411" s="4" t="s">
        <v>29</v>
      </c>
    </row>
    <row r="8412" spans="1:6" x14ac:dyDescent="0.25">
      <c r="A8412" s="4" t="s">
        <v>82</v>
      </c>
      <c r="B8412" s="4" t="s">
        <v>2</v>
      </c>
      <c r="C8412" s="4" t="s">
        <v>36</v>
      </c>
      <c r="D8412" s="4">
        <v>2027</v>
      </c>
      <c r="E8412" s="4">
        <v>0</v>
      </c>
      <c r="F8412" s="4" t="s">
        <v>29</v>
      </c>
    </row>
    <row r="8413" spans="1:6" x14ac:dyDescent="0.25">
      <c r="A8413" s="4" t="s">
        <v>82</v>
      </c>
      <c r="B8413" s="4" t="s">
        <v>2</v>
      </c>
      <c r="C8413" s="4" t="s">
        <v>36</v>
      </c>
      <c r="D8413" s="4">
        <v>2028</v>
      </c>
      <c r="E8413" s="4">
        <v>0</v>
      </c>
      <c r="F8413" s="4" t="s">
        <v>29</v>
      </c>
    </row>
    <row r="8414" spans="1:6" x14ac:dyDescent="0.25">
      <c r="A8414" s="4" t="s">
        <v>82</v>
      </c>
      <c r="B8414" s="4" t="s">
        <v>2</v>
      </c>
      <c r="C8414" s="4" t="s">
        <v>36</v>
      </c>
      <c r="D8414" s="4">
        <v>2029</v>
      </c>
      <c r="E8414" s="4">
        <v>0</v>
      </c>
      <c r="F8414" s="4" t="s">
        <v>29</v>
      </c>
    </row>
    <row r="8415" spans="1:6" x14ac:dyDescent="0.25">
      <c r="A8415" s="4" t="s">
        <v>82</v>
      </c>
      <c r="B8415" s="4" t="s">
        <v>2</v>
      </c>
      <c r="C8415" s="4" t="s">
        <v>36</v>
      </c>
      <c r="D8415" s="4">
        <v>2030</v>
      </c>
      <c r="E8415" s="4">
        <v>0</v>
      </c>
      <c r="F8415" s="4" t="s">
        <v>29</v>
      </c>
    </row>
    <row r="8416" spans="1:6" x14ac:dyDescent="0.25">
      <c r="A8416" s="4" t="s">
        <v>82</v>
      </c>
      <c r="B8416" s="4" t="s">
        <v>2</v>
      </c>
      <c r="C8416" s="4" t="s">
        <v>36</v>
      </c>
      <c r="D8416" s="4">
        <v>2031</v>
      </c>
      <c r="E8416" s="4">
        <v>0</v>
      </c>
      <c r="F8416" s="4" t="s">
        <v>29</v>
      </c>
    </row>
    <row r="8417" spans="1:6" x14ac:dyDescent="0.25">
      <c r="A8417" s="4" t="s">
        <v>82</v>
      </c>
      <c r="B8417" s="4" t="s">
        <v>2</v>
      </c>
      <c r="C8417" s="4" t="s">
        <v>36</v>
      </c>
      <c r="D8417" s="4">
        <v>2032</v>
      </c>
      <c r="E8417" s="4">
        <v>0</v>
      </c>
      <c r="F8417" s="4" t="s">
        <v>29</v>
      </c>
    </row>
    <row r="8418" spans="1:6" x14ac:dyDescent="0.25">
      <c r="A8418" s="4" t="s">
        <v>82</v>
      </c>
      <c r="B8418" s="4" t="s">
        <v>2</v>
      </c>
      <c r="C8418" s="4" t="s">
        <v>36</v>
      </c>
      <c r="D8418" s="4">
        <v>2033</v>
      </c>
      <c r="E8418" s="4">
        <v>0</v>
      </c>
      <c r="F8418" s="4" t="s">
        <v>29</v>
      </c>
    </row>
    <row r="8419" spans="1:6" x14ac:dyDescent="0.25">
      <c r="A8419" s="4" t="s">
        <v>82</v>
      </c>
      <c r="B8419" s="4" t="s">
        <v>2</v>
      </c>
      <c r="C8419" s="4" t="s">
        <v>36</v>
      </c>
      <c r="D8419" s="4">
        <v>2034</v>
      </c>
      <c r="E8419" s="4">
        <v>0</v>
      </c>
      <c r="F8419" s="4" t="s">
        <v>29</v>
      </c>
    </row>
    <row r="8420" spans="1:6" x14ac:dyDescent="0.25">
      <c r="A8420" s="4" t="s">
        <v>82</v>
      </c>
      <c r="B8420" s="4" t="s">
        <v>2</v>
      </c>
      <c r="C8420" s="4" t="s">
        <v>36</v>
      </c>
      <c r="D8420" s="4">
        <v>2035</v>
      </c>
      <c r="E8420" s="4">
        <v>0</v>
      </c>
      <c r="F8420" s="4" t="s">
        <v>29</v>
      </c>
    </row>
    <row r="8421" spans="1:6" x14ac:dyDescent="0.25">
      <c r="A8421" s="4" t="s">
        <v>82</v>
      </c>
      <c r="B8421" s="4" t="s">
        <v>2</v>
      </c>
      <c r="C8421" s="4" t="s">
        <v>36</v>
      </c>
      <c r="D8421" s="4">
        <v>2036</v>
      </c>
      <c r="E8421" s="4">
        <v>0</v>
      </c>
      <c r="F8421" s="4" t="s">
        <v>29</v>
      </c>
    </row>
    <row r="8422" spans="1:6" x14ac:dyDescent="0.25">
      <c r="A8422" s="4" t="s">
        <v>82</v>
      </c>
      <c r="B8422" s="4" t="s">
        <v>2</v>
      </c>
      <c r="C8422" s="4" t="s">
        <v>36</v>
      </c>
      <c r="D8422" s="4">
        <v>2037</v>
      </c>
      <c r="E8422" s="4">
        <v>0</v>
      </c>
      <c r="F8422" s="4" t="s">
        <v>29</v>
      </c>
    </row>
    <row r="8423" spans="1:6" x14ac:dyDescent="0.25">
      <c r="A8423" s="4" t="s">
        <v>82</v>
      </c>
      <c r="B8423" s="4" t="s">
        <v>2</v>
      </c>
      <c r="C8423" s="4" t="s">
        <v>36</v>
      </c>
      <c r="D8423" s="4">
        <v>2038</v>
      </c>
      <c r="E8423" s="4">
        <v>0</v>
      </c>
      <c r="F8423" s="4" t="s">
        <v>29</v>
      </c>
    </row>
    <row r="8424" spans="1:6" x14ac:dyDescent="0.25">
      <c r="A8424" s="4" t="s">
        <v>82</v>
      </c>
      <c r="B8424" s="4" t="s">
        <v>2</v>
      </c>
      <c r="C8424" s="4" t="s">
        <v>36</v>
      </c>
      <c r="D8424" s="4">
        <v>2039</v>
      </c>
      <c r="E8424" s="4">
        <v>0</v>
      </c>
      <c r="F8424" s="4" t="s">
        <v>29</v>
      </c>
    </row>
    <row r="8425" spans="1:6" x14ac:dyDescent="0.25">
      <c r="A8425" s="4" t="s">
        <v>82</v>
      </c>
      <c r="B8425" s="4" t="s">
        <v>2</v>
      </c>
      <c r="C8425" s="4" t="s">
        <v>36</v>
      </c>
      <c r="D8425" s="4">
        <v>2040</v>
      </c>
      <c r="E8425" s="4">
        <v>0</v>
      </c>
      <c r="F8425" s="4" t="s">
        <v>29</v>
      </c>
    </row>
    <row r="8426" spans="1:6" x14ac:dyDescent="0.25">
      <c r="A8426" s="4" t="s">
        <v>82</v>
      </c>
      <c r="B8426" s="4" t="s">
        <v>3</v>
      </c>
      <c r="C8426" s="4" t="s">
        <v>36</v>
      </c>
      <c r="D8426" s="4">
        <v>2005</v>
      </c>
      <c r="E8426" s="4">
        <v>0</v>
      </c>
      <c r="F8426" s="4" t="s">
        <v>29</v>
      </c>
    </row>
    <row r="8427" spans="1:6" x14ac:dyDescent="0.25">
      <c r="A8427" s="4" t="s">
        <v>82</v>
      </c>
      <c r="B8427" s="4" t="s">
        <v>3</v>
      </c>
      <c r="C8427" s="4" t="s">
        <v>36</v>
      </c>
      <c r="D8427" s="4">
        <v>2006</v>
      </c>
      <c r="E8427" s="4">
        <v>0</v>
      </c>
      <c r="F8427" s="4" t="s">
        <v>29</v>
      </c>
    </row>
    <row r="8428" spans="1:6" x14ac:dyDescent="0.25">
      <c r="A8428" s="4" t="s">
        <v>82</v>
      </c>
      <c r="B8428" s="4" t="s">
        <v>3</v>
      </c>
      <c r="C8428" s="4" t="s">
        <v>36</v>
      </c>
      <c r="D8428" s="4">
        <v>2007</v>
      </c>
      <c r="E8428" s="4">
        <v>0</v>
      </c>
      <c r="F8428" s="4" t="s">
        <v>29</v>
      </c>
    </row>
    <row r="8429" spans="1:6" x14ac:dyDescent="0.25">
      <c r="A8429" s="4" t="s">
        <v>82</v>
      </c>
      <c r="B8429" s="4" t="s">
        <v>3</v>
      </c>
      <c r="C8429" s="4" t="s">
        <v>36</v>
      </c>
      <c r="D8429" s="4">
        <v>2008</v>
      </c>
      <c r="E8429" s="4">
        <v>0</v>
      </c>
      <c r="F8429" s="4" t="s">
        <v>29</v>
      </c>
    </row>
    <row r="8430" spans="1:6" x14ac:dyDescent="0.25">
      <c r="A8430" s="4" t="s">
        <v>82</v>
      </c>
      <c r="B8430" s="4" t="s">
        <v>3</v>
      </c>
      <c r="C8430" s="4" t="s">
        <v>36</v>
      </c>
      <c r="D8430" s="4">
        <v>2009</v>
      </c>
      <c r="E8430" s="4">
        <v>0</v>
      </c>
      <c r="F8430" s="4" t="s">
        <v>29</v>
      </c>
    </row>
    <row r="8431" spans="1:6" x14ac:dyDescent="0.25">
      <c r="A8431" s="4" t="s">
        <v>82</v>
      </c>
      <c r="B8431" s="4" t="s">
        <v>3</v>
      </c>
      <c r="C8431" s="4" t="s">
        <v>36</v>
      </c>
      <c r="D8431" s="4">
        <v>2010</v>
      </c>
      <c r="E8431" s="4">
        <v>0</v>
      </c>
      <c r="F8431" s="4" t="s">
        <v>29</v>
      </c>
    </row>
    <row r="8432" spans="1:6" x14ac:dyDescent="0.25">
      <c r="A8432" s="4" t="s">
        <v>82</v>
      </c>
      <c r="B8432" s="4" t="s">
        <v>3</v>
      </c>
      <c r="C8432" s="4" t="s">
        <v>36</v>
      </c>
      <c r="D8432" s="4">
        <v>2011</v>
      </c>
      <c r="E8432" s="4">
        <v>0</v>
      </c>
      <c r="F8432" s="4" t="s">
        <v>29</v>
      </c>
    </row>
    <row r="8433" spans="1:6" x14ac:dyDescent="0.25">
      <c r="A8433" s="4" t="s">
        <v>82</v>
      </c>
      <c r="B8433" s="4" t="s">
        <v>3</v>
      </c>
      <c r="C8433" s="4" t="s">
        <v>36</v>
      </c>
      <c r="D8433" s="4">
        <v>2012</v>
      </c>
      <c r="E8433" s="4">
        <v>0</v>
      </c>
      <c r="F8433" s="4" t="s">
        <v>29</v>
      </c>
    </row>
    <row r="8434" spans="1:6" x14ac:dyDescent="0.25">
      <c r="A8434" s="4" t="s">
        <v>82</v>
      </c>
      <c r="B8434" s="4" t="s">
        <v>3</v>
      </c>
      <c r="C8434" s="4" t="s">
        <v>36</v>
      </c>
      <c r="D8434" s="4">
        <v>2013</v>
      </c>
      <c r="E8434" s="4">
        <v>0</v>
      </c>
      <c r="F8434" s="4" t="s">
        <v>29</v>
      </c>
    </row>
    <row r="8435" spans="1:6" x14ac:dyDescent="0.25">
      <c r="A8435" s="4" t="s">
        <v>82</v>
      </c>
      <c r="B8435" s="4" t="s">
        <v>3</v>
      </c>
      <c r="C8435" s="4" t="s">
        <v>36</v>
      </c>
      <c r="D8435" s="4">
        <v>2014</v>
      </c>
      <c r="E8435" s="4">
        <v>0</v>
      </c>
      <c r="F8435" s="4" t="s">
        <v>29</v>
      </c>
    </row>
    <row r="8436" spans="1:6" x14ac:dyDescent="0.25">
      <c r="A8436" s="4" t="s">
        <v>82</v>
      </c>
      <c r="B8436" s="4" t="s">
        <v>3</v>
      </c>
      <c r="C8436" s="4" t="s">
        <v>36</v>
      </c>
      <c r="D8436" s="4">
        <v>2015</v>
      </c>
      <c r="E8436" s="4">
        <v>0</v>
      </c>
      <c r="F8436" s="4" t="s">
        <v>29</v>
      </c>
    </row>
    <row r="8437" spans="1:6" x14ac:dyDescent="0.25">
      <c r="A8437" s="4" t="s">
        <v>82</v>
      </c>
      <c r="B8437" s="4" t="s">
        <v>3</v>
      </c>
      <c r="C8437" s="4" t="s">
        <v>36</v>
      </c>
      <c r="D8437" s="4">
        <v>2016</v>
      </c>
      <c r="E8437" s="4">
        <v>0</v>
      </c>
      <c r="F8437" s="4" t="s">
        <v>29</v>
      </c>
    </row>
    <row r="8438" spans="1:6" x14ac:dyDescent="0.25">
      <c r="A8438" s="4" t="s">
        <v>82</v>
      </c>
      <c r="B8438" s="4" t="s">
        <v>3</v>
      </c>
      <c r="C8438" s="4" t="s">
        <v>36</v>
      </c>
      <c r="D8438" s="4">
        <v>2017</v>
      </c>
      <c r="E8438" s="4">
        <v>0</v>
      </c>
      <c r="F8438" s="4" t="s">
        <v>29</v>
      </c>
    </row>
    <row r="8439" spans="1:6" x14ac:dyDescent="0.25">
      <c r="A8439" s="4" t="s">
        <v>82</v>
      </c>
      <c r="B8439" s="4" t="s">
        <v>3</v>
      </c>
      <c r="C8439" s="4" t="s">
        <v>36</v>
      </c>
      <c r="D8439" s="4">
        <v>2018</v>
      </c>
      <c r="E8439" s="4">
        <v>0</v>
      </c>
      <c r="F8439" s="4" t="s">
        <v>29</v>
      </c>
    </row>
    <row r="8440" spans="1:6" x14ac:dyDescent="0.25">
      <c r="A8440" s="4" t="s">
        <v>82</v>
      </c>
      <c r="B8440" s="4" t="s">
        <v>3</v>
      </c>
      <c r="C8440" s="4" t="s">
        <v>36</v>
      </c>
      <c r="D8440" s="4">
        <v>2019</v>
      </c>
      <c r="E8440" s="4">
        <v>0</v>
      </c>
      <c r="F8440" s="4" t="s">
        <v>29</v>
      </c>
    </row>
    <row r="8441" spans="1:6" x14ac:dyDescent="0.25">
      <c r="A8441" s="4" t="s">
        <v>82</v>
      </c>
      <c r="B8441" s="4" t="s">
        <v>3</v>
      </c>
      <c r="C8441" s="4" t="s">
        <v>36</v>
      </c>
      <c r="D8441" s="4">
        <v>2020</v>
      </c>
      <c r="E8441" s="4">
        <v>0</v>
      </c>
      <c r="F8441" s="4" t="s">
        <v>29</v>
      </c>
    </row>
    <row r="8442" spans="1:6" x14ac:dyDescent="0.25">
      <c r="A8442" s="4" t="s">
        <v>82</v>
      </c>
      <c r="B8442" s="4" t="s">
        <v>3</v>
      </c>
      <c r="C8442" s="4" t="s">
        <v>36</v>
      </c>
      <c r="D8442" s="4">
        <v>2021</v>
      </c>
      <c r="E8442" s="4">
        <v>0</v>
      </c>
      <c r="F8442" s="4" t="s">
        <v>29</v>
      </c>
    </row>
    <row r="8443" spans="1:6" x14ac:dyDescent="0.25">
      <c r="A8443" s="4" t="s">
        <v>82</v>
      </c>
      <c r="B8443" s="4" t="s">
        <v>3</v>
      </c>
      <c r="C8443" s="4" t="s">
        <v>36</v>
      </c>
      <c r="D8443" s="4">
        <v>2022</v>
      </c>
      <c r="E8443" s="4">
        <v>0</v>
      </c>
      <c r="F8443" s="4" t="s">
        <v>29</v>
      </c>
    </row>
    <row r="8444" spans="1:6" x14ac:dyDescent="0.25">
      <c r="A8444" s="4" t="s">
        <v>82</v>
      </c>
      <c r="B8444" s="4" t="s">
        <v>3</v>
      </c>
      <c r="C8444" s="4" t="s">
        <v>36</v>
      </c>
      <c r="D8444" s="4">
        <v>2023</v>
      </c>
      <c r="E8444" s="4">
        <v>0</v>
      </c>
      <c r="F8444" s="4" t="s">
        <v>29</v>
      </c>
    </row>
    <row r="8445" spans="1:6" x14ac:dyDescent="0.25">
      <c r="A8445" s="4" t="s">
        <v>82</v>
      </c>
      <c r="B8445" s="4" t="s">
        <v>3</v>
      </c>
      <c r="C8445" s="4" t="s">
        <v>36</v>
      </c>
      <c r="D8445" s="4">
        <v>2024</v>
      </c>
      <c r="E8445" s="4">
        <v>0</v>
      </c>
      <c r="F8445" s="4" t="s">
        <v>29</v>
      </c>
    </row>
    <row r="8446" spans="1:6" x14ac:dyDescent="0.25">
      <c r="A8446" s="4" t="s">
        <v>82</v>
      </c>
      <c r="B8446" s="4" t="s">
        <v>3</v>
      </c>
      <c r="C8446" s="4" t="s">
        <v>36</v>
      </c>
      <c r="D8446" s="4">
        <v>2025</v>
      </c>
      <c r="E8446" s="4">
        <v>0</v>
      </c>
      <c r="F8446" s="4" t="s">
        <v>29</v>
      </c>
    </row>
    <row r="8447" spans="1:6" x14ac:dyDescent="0.25">
      <c r="A8447" s="4" t="s">
        <v>82</v>
      </c>
      <c r="B8447" s="4" t="s">
        <v>3</v>
      </c>
      <c r="C8447" s="4" t="s">
        <v>36</v>
      </c>
      <c r="D8447" s="4">
        <v>2026</v>
      </c>
      <c r="E8447" s="4">
        <v>0</v>
      </c>
      <c r="F8447" s="4" t="s">
        <v>29</v>
      </c>
    </row>
    <row r="8448" spans="1:6" x14ac:dyDescent="0.25">
      <c r="A8448" s="4" t="s">
        <v>82</v>
      </c>
      <c r="B8448" s="4" t="s">
        <v>3</v>
      </c>
      <c r="C8448" s="4" t="s">
        <v>36</v>
      </c>
      <c r="D8448" s="4">
        <v>2027</v>
      </c>
      <c r="E8448" s="4">
        <v>0</v>
      </c>
      <c r="F8448" s="4" t="s">
        <v>29</v>
      </c>
    </row>
    <row r="8449" spans="1:6" x14ac:dyDescent="0.25">
      <c r="A8449" s="4" t="s">
        <v>82</v>
      </c>
      <c r="B8449" s="4" t="s">
        <v>3</v>
      </c>
      <c r="C8449" s="4" t="s">
        <v>36</v>
      </c>
      <c r="D8449" s="4">
        <v>2028</v>
      </c>
      <c r="E8449" s="4">
        <v>0</v>
      </c>
      <c r="F8449" s="4" t="s">
        <v>29</v>
      </c>
    </row>
    <row r="8450" spans="1:6" x14ac:dyDescent="0.25">
      <c r="A8450" s="4" t="s">
        <v>82</v>
      </c>
      <c r="B8450" s="4" t="s">
        <v>3</v>
      </c>
      <c r="C8450" s="4" t="s">
        <v>36</v>
      </c>
      <c r="D8450" s="4">
        <v>2029</v>
      </c>
      <c r="E8450" s="4">
        <v>0</v>
      </c>
      <c r="F8450" s="4" t="s">
        <v>29</v>
      </c>
    </row>
    <row r="8451" spans="1:6" x14ac:dyDescent="0.25">
      <c r="A8451" s="4" t="s">
        <v>82</v>
      </c>
      <c r="B8451" s="4" t="s">
        <v>3</v>
      </c>
      <c r="C8451" s="4" t="s">
        <v>36</v>
      </c>
      <c r="D8451" s="4">
        <v>2030</v>
      </c>
      <c r="E8451" s="4">
        <v>0</v>
      </c>
      <c r="F8451" s="4" t="s">
        <v>29</v>
      </c>
    </row>
    <row r="8452" spans="1:6" x14ac:dyDescent="0.25">
      <c r="A8452" s="4" t="s">
        <v>82</v>
      </c>
      <c r="B8452" s="4" t="s">
        <v>3</v>
      </c>
      <c r="C8452" s="4" t="s">
        <v>36</v>
      </c>
      <c r="D8452" s="4">
        <v>2031</v>
      </c>
      <c r="E8452" s="4">
        <v>0</v>
      </c>
      <c r="F8452" s="4" t="s">
        <v>29</v>
      </c>
    </row>
    <row r="8453" spans="1:6" x14ac:dyDescent="0.25">
      <c r="A8453" s="4" t="s">
        <v>82</v>
      </c>
      <c r="B8453" s="4" t="s">
        <v>3</v>
      </c>
      <c r="C8453" s="4" t="s">
        <v>36</v>
      </c>
      <c r="D8453" s="4">
        <v>2032</v>
      </c>
      <c r="E8453" s="4">
        <v>0</v>
      </c>
      <c r="F8453" s="4" t="s">
        <v>29</v>
      </c>
    </row>
    <row r="8454" spans="1:6" x14ac:dyDescent="0.25">
      <c r="A8454" s="4" t="s">
        <v>82</v>
      </c>
      <c r="B8454" s="4" t="s">
        <v>3</v>
      </c>
      <c r="C8454" s="4" t="s">
        <v>36</v>
      </c>
      <c r="D8454" s="4">
        <v>2033</v>
      </c>
      <c r="E8454" s="4">
        <v>0</v>
      </c>
      <c r="F8454" s="4" t="s">
        <v>29</v>
      </c>
    </row>
    <row r="8455" spans="1:6" x14ac:dyDescent="0.25">
      <c r="A8455" s="4" t="s">
        <v>82</v>
      </c>
      <c r="B8455" s="4" t="s">
        <v>3</v>
      </c>
      <c r="C8455" s="4" t="s">
        <v>36</v>
      </c>
      <c r="D8455" s="4">
        <v>2034</v>
      </c>
      <c r="E8455" s="4">
        <v>0</v>
      </c>
      <c r="F8455" s="4" t="s">
        <v>29</v>
      </c>
    </row>
    <row r="8456" spans="1:6" x14ac:dyDescent="0.25">
      <c r="A8456" s="4" t="s">
        <v>82</v>
      </c>
      <c r="B8456" s="4" t="s">
        <v>3</v>
      </c>
      <c r="C8456" s="4" t="s">
        <v>36</v>
      </c>
      <c r="D8456" s="4">
        <v>2035</v>
      </c>
      <c r="E8456" s="4">
        <v>0</v>
      </c>
      <c r="F8456" s="4" t="s">
        <v>29</v>
      </c>
    </row>
    <row r="8457" spans="1:6" x14ac:dyDescent="0.25">
      <c r="A8457" s="4" t="s">
        <v>82</v>
      </c>
      <c r="B8457" s="4" t="s">
        <v>3</v>
      </c>
      <c r="C8457" s="4" t="s">
        <v>36</v>
      </c>
      <c r="D8457" s="4">
        <v>2036</v>
      </c>
      <c r="E8457" s="4">
        <v>0</v>
      </c>
      <c r="F8457" s="4" t="s">
        <v>29</v>
      </c>
    </row>
    <row r="8458" spans="1:6" x14ac:dyDescent="0.25">
      <c r="A8458" s="4" t="s">
        <v>82</v>
      </c>
      <c r="B8458" s="4" t="s">
        <v>3</v>
      </c>
      <c r="C8458" s="4" t="s">
        <v>36</v>
      </c>
      <c r="D8458" s="4">
        <v>2037</v>
      </c>
      <c r="E8458" s="4">
        <v>0</v>
      </c>
      <c r="F8458" s="4" t="s">
        <v>29</v>
      </c>
    </row>
    <row r="8459" spans="1:6" x14ac:dyDescent="0.25">
      <c r="A8459" s="4" t="s">
        <v>82</v>
      </c>
      <c r="B8459" s="4" t="s">
        <v>3</v>
      </c>
      <c r="C8459" s="4" t="s">
        <v>36</v>
      </c>
      <c r="D8459" s="4">
        <v>2038</v>
      </c>
      <c r="E8459" s="4">
        <v>0</v>
      </c>
      <c r="F8459" s="4" t="s">
        <v>29</v>
      </c>
    </row>
    <row r="8460" spans="1:6" x14ac:dyDescent="0.25">
      <c r="A8460" s="4" t="s">
        <v>82</v>
      </c>
      <c r="B8460" s="4" t="s">
        <v>3</v>
      </c>
      <c r="C8460" s="4" t="s">
        <v>36</v>
      </c>
      <c r="D8460" s="4">
        <v>2039</v>
      </c>
      <c r="E8460" s="4">
        <v>0</v>
      </c>
      <c r="F8460" s="4" t="s">
        <v>29</v>
      </c>
    </row>
    <row r="8461" spans="1:6" x14ac:dyDescent="0.25">
      <c r="A8461" s="4" t="s">
        <v>82</v>
      </c>
      <c r="B8461" s="4" t="s">
        <v>3</v>
      </c>
      <c r="C8461" s="4" t="s">
        <v>36</v>
      </c>
      <c r="D8461" s="4">
        <v>2040</v>
      </c>
      <c r="E8461" s="4">
        <v>0</v>
      </c>
      <c r="F8461" s="4" t="s">
        <v>29</v>
      </c>
    </row>
    <row r="8462" spans="1:6" x14ac:dyDescent="0.25">
      <c r="A8462" s="4" t="s">
        <v>82</v>
      </c>
      <c r="B8462" s="4" t="s">
        <v>4</v>
      </c>
      <c r="C8462" s="4" t="s">
        <v>36</v>
      </c>
      <c r="D8462" s="4">
        <v>2005</v>
      </c>
      <c r="E8462" s="4">
        <v>0</v>
      </c>
      <c r="F8462" s="4" t="s">
        <v>29</v>
      </c>
    </row>
    <row r="8463" spans="1:6" x14ac:dyDescent="0.25">
      <c r="A8463" s="4" t="s">
        <v>82</v>
      </c>
      <c r="B8463" s="4" t="s">
        <v>4</v>
      </c>
      <c r="C8463" s="4" t="s">
        <v>36</v>
      </c>
      <c r="D8463" s="4">
        <v>2006</v>
      </c>
      <c r="E8463" s="4">
        <v>0</v>
      </c>
      <c r="F8463" s="4" t="s">
        <v>29</v>
      </c>
    </row>
    <row r="8464" spans="1:6" x14ac:dyDescent="0.25">
      <c r="A8464" s="4" t="s">
        <v>82</v>
      </c>
      <c r="B8464" s="4" t="s">
        <v>4</v>
      </c>
      <c r="C8464" s="4" t="s">
        <v>36</v>
      </c>
      <c r="D8464" s="4">
        <v>2007</v>
      </c>
      <c r="E8464" s="4">
        <v>0</v>
      </c>
      <c r="F8464" s="4" t="s">
        <v>29</v>
      </c>
    </row>
    <row r="8465" spans="1:6" x14ac:dyDescent="0.25">
      <c r="A8465" s="4" t="s">
        <v>82</v>
      </c>
      <c r="B8465" s="4" t="s">
        <v>4</v>
      </c>
      <c r="C8465" s="4" t="s">
        <v>36</v>
      </c>
      <c r="D8465" s="4">
        <v>2008</v>
      </c>
      <c r="E8465" s="4">
        <v>0</v>
      </c>
      <c r="F8465" s="4" t="s">
        <v>29</v>
      </c>
    </row>
    <row r="8466" spans="1:6" x14ac:dyDescent="0.25">
      <c r="A8466" s="4" t="s">
        <v>82</v>
      </c>
      <c r="B8466" s="4" t="s">
        <v>4</v>
      </c>
      <c r="C8466" s="4" t="s">
        <v>36</v>
      </c>
      <c r="D8466" s="4">
        <v>2009</v>
      </c>
      <c r="E8466" s="4">
        <v>0</v>
      </c>
      <c r="F8466" s="4" t="s">
        <v>29</v>
      </c>
    </row>
    <row r="8467" spans="1:6" x14ac:dyDescent="0.25">
      <c r="A8467" s="4" t="s">
        <v>82</v>
      </c>
      <c r="B8467" s="4" t="s">
        <v>4</v>
      </c>
      <c r="C8467" s="4" t="s">
        <v>36</v>
      </c>
      <c r="D8467" s="4">
        <v>2010</v>
      </c>
      <c r="E8467" s="4">
        <v>0</v>
      </c>
      <c r="F8467" s="4" t="s">
        <v>29</v>
      </c>
    </row>
    <row r="8468" spans="1:6" x14ac:dyDescent="0.25">
      <c r="A8468" s="4" t="s">
        <v>82</v>
      </c>
      <c r="B8468" s="4" t="s">
        <v>4</v>
      </c>
      <c r="C8468" s="4" t="s">
        <v>36</v>
      </c>
      <c r="D8468" s="4">
        <v>2011</v>
      </c>
      <c r="E8468" s="4">
        <v>0</v>
      </c>
      <c r="F8468" s="4" t="s">
        <v>29</v>
      </c>
    </row>
    <row r="8469" spans="1:6" x14ac:dyDescent="0.25">
      <c r="A8469" s="4" t="s">
        <v>82</v>
      </c>
      <c r="B8469" s="4" t="s">
        <v>4</v>
      </c>
      <c r="C8469" s="4" t="s">
        <v>36</v>
      </c>
      <c r="D8469" s="4">
        <v>2012</v>
      </c>
      <c r="E8469" s="4">
        <v>0</v>
      </c>
      <c r="F8469" s="4" t="s">
        <v>29</v>
      </c>
    </row>
    <row r="8470" spans="1:6" x14ac:dyDescent="0.25">
      <c r="A8470" s="4" t="s">
        <v>82</v>
      </c>
      <c r="B8470" s="4" t="s">
        <v>4</v>
      </c>
      <c r="C8470" s="4" t="s">
        <v>36</v>
      </c>
      <c r="D8470" s="4">
        <v>2013</v>
      </c>
      <c r="E8470" s="4">
        <v>0</v>
      </c>
      <c r="F8470" s="4" t="s">
        <v>29</v>
      </c>
    </row>
    <row r="8471" spans="1:6" x14ac:dyDescent="0.25">
      <c r="A8471" s="4" t="s">
        <v>82</v>
      </c>
      <c r="B8471" s="4" t="s">
        <v>4</v>
      </c>
      <c r="C8471" s="4" t="s">
        <v>36</v>
      </c>
      <c r="D8471" s="4">
        <v>2014</v>
      </c>
      <c r="E8471" s="4">
        <v>0</v>
      </c>
      <c r="F8471" s="4" t="s">
        <v>29</v>
      </c>
    </row>
    <row r="8472" spans="1:6" x14ac:dyDescent="0.25">
      <c r="A8472" s="4" t="s">
        <v>82</v>
      </c>
      <c r="B8472" s="4" t="s">
        <v>4</v>
      </c>
      <c r="C8472" s="4" t="s">
        <v>36</v>
      </c>
      <c r="D8472" s="4">
        <v>2015</v>
      </c>
      <c r="E8472" s="4">
        <v>0</v>
      </c>
      <c r="F8472" s="4" t="s">
        <v>29</v>
      </c>
    </row>
    <row r="8473" spans="1:6" x14ac:dyDescent="0.25">
      <c r="A8473" s="4" t="s">
        <v>82</v>
      </c>
      <c r="B8473" s="4" t="s">
        <v>4</v>
      </c>
      <c r="C8473" s="4" t="s">
        <v>36</v>
      </c>
      <c r="D8473" s="4">
        <v>2016</v>
      </c>
      <c r="E8473" s="4">
        <v>0</v>
      </c>
      <c r="F8473" s="4" t="s">
        <v>29</v>
      </c>
    </row>
    <row r="8474" spans="1:6" x14ac:dyDescent="0.25">
      <c r="A8474" s="4" t="s">
        <v>82</v>
      </c>
      <c r="B8474" s="4" t="s">
        <v>4</v>
      </c>
      <c r="C8474" s="4" t="s">
        <v>36</v>
      </c>
      <c r="D8474" s="4">
        <v>2017</v>
      </c>
      <c r="E8474" s="4">
        <v>0</v>
      </c>
      <c r="F8474" s="4" t="s">
        <v>29</v>
      </c>
    </row>
    <row r="8475" spans="1:6" x14ac:dyDescent="0.25">
      <c r="A8475" s="4" t="s">
        <v>82</v>
      </c>
      <c r="B8475" s="4" t="s">
        <v>4</v>
      </c>
      <c r="C8475" s="4" t="s">
        <v>36</v>
      </c>
      <c r="D8475" s="4">
        <v>2018</v>
      </c>
      <c r="E8475" s="4">
        <v>0</v>
      </c>
      <c r="F8475" s="4" t="s">
        <v>29</v>
      </c>
    </row>
    <row r="8476" spans="1:6" x14ac:dyDescent="0.25">
      <c r="A8476" s="4" t="s">
        <v>82</v>
      </c>
      <c r="B8476" s="4" t="s">
        <v>4</v>
      </c>
      <c r="C8476" s="4" t="s">
        <v>36</v>
      </c>
      <c r="D8476" s="4">
        <v>2019</v>
      </c>
      <c r="E8476" s="4">
        <v>0</v>
      </c>
      <c r="F8476" s="4" t="s">
        <v>29</v>
      </c>
    </row>
    <row r="8477" spans="1:6" x14ac:dyDescent="0.25">
      <c r="A8477" s="4" t="s">
        <v>82</v>
      </c>
      <c r="B8477" s="4" t="s">
        <v>4</v>
      </c>
      <c r="C8477" s="4" t="s">
        <v>36</v>
      </c>
      <c r="D8477" s="4">
        <v>2020</v>
      </c>
      <c r="E8477" s="4">
        <v>0</v>
      </c>
      <c r="F8477" s="4" t="s">
        <v>29</v>
      </c>
    </row>
    <row r="8478" spans="1:6" x14ac:dyDescent="0.25">
      <c r="A8478" s="4" t="s">
        <v>82</v>
      </c>
      <c r="B8478" s="4" t="s">
        <v>4</v>
      </c>
      <c r="C8478" s="4" t="s">
        <v>36</v>
      </c>
      <c r="D8478" s="4">
        <v>2021</v>
      </c>
      <c r="E8478" s="4">
        <v>0</v>
      </c>
      <c r="F8478" s="4" t="s">
        <v>29</v>
      </c>
    </row>
    <row r="8479" spans="1:6" x14ac:dyDescent="0.25">
      <c r="A8479" s="4" t="s">
        <v>82</v>
      </c>
      <c r="B8479" s="4" t="s">
        <v>4</v>
      </c>
      <c r="C8479" s="4" t="s">
        <v>36</v>
      </c>
      <c r="D8479" s="4">
        <v>2022</v>
      </c>
      <c r="E8479" s="4">
        <v>0</v>
      </c>
      <c r="F8479" s="4" t="s">
        <v>29</v>
      </c>
    </row>
    <row r="8480" spans="1:6" x14ac:dyDescent="0.25">
      <c r="A8480" s="4" t="s">
        <v>82</v>
      </c>
      <c r="B8480" s="4" t="s">
        <v>4</v>
      </c>
      <c r="C8480" s="4" t="s">
        <v>36</v>
      </c>
      <c r="D8480" s="4">
        <v>2023</v>
      </c>
      <c r="E8480" s="4">
        <v>0</v>
      </c>
      <c r="F8480" s="4" t="s">
        <v>29</v>
      </c>
    </row>
    <row r="8481" spans="1:6" x14ac:dyDescent="0.25">
      <c r="A8481" s="4" t="s">
        <v>82</v>
      </c>
      <c r="B8481" s="4" t="s">
        <v>4</v>
      </c>
      <c r="C8481" s="4" t="s">
        <v>36</v>
      </c>
      <c r="D8481" s="4">
        <v>2024</v>
      </c>
      <c r="E8481" s="4">
        <v>0</v>
      </c>
      <c r="F8481" s="4" t="s">
        <v>29</v>
      </c>
    </row>
    <row r="8482" spans="1:6" x14ac:dyDescent="0.25">
      <c r="A8482" s="4" t="s">
        <v>82</v>
      </c>
      <c r="B8482" s="4" t="s">
        <v>4</v>
      </c>
      <c r="C8482" s="4" t="s">
        <v>36</v>
      </c>
      <c r="D8482" s="4">
        <v>2025</v>
      </c>
      <c r="E8482" s="4">
        <v>0</v>
      </c>
      <c r="F8482" s="4" t="s">
        <v>29</v>
      </c>
    </row>
    <row r="8483" spans="1:6" x14ac:dyDescent="0.25">
      <c r="A8483" s="4" t="s">
        <v>82</v>
      </c>
      <c r="B8483" s="4" t="s">
        <v>4</v>
      </c>
      <c r="C8483" s="4" t="s">
        <v>36</v>
      </c>
      <c r="D8483" s="4">
        <v>2026</v>
      </c>
      <c r="E8483" s="4">
        <v>0</v>
      </c>
      <c r="F8483" s="4" t="s">
        <v>29</v>
      </c>
    </row>
    <row r="8484" spans="1:6" x14ac:dyDescent="0.25">
      <c r="A8484" s="4" t="s">
        <v>82</v>
      </c>
      <c r="B8484" s="4" t="s">
        <v>4</v>
      </c>
      <c r="C8484" s="4" t="s">
        <v>36</v>
      </c>
      <c r="D8484" s="4">
        <v>2027</v>
      </c>
      <c r="E8484" s="4">
        <v>0</v>
      </c>
      <c r="F8484" s="4" t="s">
        <v>29</v>
      </c>
    </row>
    <row r="8485" spans="1:6" x14ac:dyDescent="0.25">
      <c r="A8485" s="4" t="s">
        <v>82</v>
      </c>
      <c r="B8485" s="4" t="s">
        <v>4</v>
      </c>
      <c r="C8485" s="4" t="s">
        <v>36</v>
      </c>
      <c r="D8485" s="4">
        <v>2028</v>
      </c>
      <c r="E8485" s="4">
        <v>0</v>
      </c>
      <c r="F8485" s="4" t="s">
        <v>29</v>
      </c>
    </row>
    <row r="8486" spans="1:6" x14ac:dyDescent="0.25">
      <c r="A8486" s="4" t="s">
        <v>82</v>
      </c>
      <c r="B8486" s="4" t="s">
        <v>4</v>
      </c>
      <c r="C8486" s="4" t="s">
        <v>36</v>
      </c>
      <c r="D8486" s="4">
        <v>2029</v>
      </c>
      <c r="E8486" s="4">
        <v>0</v>
      </c>
      <c r="F8486" s="4" t="s">
        <v>29</v>
      </c>
    </row>
    <row r="8487" spans="1:6" x14ac:dyDescent="0.25">
      <c r="A8487" s="4" t="s">
        <v>82</v>
      </c>
      <c r="B8487" s="4" t="s">
        <v>4</v>
      </c>
      <c r="C8487" s="4" t="s">
        <v>36</v>
      </c>
      <c r="D8487" s="4">
        <v>2030</v>
      </c>
      <c r="E8487" s="4">
        <v>0</v>
      </c>
      <c r="F8487" s="4" t="s">
        <v>29</v>
      </c>
    </row>
    <row r="8488" spans="1:6" x14ac:dyDescent="0.25">
      <c r="A8488" s="4" t="s">
        <v>82</v>
      </c>
      <c r="B8488" s="4" t="s">
        <v>4</v>
      </c>
      <c r="C8488" s="4" t="s">
        <v>36</v>
      </c>
      <c r="D8488" s="4">
        <v>2031</v>
      </c>
      <c r="E8488" s="4">
        <v>0</v>
      </c>
      <c r="F8488" s="4" t="s">
        <v>29</v>
      </c>
    </row>
    <row r="8489" spans="1:6" x14ac:dyDescent="0.25">
      <c r="A8489" s="4" t="s">
        <v>82</v>
      </c>
      <c r="B8489" s="4" t="s">
        <v>4</v>
      </c>
      <c r="C8489" s="4" t="s">
        <v>36</v>
      </c>
      <c r="D8489" s="4">
        <v>2032</v>
      </c>
      <c r="E8489" s="4">
        <v>0</v>
      </c>
      <c r="F8489" s="4" t="s">
        <v>29</v>
      </c>
    </row>
    <row r="8490" spans="1:6" x14ac:dyDescent="0.25">
      <c r="A8490" s="4" t="s">
        <v>82</v>
      </c>
      <c r="B8490" s="4" t="s">
        <v>4</v>
      </c>
      <c r="C8490" s="4" t="s">
        <v>36</v>
      </c>
      <c r="D8490" s="4">
        <v>2033</v>
      </c>
      <c r="E8490" s="4">
        <v>0</v>
      </c>
      <c r="F8490" s="4" t="s">
        <v>29</v>
      </c>
    </row>
    <row r="8491" spans="1:6" x14ac:dyDescent="0.25">
      <c r="A8491" s="4" t="s">
        <v>82</v>
      </c>
      <c r="B8491" s="4" t="s">
        <v>4</v>
      </c>
      <c r="C8491" s="4" t="s">
        <v>36</v>
      </c>
      <c r="D8491" s="4">
        <v>2034</v>
      </c>
      <c r="E8491" s="4">
        <v>0</v>
      </c>
      <c r="F8491" s="4" t="s">
        <v>29</v>
      </c>
    </row>
    <row r="8492" spans="1:6" x14ac:dyDescent="0.25">
      <c r="A8492" s="4" t="s">
        <v>82</v>
      </c>
      <c r="B8492" s="4" t="s">
        <v>4</v>
      </c>
      <c r="C8492" s="4" t="s">
        <v>36</v>
      </c>
      <c r="D8492" s="4">
        <v>2035</v>
      </c>
      <c r="E8492" s="4">
        <v>0</v>
      </c>
      <c r="F8492" s="4" t="s">
        <v>29</v>
      </c>
    </row>
    <row r="8493" spans="1:6" x14ac:dyDescent="0.25">
      <c r="A8493" s="4" t="s">
        <v>82</v>
      </c>
      <c r="B8493" s="4" t="s">
        <v>4</v>
      </c>
      <c r="C8493" s="4" t="s">
        <v>36</v>
      </c>
      <c r="D8493" s="4">
        <v>2036</v>
      </c>
      <c r="E8493" s="4">
        <v>0</v>
      </c>
      <c r="F8493" s="4" t="s">
        <v>29</v>
      </c>
    </row>
    <row r="8494" spans="1:6" x14ac:dyDescent="0.25">
      <c r="A8494" s="4" t="s">
        <v>82</v>
      </c>
      <c r="B8494" s="4" t="s">
        <v>4</v>
      </c>
      <c r="C8494" s="4" t="s">
        <v>36</v>
      </c>
      <c r="D8494" s="4">
        <v>2037</v>
      </c>
      <c r="E8494" s="4">
        <v>0</v>
      </c>
      <c r="F8494" s="4" t="s">
        <v>29</v>
      </c>
    </row>
    <row r="8495" spans="1:6" x14ac:dyDescent="0.25">
      <c r="A8495" s="4" t="s">
        <v>82</v>
      </c>
      <c r="B8495" s="4" t="s">
        <v>4</v>
      </c>
      <c r="C8495" s="4" t="s">
        <v>36</v>
      </c>
      <c r="D8495" s="4">
        <v>2038</v>
      </c>
      <c r="E8495" s="4">
        <v>0</v>
      </c>
      <c r="F8495" s="4" t="s">
        <v>29</v>
      </c>
    </row>
    <row r="8496" spans="1:6" x14ac:dyDescent="0.25">
      <c r="A8496" s="4" t="s">
        <v>82</v>
      </c>
      <c r="B8496" s="4" t="s">
        <v>4</v>
      </c>
      <c r="C8496" s="4" t="s">
        <v>36</v>
      </c>
      <c r="D8496" s="4">
        <v>2039</v>
      </c>
      <c r="E8496" s="4">
        <v>0</v>
      </c>
      <c r="F8496" s="4" t="s">
        <v>29</v>
      </c>
    </row>
    <row r="8497" spans="1:6" x14ac:dyDescent="0.25">
      <c r="A8497" s="4" t="s">
        <v>82</v>
      </c>
      <c r="B8497" s="4" t="s">
        <v>4</v>
      </c>
      <c r="C8497" s="4" t="s">
        <v>36</v>
      </c>
      <c r="D8497" s="4">
        <v>2040</v>
      </c>
      <c r="E8497" s="4">
        <v>0</v>
      </c>
      <c r="F8497" s="4" t="s">
        <v>29</v>
      </c>
    </row>
    <row r="8498" spans="1:6" x14ac:dyDescent="0.25">
      <c r="A8498" s="4" t="s">
        <v>82</v>
      </c>
      <c r="B8498" s="4" t="s">
        <v>5</v>
      </c>
      <c r="C8498" s="4" t="s">
        <v>36</v>
      </c>
      <c r="D8498" s="4">
        <v>2005</v>
      </c>
      <c r="E8498" s="4">
        <v>0</v>
      </c>
      <c r="F8498" s="4" t="s">
        <v>29</v>
      </c>
    </row>
    <row r="8499" spans="1:6" x14ac:dyDescent="0.25">
      <c r="A8499" s="4" t="s">
        <v>82</v>
      </c>
      <c r="B8499" s="4" t="s">
        <v>5</v>
      </c>
      <c r="C8499" s="4" t="s">
        <v>36</v>
      </c>
      <c r="D8499" s="4">
        <v>2006</v>
      </c>
      <c r="E8499" s="4">
        <v>0</v>
      </c>
      <c r="F8499" s="4" t="s">
        <v>29</v>
      </c>
    </row>
    <row r="8500" spans="1:6" x14ac:dyDescent="0.25">
      <c r="A8500" s="4" t="s">
        <v>82</v>
      </c>
      <c r="B8500" s="4" t="s">
        <v>5</v>
      </c>
      <c r="C8500" s="4" t="s">
        <v>36</v>
      </c>
      <c r="D8500" s="4">
        <v>2007</v>
      </c>
      <c r="E8500" s="4">
        <v>0</v>
      </c>
      <c r="F8500" s="4" t="s">
        <v>29</v>
      </c>
    </row>
    <row r="8501" spans="1:6" x14ac:dyDescent="0.25">
      <c r="A8501" s="4" t="s">
        <v>82</v>
      </c>
      <c r="B8501" s="4" t="s">
        <v>5</v>
      </c>
      <c r="C8501" s="4" t="s">
        <v>36</v>
      </c>
      <c r="D8501" s="4">
        <v>2008</v>
      </c>
      <c r="E8501" s="4">
        <v>0</v>
      </c>
      <c r="F8501" s="4" t="s">
        <v>29</v>
      </c>
    </row>
    <row r="8502" spans="1:6" x14ac:dyDescent="0.25">
      <c r="A8502" s="4" t="s">
        <v>82</v>
      </c>
      <c r="B8502" s="4" t="s">
        <v>5</v>
      </c>
      <c r="C8502" s="4" t="s">
        <v>36</v>
      </c>
      <c r="D8502" s="4">
        <v>2009</v>
      </c>
      <c r="E8502" s="4">
        <v>0</v>
      </c>
      <c r="F8502" s="4" t="s">
        <v>29</v>
      </c>
    </row>
    <row r="8503" spans="1:6" x14ac:dyDescent="0.25">
      <c r="A8503" s="4" t="s">
        <v>82</v>
      </c>
      <c r="B8503" s="4" t="s">
        <v>5</v>
      </c>
      <c r="C8503" s="4" t="s">
        <v>36</v>
      </c>
      <c r="D8503" s="4">
        <v>2010</v>
      </c>
      <c r="E8503" s="4">
        <v>0</v>
      </c>
      <c r="F8503" s="4" t="s">
        <v>29</v>
      </c>
    </row>
    <row r="8504" spans="1:6" x14ac:dyDescent="0.25">
      <c r="A8504" s="4" t="s">
        <v>82</v>
      </c>
      <c r="B8504" s="4" t="s">
        <v>5</v>
      </c>
      <c r="C8504" s="4" t="s">
        <v>36</v>
      </c>
      <c r="D8504" s="4">
        <v>2011</v>
      </c>
      <c r="E8504" s="4">
        <v>0</v>
      </c>
      <c r="F8504" s="4" t="s">
        <v>29</v>
      </c>
    </row>
    <row r="8505" spans="1:6" x14ac:dyDescent="0.25">
      <c r="A8505" s="4" t="s">
        <v>82</v>
      </c>
      <c r="B8505" s="4" t="s">
        <v>5</v>
      </c>
      <c r="C8505" s="4" t="s">
        <v>36</v>
      </c>
      <c r="D8505" s="4">
        <v>2012</v>
      </c>
      <c r="E8505" s="4">
        <v>0</v>
      </c>
      <c r="F8505" s="4" t="s">
        <v>29</v>
      </c>
    </row>
    <row r="8506" spans="1:6" x14ac:dyDescent="0.25">
      <c r="A8506" s="4" t="s">
        <v>82</v>
      </c>
      <c r="B8506" s="4" t="s">
        <v>5</v>
      </c>
      <c r="C8506" s="4" t="s">
        <v>36</v>
      </c>
      <c r="D8506" s="4">
        <v>2013</v>
      </c>
      <c r="E8506" s="4">
        <v>0</v>
      </c>
      <c r="F8506" s="4" t="s">
        <v>29</v>
      </c>
    </row>
    <row r="8507" spans="1:6" x14ac:dyDescent="0.25">
      <c r="A8507" s="4" t="s">
        <v>82</v>
      </c>
      <c r="B8507" s="4" t="s">
        <v>5</v>
      </c>
      <c r="C8507" s="4" t="s">
        <v>36</v>
      </c>
      <c r="D8507" s="4">
        <v>2014</v>
      </c>
      <c r="E8507" s="4">
        <v>0</v>
      </c>
      <c r="F8507" s="4" t="s">
        <v>29</v>
      </c>
    </row>
    <row r="8508" spans="1:6" x14ac:dyDescent="0.25">
      <c r="A8508" s="4" t="s">
        <v>82</v>
      </c>
      <c r="B8508" s="4" t="s">
        <v>5</v>
      </c>
      <c r="C8508" s="4" t="s">
        <v>36</v>
      </c>
      <c r="D8508" s="4">
        <v>2015</v>
      </c>
      <c r="E8508" s="4">
        <v>0</v>
      </c>
      <c r="F8508" s="4" t="s">
        <v>29</v>
      </c>
    </row>
    <row r="8509" spans="1:6" x14ac:dyDescent="0.25">
      <c r="A8509" s="4" t="s">
        <v>82</v>
      </c>
      <c r="B8509" s="4" t="s">
        <v>5</v>
      </c>
      <c r="C8509" s="4" t="s">
        <v>36</v>
      </c>
      <c r="D8509" s="4">
        <v>2016</v>
      </c>
      <c r="E8509" s="4">
        <v>0</v>
      </c>
      <c r="F8509" s="4" t="s">
        <v>29</v>
      </c>
    </row>
    <row r="8510" spans="1:6" x14ac:dyDescent="0.25">
      <c r="A8510" s="4" t="s">
        <v>82</v>
      </c>
      <c r="B8510" s="4" t="s">
        <v>5</v>
      </c>
      <c r="C8510" s="4" t="s">
        <v>36</v>
      </c>
      <c r="D8510" s="4">
        <v>2017</v>
      </c>
      <c r="E8510" s="4">
        <v>0</v>
      </c>
      <c r="F8510" s="4" t="s">
        <v>29</v>
      </c>
    </row>
    <row r="8511" spans="1:6" x14ac:dyDescent="0.25">
      <c r="A8511" s="4" t="s">
        <v>82</v>
      </c>
      <c r="B8511" s="4" t="s">
        <v>5</v>
      </c>
      <c r="C8511" s="4" t="s">
        <v>36</v>
      </c>
      <c r="D8511" s="4">
        <v>2018</v>
      </c>
      <c r="E8511" s="4">
        <v>0</v>
      </c>
      <c r="F8511" s="4" t="s">
        <v>29</v>
      </c>
    </row>
    <row r="8512" spans="1:6" x14ac:dyDescent="0.25">
      <c r="A8512" s="4" t="s">
        <v>82</v>
      </c>
      <c r="B8512" s="4" t="s">
        <v>5</v>
      </c>
      <c r="C8512" s="4" t="s">
        <v>36</v>
      </c>
      <c r="D8512" s="4">
        <v>2019</v>
      </c>
      <c r="E8512" s="4">
        <v>0</v>
      </c>
      <c r="F8512" s="4" t="s">
        <v>29</v>
      </c>
    </row>
    <row r="8513" spans="1:6" x14ac:dyDescent="0.25">
      <c r="A8513" s="4" t="s">
        <v>82</v>
      </c>
      <c r="B8513" s="4" t="s">
        <v>5</v>
      </c>
      <c r="C8513" s="4" t="s">
        <v>36</v>
      </c>
      <c r="D8513" s="4">
        <v>2020</v>
      </c>
      <c r="E8513" s="4">
        <v>0</v>
      </c>
      <c r="F8513" s="4" t="s">
        <v>29</v>
      </c>
    </row>
    <row r="8514" spans="1:6" x14ac:dyDescent="0.25">
      <c r="A8514" s="4" t="s">
        <v>82</v>
      </c>
      <c r="B8514" s="4" t="s">
        <v>5</v>
      </c>
      <c r="C8514" s="4" t="s">
        <v>36</v>
      </c>
      <c r="D8514" s="4">
        <v>2021</v>
      </c>
      <c r="E8514" s="4">
        <v>0</v>
      </c>
      <c r="F8514" s="4" t="s">
        <v>29</v>
      </c>
    </row>
    <row r="8515" spans="1:6" x14ac:dyDescent="0.25">
      <c r="A8515" s="4" t="s">
        <v>82</v>
      </c>
      <c r="B8515" s="4" t="s">
        <v>5</v>
      </c>
      <c r="C8515" s="4" t="s">
        <v>36</v>
      </c>
      <c r="D8515" s="4">
        <v>2022</v>
      </c>
      <c r="E8515" s="4">
        <v>0</v>
      </c>
      <c r="F8515" s="4" t="s">
        <v>29</v>
      </c>
    </row>
    <row r="8516" spans="1:6" x14ac:dyDescent="0.25">
      <c r="A8516" s="4" t="s">
        <v>82</v>
      </c>
      <c r="B8516" s="4" t="s">
        <v>5</v>
      </c>
      <c r="C8516" s="4" t="s">
        <v>36</v>
      </c>
      <c r="D8516" s="4">
        <v>2023</v>
      </c>
      <c r="E8516" s="4">
        <v>0</v>
      </c>
      <c r="F8516" s="4" t="s">
        <v>29</v>
      </c>
    </row>
    <row r="8517" spans="1:6" x14ac:dyDescent="0.25">
      <c r="A8517" s="4" t="s">
        <v>82</v>
      </c>
      <c r="B8517" s="4" t="s">
        <v>5</v>
      </c>
      <c r="C8517" s="4" t="s">
        <v>36</v>
      </c>
      <c r="D8517" s="4">
        <v>2024</v>
      </c>
      <c r="E8517" s="4">
        <v>0</v>
      </c>
      <c r="F8517" s="4" t="s">
        <v>29</v>
      </c>
    </row>
    <row r="8518" spans="1:6" x14ac:dyDescent="0.25">
      <c r="A8518" s="4" t="s">
        <v>82</v>
      </c>
      <c r="B8518" s="4" t="s">
        <v>5</v>
      </c>
      <c r="C8518" s="4" t="s">
        <v>36</v>
      </c>
      <c r="D8518" s="4">
        <v>2025</v>
      </c>
      <c r="E8518" s="4">
        <v>0</v>
      </c>
      <c r="F8518" s="4" t="s">
        <v>29</v>
      </c>
    </row>
    <row r="8519" spans="1:6" x14ac:dyDescent="0.25">
      <c r="A8519" s="4" t="s">
        <v>82</v>
      </c>
      <c r="B8519" s="4" t="s">
        <v>5</v>
      </c>
      <c r="C8519" s="4" t="s">
        <v>36</v>
      </c>
      <c r="D8519" s="4">
        <v>2026</v>
      </c>
      <c r="E8519" s="4">
        <v>0</v>
      </c>
      <c r="F8519" s="4" t="s">
        <v>29</v>
      </c>
    </row>
    <row r="8520" spans="1:6" x14ac:dyDescent="0.25">
      <c r="A8520" s="4" t="s">
        <v>82</v>
      </c>
      <c r="B8520" s="4" t="s">
        <v>5</v>
      </c>
      <c r="C8520" s="4" t="s">
        <v>36</v>
      </c>
      <c r="D8520" s="4">
        <v>2027</v>
      </c>
      <c r="E8520" s="4">
        <v>0</v>
      </c>
      <c r="F8520" s="4" t="s">
        <v>29</v>
      </c>
    </row>
    <row r="8521" spans="1:6" x14ac:dyDescent="0.25">
      <c r="A8521" s="4" t="s">
        <v>82</v>
      </c>
      <c r="B8521" s="4" t="s">
        <v>5</v>
      </c>
      <c r="C8521" s="4" t="s">
        <v>36</v>
      </c>
      <c r="D8521" s="4">
        <v>2028</v>
      </c>
      <c r="E8521" s="4">
        <v>0</v>
      </c>
      <c r="F8521" s="4" t="s">
        <v>29</v>
      </c>
    </row>
    <row r="8522" spans="1:6" x14ac:dyDescent="0.25">
      <c r="A8522" s="4" t="s">
        <v>82</v>
      </c>
      <c r="B8522" s="4" t="s">
        <v>5</v>
      </c>
      <c r="C8522" s="4" t="s">
        <v>36</v>
      </c>
      <c r="D8522" s="4">
        <v>2029</v>
      </c>
      <c r="E8522" s="4">
        <v>0</v>
      </c>
      <c r="F8522" s="4" t="s">
        <v>29</v>
      </c>
    </row>
    <row r="8523" spans="1:6" x14ac:dyDescent="0.25">
      <c r="A8523" s="4" t="s">
        <v>82</v>
      </c>
      <c r="B8523" s="4" t="s">
        <v>5</v>
      </c>
      <c r="C8523" s="4" t="s">
        <v>36</v>
      </c>
      <c r="D8523" s="4">
        <v>2030</v>
      </c>
      <c r="E8523" s="4">
        <v>0</v>
      </c>
      <c r="F8523" s="4" t="s">
        <v>29</v>
      </c>
    </row>
    <row r="8524" spans="1:6" x14ac:dyDescent="0.25">
      <c r="A8524" s="4" t="s">
        <v>82</v>
      </c>
      <c r="B8524" s="4" t="s">
        <v>5</v>
      </c>
      <c r="C8524" s="4" t="s">
        <v>36</v>
      </c>
      <c r="D8524" s="4">
        <v>2031</v>
      </c>
      <c r="E8524" s="4">
        <v>0</v>
      </c>
      <c r="F8524" s="4" t="s">
        <v>29</v>
      </c>
    </row>
    <row r="8525" spans="1:6" x14ac:dyDescent="0.25">
      <c r="A8525" s="4" t="s">
        <v>82</v>
      </c>
      <c r="B8525" s="4" t="s">
        <v>5</v>
      </c>
      <c r="C8525" s="4" t="s">
        <v>36</v>
      </c>
      <c r="D8525" s="4">
        <v>2032</v>
      </c>
      <c r="E8525" s="4">
        <v>0</v>
      </c>
      <c r="F8525" s="4" t="s">
        <v>29</v>
      </c>
    </row>
    <row r="8526" spans="1:6" x14ac:dyDescent="0.25">
      <c r="A8526" s="4" t="s">
        <v>82</v>
      </c>
      <c r="B8526" s="4" t="s">
        <v>5</v>
      </c>
      <c r="C8526" s="4" t="s">
        <v>36</v>
      </c>
      <c r="D8526" s="4">
        <v>2033</v>
      </c>
      <c r="E8526" s="4">
        <v>0</v>
      </c>
      <c r="F8526" s="4" t="s">
        <v>29</v>
      </c>
    </row>
    <row r="8527" spans="1:6" x14ac:dyDescent="0.25">
      <c r="A8527" s="4" t="s">
        <v>82</v>
      </c>
      <c r="B8527" s="4" t="s">
        <v>5</v>
      </c>
      <c r="C8527" s="4" t="s">
        <v>36</v>
      </c>
      <c r="D8527" s="4">
        <v>2034</v>
      </c>
      <c r="E8527" s="4">
        <v>0</v>
      </c>
      <c r="F8527" s="4" t="s">
        <v>29</v>
      </c>
    </row>
    <row r="8528" spans="1:6" x14ac:dyDescent="0.25">
      <c r="A8528" s="4" t="s">
        <v>82</v>
      </c>
      <c r="B8528" s="4" t="s">
        <v>5</v>
      </c>
      <c r="C8528" s="4" t="s">
        <v>36</v>
      </c>
      <c r="D8528" s="4">
        <v>2035</v>
      </c>
      <c r="E8528" s="4">
        <v>0</v>
      </c>
      <c r="F8528" s="4" t="s">
        <v>29</v>
      </c>
    </row>
    <row r="8529" spans="1:6" x14ac:dyDescent="0.25">
      <c r="A8529" s="4" t="s">
        <v>82</v>
      </c>
      <c r="B8529" s="4" t="s">
        <v>5</v>
      </c>
      <c r="C8529" s="4" t="s">
        <v>36</v>
      </c>
      <c r="D8529" s="4">
        <v>2036</v>
      </c>
      <c r="E8529" s="4">
        <v>0</v>
      </c>
      <c r="F8529" s="4" t="s">
        <v>29</v>
      </c>
    </row>
    <row r="8530" spans="1:6" x14ac:dyDescent="0.25">
      <c r="A8530" s="4" t="s">
        <v>82</v>
      </c>
      <c r="B8530" s="4" t="s">
        <v>5</v>
      </c>
      <c r="C8530" s="4" t="s">
        <v>36</v>
      </c>
      <c r="D8530" s="4">
        <v>2037</v>
      </c>
      <c r="E8530" s="4">
        <v>0</v>
      </c>
      <c r="F8530" s="4" t="s">
        <v>29</v>
      </c>
    </row>
    <row r="8531" spans="1:6" x14ac:dyDescent="0.25">
      <c r="A8531" s="4" t="s">
        <v>82</v>
      </c>
      <c r="B8531" s="4" t="s">
        <v>5</v>
      </c>
      <c r="C8531" s="4" t="s">
        <v>36</v>
      </c>
      <c r="D8531" s="4">
        <v>2038</v>
      </c>
      <c r="E8531" s="4">
        <v>0</v>
      </c>
      <c r="F8531" s="4" t="s">
        <v>29</v>
      </c>
    </row>
    <row r="8532" spans="1:6" x14ac:dyDescent="0.25">
      <c r="A8532" s="4" t="s">
        <v>82</v>
      </c>
      <c r="B8532" s="4" t="s">
        <v>5</v>
      </c>
      <c r="C8532" s="4" t="s">
        <v>36</v>
      </c>
      <c r="D8532" s="4">
        <v>2039</v>
      </c>
      <c r="E8532" s="4">
        <v>0</v>
      </c>
      <c r="F8532" s="4" t="s">
        <v>29</v>
      </c>
    </row>
    <row r="8533" spans="1:6" x14ac:dyDescent="0.25">
      <c r="A8533" s="4" t="s">
        <v>82</v>
      </c>
      <c r="B8533" s="4" t="s">
        <v>5</v>
      </c>
      <c r="C8533" s="4" t="s">
        <v>36</v>
      </c>
      <c r="D8533" s="4">
        <v>2040</v>
      </c>
      <c r="E8533" s="4">
        <v>0</v>
      </c>
      <c r="F8533" s="4" t="s">
        <v>29</v>
      </c>
    </row>
    <row r="8534" spans="1:6" x14ac:dyDescent="0.25">
      <c r="A8534" s="4" t="s">
        <v>82</v>
      </c>
      <c r="B8534" s="4" t="s">
        <v>6</v>
      </c>
      <c r="C8534" s="4" t="s">
        <v>36</v>
      </c>
      <c r="D8534" s="4">
        <v>2005</v>
      </c>
      <c r="E8534" s="4">
        <v>0</v>
      </c>
      <c r="F8534" s="4" t="s">
        <v>29</v>
      </c>
    </row>
    <row r="8535" spans="1:6" x14ac:dyDescent="0.25">
      <c r="A8535" s="4" t="s">
        <v>82</v>
      </c>
      <c r="B8535" s="4" t="s">
        <v>6</v>
      </c>
      <c r="C8535" s="4" t="s">
        <v>36</v>
      </c>
      <c r="D8535" s="4">
        <v>2006</v>
      </c>
      <c r="E8535" s="4">
        <v>0</v>
      </c>
      <c r="F8535" s="4" t="s">
        <v>29</v>
      </c>
    </row>
    <row r="8536" spans="1:6" x14ac:dyDescent="0.25">
      <c r="A8536" s="4" t="s">
        <v>82</v>
      </c>
      <c r="B8536" s="4" t="s">
        <v>6</v>
      </c>
      <c r="C8536" s="4" t="s">
        <v>36</v>
      </c>
      <c r="D8536" s="4">
        <v>2007</v>
      </c>
      <c r="E8536" s="4">
        <v>0</v>
      </c>
      <c r="F8536" s="4" t="s">
        <v>29</v>
      </c>
    </row>
    <row r="8537" spans="1:6" x14ac:dyDescent="0.25">
      <c r="A8537" s="4" t="s">
        <v>82</v>
      </c>
      <c r="B8537" s="4" t="s">
        <v>6</v>
      </c>
      <c r="C8537" s="4" t="s">
        <v>36</v>
      </c>
      <c r="D8537" s="4">
        <v>2008</v>
      </c>
      <c r="E8537" s="4">
        <v>0</v>
      </c>
      <c r="F8537" s="4" t="s">
        <v>29</v>
      </c>
    </row>
    <row r="8538" spans="1:6" x14ac:dyDescent="0.25">
      <c r="A8538" s="4" t="s">
        <v>82</v>
      </c>
      <c r="B8538" s="4" t="s">
        <v>6</v>
      </c>
      <c r="C8538" s="4" t="s">
        <v>36</v>
      </c>
      <c r="D8538" s="4">
        <v>2009</v>
      </c>
      <c r="E8538" s="4">
        <v>0</v>
      </c>
      <c r="F8538" s="4" t="s">
        <v>29</v>
      </c>
    </row>
    <row r="8539" spans="1:6" x14ac:dyDescent="0.25">
      <c r="A8539" s="4" t="s">
        <v>82</v>
      </c>
      <c r="B8539" s="4" t="s">
        <v>6</v>
      </c>
      <c r="C8539" s="4" t="s">
        <v>36</v>
      </c>
      <c r="D8539" s="4">
        <v>2010</v>
      </c>
      <c r="E8539" s="4">
        <v>0</v>
      </c>
      <c r="F8539" s="4" t="s">
        <v>29</v>
      </c>
    </row>
    <row r="8540" spans="1:6" x14ac:dyDescent="0.25">
      <c r="A8540" s="4" t="s">
        <v>82</v>
      </c>
      <c r="B8540" s="4" t="s">
        <v>6</v>
      </c>
      <c r="C8540" s="4" t="s">
        <v>36</v>
      </c>
      <c r="D8540" s="4">
        <v>2011</v>
      </c>
      <c r="E8540" s="4">
        <v>0</v>
      </c>
      <c r="F8540" s="4" t="s">
        <v>29</v>
      </c>
    </row>
    <row r="8541" spans="1:6" x14ac:dyDescent="0.25">
      <c r="A8541" s="4" t="s">
        <v>82</v>
      </c>
      <c r="B8541" s="4" t="s">
        <v>6</v>
      </c>
      <c r="C8541" s="4" t="s">
        <v>36</v>
      </c>
      <c r="D8541" s="4">
        <v>2012</v>
      </c>
      <c r="E8541" s="4">
        <v>0</v>
      </c>
      <c r="F8541" s="4" t="s">
        <v>29</v>
      </c>
    </row>
    <row r="8542" spans="1:6" x14ac:dyDescent="0.25">
      <c r="A8542" s="4" t="s">
        <v>82</v>
      </c>
      <c r="B8542" s="4" t="s">
        <v>6</v>
      </c>
      <c r="C8542" s="4" t="s">
        <v>36</v>
      </c>
      <c r="D8542" s="4">
        <v>2013</v>
      </c>
      <c r="E8542" s="4">
        <v>0</v>
      </c>
      <c r="F8542" s="4" t="s">
        <v>29</v>
      </c>
    </row>
    <row r="8543" spans="1:6" x14ac:dyDescent="0.25">
      <c r="A8543" s="4" t="s">
        <v>82</v>
      </c>
      <c r="B8543" s="4" t="s">
        <v>6</v>
      </c>
      <c r="C8543" s="4" t="s">
        <v>36</v>
      </c>
      <c r="D8543" s="4">
        <v>2014</v>
      </c>
      <c r="E8543" s="4">
        <v>0</v>
      </c>
      <c r="F8543" s="4" t="s">
        <v>29</v>
      </c>
    </row>
    <row r="8544" spans="1:6" x14ac:dyDescent="0.25">
      <c r="A8544" s="4" t="s">
        <v>82</v>
      </c>
      <c r="B8544" s="4" t="s">
        <v>6</v>
      </c>
      <c r="C8544" s="4" t="s">
        <v>36</v>
      </c>
      <c r="D8544" s="4">
        <v>2015</v>
      </c>
      <c r="E8544" s="4">
        <v>0</v>
      </c>
      <c r="F8544" s="4" t="s">
        <v>29</v>
      </c>
    </row>
    <row r="8545" spans="1:6" x14ac:dyDescent="0.25">
      <c r="A8545" s="4" t="s">
        <v>82</v>
      </c>
      <c r="B8545" s="4" t="s">
        <v>6</v>
      </c>
      <c r="C8545" s="4" t="s">
        <v>36</v>
      </c>
      <c r="D8545" s="4">
        <v>2016</v>
      </c>
      <c r="E8545" s="4">
        <v>0</v>
      </c>
      <c r="F8545" s="4" t="s">
        <v>29</v>
      </c>
    </row>
    <row r="8546" spans="1:6" x14ac:dyDescent="0.25">
      <c r="A8546" s="4" t="s">
        <v>82</v>
      </c>
      <c r="B8546" s="4" t="s">
        <v>6</v>
      </c>
      <c r="C8546" s="4" t="s">
        <v>36</v>
      </c>
      <c r="D8546" s="4">
        <v>2017</v>
      </c>
      <c r="E8546" s="4">
        <v>0</v>
      </c>
      <c r="F8546" s="4" t="s">
        <v>29</v>
      </c>
    </row>
    <row r="8547" spans="1:6" x14ac:dyDescent="0.25">
      <c r="A8547" s="4" t="s">
        <v>82</v>
      </c>
      <c r="B8547" s="4" t="s">
        <v>6</v>
      </c>
      <c r="C8547" s="4" t="s">
        <v>36</v>
      </c>
      <c r="D8547" s="4">
        <v>2018</v>
      </c>
      <c r="E8547" s="4">
        <v>0</v>
      </c>
      <c r="F8547" s="4" t="s">
        <v>29</v>
      </c>
    </row>
    <row r="8548" spans="1:6" x14ac:dyDescent="0.25">
      <c r="A8548" s="4" t="s">
        <v>82</v>
      </c>
      <c r="B8548" s="4" t="s">
        <v>6</v>
      </c>
      <c r="C8548" s="4" t="s">
        <v>36</v>
      </c>
      <c r="D8548" s="4">
        <v>2019</v>
      </c>
      <c r="E8548" s="4">
        <v>0</v>
      </c>
      <c r="F8548" s="4" t="s">
        <v>29</v>
      </c>
    </row>
    <row r="8549" spans="1:6" x14ac:dyDescent="0.25">
      <c r="A8549" s="4" t="s">
        <v>82</v>
      </c>
      <c r="B8549" s="4" t="s">
        <v>6</v>
      </c>
      <c r="C8549" s="4" t="s">
        <v>36</v>
      </c>
      <c r="D8549" s="4">
        <v>2020</v>
      </c>
      <c r="E8549" s="4">
        <v>0</v>
      </c>
      <c r="F8549" s="4" t="s">
        <v>29</v>
      </c>
    </row>
    <row r="8550" spans="1:6" x14ac:dyDescent="0.25">
      <c r="A8550" s="4" t="s">
        <v>82</v>
      </c>
      <c r="B8550" s="4" t="s">
        <v>6</v>
      </c>
      <c r="C8550" s="4" t="s">
        <v>36</v>
      </c>
      <c r="D8550" s="4">
        <v>2021</v>
      </c>
      <c r="E8550" s="4">
        <v>0</v>
      </c>
      <c r="F8550" s="4" t="s">
        <v>29</v>
      </c>
    </row>
    <row r="8551" spans="1:6" x14ac:dyDescent="0.25">
      <c r="A8551" s="4" t="s">
        <v>82</v>
      </c>
      <c r="B8551" s="4" t="s">
        <v>6</v>
      </c>
      <c r="C8551" s="4" t="s">
        <v>36</v>
      </c>
      <c r="D8551" s="4">
        <v>2022</v>
      </c>
      <c r="E8551" s="4">
        <v>0</v>
      </c>
      <c r="F8551" s="4" t="s">
        <v>29</v>
      </c>
    </row>
    <row r="8552" spans="1:6" x14ac:dyDescent="0.25">
      <c r="A8552" s="4" t="s">
        <v>82</v>
      </c>
      <c r="B8552" s="4" t="s">
        <v>6</v>
      </c>
      <c r="C8552" s="4" t="s">
        <v>36</v>
      </c>
      <c r="D8552" s="4">
        <v>2023</v>
      </c>
      <c r="E8552" s="4">
        <v>0</v>
      </c>
      <c r="F8552" s="4" t="s">
        <v>29</v>
      </c>
    </row>
    <row r="8553" spans="1:6" x14ac:dyDescent="0.25">
      <c r="A8553" s="4" t="s">
        <v>82</v>
      </c>
      <c r="B8553" s="4" t="s">
        <v>6</v>
      </c>
      <c r="C8553" s="4" t="s">
        <v>36</v>
      </c>
      <c r="D8553" s="4">
        <v>2024</v>
      </c>
      <c r="E8553" s="4">
        <v>0</v>
      </c>
      <c r="F8553" s="4" t="s">
        <v>29</v>
      </c>
    </row>
    <row r="8554" spans="1:6" x14ac:dyDescent="0.25">
      <c r="A8554" s="4" t="s">
        <v>82</v>
      </c>
      <c r="B8554" s="4" t="s">
        <v>6</v>
      </c>
      <c r="C8554" s="4" t="s">
        <v>36</v>
      </c>
      <c r="D8554" s="4">
        <v>2025</v>
      </c>
      <c r="E8554" s="4">
        <v>0</v>
      </c>
      <c r="F8554" s="4" t="s">
        <v>29</v>
      </c>
    </row>
    <row r="8555" spans="1:6" x14ac:dyDescent="0.25">
      <c r="A8555" s="4" t="s">
        <v>82</v>
      </c>
      <c r="B8555" s="4" t="s">
        <v>6</v>
      </c>
      <c r="C8555" s="4" t="s">
        <v>36</v>
      </c>
      <c r="D8555" s="4">
        <v>2026</v>
      </c>
      <c r="E8555" s="4">
        <v>0</v>
      </c>
      <c r="F8555" s="4" t="s">
        <v>29</v>
      </c>
    </row>
    <row r="8556" spans="1:6" x14ac:dyDescent="0.25">
      <c r="A8556" s="4" t="s">
        <v>82</v>
      </c>
      <c r="B8556" s="4" t="s">
        <v>6</v>
      </c>
      <c r="C8556" s="4" t="s">
        <v>36</v>
      </c>
      <c r="D8556" s="4">
        <v>2027</v>
      </c>
      <c r="E8556" s="4">
        <v>0</v>
      </c>
      <c r="F8556" s="4" t="s">
        <v>29</v>
      </c>
    </row>
    <row r="8557" spans="1:6" x14ac:dyDescent="0.25">
      <c r="A8557" s="4" t="s">
        <v>82</v>
      </c>
      <c r="B8557" s="4" t="s">
        <v>6</v>
      </c>
      <c r="C8557" s="4" t="s">
        <v>36</v>
      </c>
      <c r="D8557" s="4">
        <v>2028</v>
      </c>
      <c r="E8557" s="4">
        <v>0</v>
      </c>
      <c r="F8557" s="4" t="s">
        <v>29</v>
      </c>
    </row>
    <row r="8558" spans="1:6" x14ac:dyDescent="0.25">
      <c r="A8558" s="4" t="s">
        <v>82</v>
      </c>
      <c r="B8558" s="4" t="s">
        <v>6</v>
      </c>
      <c r="C8558" s="4" t="s">
        <v>36</v>
      </c>
      <c r="D8558" s="4">
        <v>2029</v>
      </c>
      <c r="E8558" s="4">
        <v>0</v>
      </c>
      <c r="F8558" s="4" t="s">
        <v>29</v>
      </c>
    </row>
    <row r="8559" spans="1:6" x14ac:dyDescent="0.25">
      <c r="A8559" s="4" t="s">
        <v>82</v>
      </c>
      <c r="B8559" s="4" t="s">
        <v>6</v>
      </c>
      <c r="C8559" s="4" t="s">
        <v>36</v>
      </c>
      <c r="D8559" s="4">
        <v>2030</v>
      </c>
      <c r="E8559" s="4">
        <v>0</v>
      </c>
      <c r="F8559" s="4" t="s">
        <v>29</v>
      </c>
    </row>
    <row r="8560" spans="1:6" x14ac:dyDescent="0.25">
      <c r="A8560" s="4" t="s">
        <v>82</v>
      </c>
      <c r="B8560" s="4" t="s">
        <v>6</v>
      </c>
      <c r="C8560" s="4" t="s">
        <v>36</v>
      </c>
      <c r="D8560" s="4">
        <v>2031</v>
      </c>
      <c r="E8560" s="4">
        <v>0</v>
      </c>
      <c r="F8560" s="4" t="s">
        <v>29</v>
      </c>
    </row>
    <row r="8561" spans="1:6" x14ac:dyDescent="0.25">
      <c r="A8561" s="4" t="s">
        <v>82</v>
      </c>
      <c r="B8561" s="4" t="s">
        <v>6</v>
      </c>
      <c r="C8561" s="4" t="s">
        <v>36</v>
      </c>
      <c r="D8561" s="4">
        <v>2032</v>
      </c>
      <c r="E8561" s="4">
        <v>0</v>
      </c>
      <c r="F8561" s="4" t="s">
        <v>29</v>
      </c>
    </row>
    <row r="8562" spans="1:6" x14ac:dyDescent="0.25">
      <c r="A8562" s="4" t="s">
        <v>82</v>
      </c>
      <c r="B8562" s="4" t="s">
        <v>6</v>
      </c>
      <c r="C8562" s="4" t="s">
        <v>36</v>
      </c>
      <c r="D8562" s="4">
        <v>2033</v>
      </c>
      <c r="E8562" s="4">
        <v>0</v>
      </c>
      <c r="F8562" s="4" t="s">
        <v>29</v>
      </c>
    </row>
    <row r="8563" spans="1:6" x14ac:dyDescent="0.25">
      <c r="A8563" s="4" t="s">
        <v>82</v>
      </c>
      <c r="B8563" s="4" t="s">
        <v>6</v>
      </c>
      <c r="C8563" s="4" t="s">
        <v>36</v>
      </c>
      <c r="D8563" s="4">
        <v>2034</v>
      </c>
      <c r="E8563" s="4">
        <v>0</v>
      </c>
      <c r="F8563" s="4" t="s">
        <v>29</v>
      </c>
    </row>
    <row r="8564" spans="1:6" x14ac:dyDescent="0.25">
      <c r="A8564" s="4" t="s">
        <v>82</v>
      </c>
      <c r="B8564" s="4" t="s">
        <v>6</v>
      </c>
      <c r="C8564" s="4" t="s">
        <v>36</v>
      </c>
      <c r="D8564" s="4">
        <v>2035</v>
      </c>
      <c r="E8564" s="4">
        <v>0</v>
      </c>
      <c r="F8564" s="4" t="s">
        <v>29</v>
      </c>
    </row>
    <row r="8565" spans="1:6" x14ac:dyDescent="0.25">
      <c r="A8565" s="4" t="s">
        <v>82</v>
      </c>
      <c r="B8565" s="4" t="s">
        <v>6</v>
      </c>
      <c r="C8565" s="4" t="s">
        <v>36</v>
      </c>
      <c r="D8565" s="4">
        <v>2036</v>
      </c>
      <c r="E8565" s="4">
        <v>0</v>
      </c>
      <c r="F8565" s="4" t="s">
        <v>29</v>
      </c>
    </row>
    <row r="8566" spans="1:6" x14ac:dyDescent="0.25">
      <c r="A8566" s="4" t="s">
        <v>82</v>
      </c>
      <c r="B8566" s="4" t="s">
        <v>6</v>
      </c>
      <c r="C8566" s="4" t="s">
        <v>36</v>
      </c>
      <c r="D8566" s="4">
        <v>2037</v>
      </c>
      <c r="E8566" s="4">
        <v>0</v>
      </c>
      <c r="F8566" s="4" t="s">
        <v>29</v>
      </c>
    </row>
    <row r="8567" spans="1:6" x14ac:dyDescent="0.25">
      <c r="A8567" s="4" t="s">
        <v>82</v>
      </c>
      <c r="B8567" s="4" t="s">
        <v>6</v>
      </c>
      <c r="C8567" s="4" t="s">
        <v>36</v>
      </c>
      <c r="D8567" s="4">
        <v>2038</v>
      </c>
      <c r="E8567" s="4">
        <v>0</v>
      </c>
      <c r="F8567" s="4" t="s">
        <v>29</v>
      </c>
    </row>
    <row r="8568" spans="1:6" x14ac:dyDescent="0.25">
      <c r="A8568" s="4" t="s">
        <v>82</v>
      </c>
      <c r="B8568" s="4" t="s">
        <v>6</v>
      </c>
      <c r="C8568" s="4" t="s">
        <v>36</v>
      </c>
      <c r="D8568" s="4">
        <v>2039</v>
      </c>
      <c r="E8568" s="4">
        <v>0</v>
      </c>
      <c r="F8568" s="4" t="s">
        <v>29</v>
      </c>
    </row>
    <row r="8569" spans="1:6" x14ac:dyDescent="0.25">
      <c r="A8569" s="4" t="s">
        <v>82</v>
      </c>
      <c r="B8569" s="4" t="s">
        <v>6</v>
      </c>
      <c r="C8569" s="4" t="s">
        <v>36</v>
      </c>
      <c r="D8569" s="4">
        <v>2040</v>
      </c>
      <c r="E8569" s="4">
        <v>0</v>
      </c>
      <c r="F8569" s="4" t="s">
        <v>29</v>
      </c>
    </row>
    <row r="8570" spans="1:6" x14ac:dyDescent="0.25">
      <c r="A8570" s="4" t="s">
        <v>82</v>
      </c>
      <c r="B8570" s="4" t="s">
        <v>23</v>
      </c>
      <c r="C8570" s="4" t="s">
        <v>36</v>
      </c>
      <c r="D8570" s="4">
        <v>2005</v>
      </c>
      <c r="E8570" s="4">
        <v>0</v>
      </c>
      <c r="F8570" s="4" t="s">
        <v>29</v>
      </c>
    </row>
    <row r="8571" spans="1:6" x14ac:dyDescent="0.25">
      <c r="A8571" s="4" t="s">
        <v>82</v>
      </c>
      <c r="B8571" s="4" t="s">
        <v>23</v>
      </c>
      <c r="C8571" s="4" t="s">
        <v>36</v>
      </c>
      <c r="D8571" s="4">
        <v>2006</v>
      </c>
      <c r="E8571" s="4">
        <v>0</v>
      </c>
      <c r="F8571" s="4" t="s">
        <v>29</v>
      </c>
    </row>
    <row r="8572" spans="1:6" x14ac:dyDescent="0.25">
      <c r="A8572" s="4" t="s">
        <v>82</v>
      </c>
      <c r="B8572" s="4" t="s">
        <v>23</v>
      </c>
      <c r="C8572" s="4" t="s">
        <v>36</v>
      </c>
      <c r="D8572" s="4">
        <v>2007</v>
      </c>
      <c r="E8572" s="4">
        <v>0</v>
      </c>
      <c r="F8572" s="4" t="s">
        <v>29</v>
      </c>
    </row>
    <row r="8573" spans="1:6" x14ac:dyDescent="0.25">
      <c r="A8573" s="4" t="s">
        <v>82</v>
      </c>
      <c r="B8573" s="4" t="s">
        <v>23</v>
      </c>
      <c r="C8573" s="4" t="s">
        <v>36</v>
      </c>
      <c r="D8573" s="4">
        <v>2008</v>
      </c>
      <c r="E8573" s="4">
        <v>0</v>
      </c>
      <c r="F8573" s="4" t="s">
        <v>29</v>
      </c>
    </row>
    <row r="8574" spans="1:6" x14ac:dyDescent="0.25">
      <c r="A8574" s="4" t="s">
        <v>82</v>
      </c>
      <c r="B8574" s="4" t="s">
        <v>23</v>
      </c>
      <c r="C8574" s="4" t="s">
        <v>36</v>
      </c>
      <c r="D8574" s="4">
        <v>2009</v>
      </c>
      <c r="E8574" s="4">
        <v>0</v>
      </c>
      <c r="F8574" s="4" t="s">
        <v>29</v>
      </c>
    </row>
    <row r="8575" spans="1:6" x14ac:dyDescent="0.25">
      <c r="A8575" s="4" t="s">
        <v>82</v>
      </c>
      <c r="B8575" s="4" t="s">
        <v>23</v>
      </c>
      <c r="C8575" s="4" t="s">
        <v>36</v>
      </c>
      <c r="D8575" s="4">
        <v>2010</v>
      </c>
      <c r="E8575" s="4">
        <v>0</v>
      </c>
      <c r="F8575" s="4" t="s">
        <v>29</v>
      </c>
    </row>
    <row r="8576" spans="1:6" x14ac:dyDescent="0.25">
      <c r="A8576" s="4" t="s">
        <v>82</v>
      </c>
      <c r="B8576" s="4" t="s">
        <v>23</v>
      </c>
      <c r="C8576" s="4" t="s">
        <v>36</v>
      </c>
      <c r="D8576" s="4">
        <v>2011</v>
      </c>
      <c r="E8576" s="4">
        <v>0</v>
      </c>
      <c r="F8576" s="4" t="s">
        <v>29</v>
      </c>
    </row>
    <row r="8577" spans="1:6" x14ac:dyDescent="0.25">
      <c r="A8577" s="4" t="s">
        <v>82</v>
      </c>
      <c r="B8577" s="4" t="s">
        <v>23</v>
      </c>
      <c r="C8577" s="4" t="s">
        <v>36</v>
      </c>
      <c r="D8577" s="4">
        <v>2012</v>
      </c>
      <c r="E8577" s="4">
        <v>0</v>
      </c>
      <c r="F8577" s="4" t="s">
        <v>29</v>
      </c>
    </row>
    <row r="8578" spans="1:6" x14ac:dyDescent="0.25">
      <c r="A8578" s="4" t="s">
        <v>82</v>
      </c>
      <c r="B8578" s="4" t="s">
        <v>23</v>
      </c>
      <c r="C8578" s="4" t="s">
        <v>36</v>
      </c>
      <c r="D8578" s="4">
        <v>2013</v>
      </c>
      <c r="E8578" s="4">
        <v>0</v>
      </c>
      <c r="F8578" s="4" t="s">
        <v>29</v>
      </c>
    </row>
    <row r="8579" spans="1:6" x14ac:dyDescent="0.25">
      <c r="A8579" s="4" t="s">
        <v>82</v>
      </c>
      <c r="B8579" s="4" t="s">
        <v>23</v>
      </c>
      <c r="C8579" s="4" t="s">
        <v>36</v>
      </c>
      <c r="D8579" s="4">
        <v>2014</v>
      </c>
      <c r="E8579" s="4">
        <v>0</v>
      </c>
      <c r="F8579" s="4" t="s">
        <v>29</v>
      </c>
    </row>
    <row r="8580" spans="1:6" x14ac:dyDescent="0.25">
      <c r="A8580" s="4" t="s">
        <v>82</v>
      </c>
      <c r="B8580" s="4" t="s">
        <v>23</v>
      </c>
      <c r="C8580" s="4" t="s">
        <v>36</v>
      </c>
      <c r="D8580" s="4">
        <v>2015</v>
      </c>
      <c r="E8580" s="4">
        <v>0</v>
      </c>
      <c r="F8580" s="4" t="s">
        <v>29</v>
      </c>
    </row>
    <row r="8581" spans="1:6" x14ac:dyDescent="0.25">
      <c r="A8581" s="4" t="s">
        <v>82</v>
      </c>
      <c r="B8581" s="4" t="s">
        <v>23</v>
      </c>
      <c r="C8581" s="4" t="s">
        <v>36</v>
      </c>
      <c r="D8581" s="4">
        <v>2016</v>
      </c>
      <c r="E8581" s="4">
        <v>0</v>
      </c>
      <c r="F8581" s="4" t="s">
        <v>29</v>
      </c>
    </row>
    <row r="8582" spans="1:6" x14ac:dyDescent="0.25">
      <c r="A8582" s="4" t="s">
        <v>82</v>
      </c>
      <c r="B8582" s="4" t="s">
        <v>23</v>
      </c>
      <c r="C8582" s="4" t="s">
        <v>36</v>
      </c>
      <c r="D8582" s="4">
        <v>2017</v>
      </c>
      <c r="E8582" s="4">
        <v>0</v>
      </c>
      <c r="F8582" s="4" t="s">
        <v>29</v>
      </c>
    </row>
    <row r="8583" spans="1:6" x14ac:dyDescent="0.25">
      <c r="A8583" s="4" t="s">
        <v>82</v>
      </c>
      <c r="B8583" s="4" t="s">
        <v>23</v>
      </c>
      <c r="C8583" s="4" t="s">
        <v>36</v>
      </c>
      <c r="D8583" s="4">
        <v>2018</v>
      </c>
      <c r="E8583" s="4">
        <v>0</v>
      </c>
      <c r="F8583" s="4" t="s">
        <v>29</v>
      </c>
    </row>
    <row r="8584" spans="1:6" x14ac:dyDescent="0.25">
      <c r="A8584" s="4" t="s">
        <v>82</v>
      </c>
      <c r="B8584" s="4" t="s">
        <v>23</v>
      </c>
      <c r="C8584" s="4" t="s">
        <v>36</v>
      </c>
      <c r="D8584" s="4">
        <v>2019</v>
      </c>
      <c r="E8584" s="4">
        <v>0</v>
      </c>
      <c r="F8584" s="4" t="s">
        <v>29</v>
      </c>
    </row>
    <row r="8585" spans="1:6" x14ac:dyDescent="0.25">
      <c r="A8585" s="4" t="s">
        <v>82</v>
      </c>
      <c r="B8585" s="4" t="s">
        <v>23</v>
      </c>
      <c r="C8585" s="4" t="s">
        <v>36</v>
      </c>
      <c r="D8585" s="4">
        <v>2020</v>
      </c>
      <c r="E8585" s="4">
        <v>0</v>
      </c>
      <c r="F8585" s="4" t="s">
        <v>29</v>
      </c>
    </row>
    <row r="8586" spans="1:6" x14ac:dyDescent="0.25">
      <c r="A8586" s="4" t="s">
        <v>82</v>
      </c>
      <c r="B8586" s="4" t="s">
        <v>23</v>
      </c>
      <c r="C8586" s="4" t="s">
        <v>36</v>
      </c>
      <c r="D8586" s="4">
        <v>2021</v>
      </c>
      <c r="E8586" s="4">
        <v>0</v>
      </c>
      <c r="F8586" s="4" t="s">
        <v>29</v>
      </c>
    </row>
    <row r="8587" spans="1:6" x14ac:dyDescent="0.25">
      <c r="A8587" s="4" t="s">
        <v>82</v>
      </c>
      <c r="B8587" s="4" t="s">
        <v>23</v>
      </c>
      <c r="C8587" s="4" t="s">
        <v>36</v>
      </c>
      <c r="D8587" s="4">
        <v>2022</v>
      </c>
      <c r="E8587" s="4">
        <v>0</v>
      </c>
      <c r="F8587" s="4" t="s">
        <v>29</v>
      </c>
    </row>
    <row r="8588" spans="1:6" x14ac:dyDescent="0.25">
      <c r="A8588" s="4" t="s">
        <v>82</v>
      </c>
      <c r="B8588" s="4" t="s">
        <v>23</v>
      </c>
      <c r="C8588" s="4" t="s">
        <v>36</v>
      </c>
      <c r="D8588" s="4">
        <v>2023</v>
      </c>
      <c r="E8588" s="4">
        <v>0</v>
      </c>
      <c r="F8588" s="4" t="s">
        <v>29</v>
      </c>
    </row>
    <row r="8589" spans="1:6" x14ac:dyDescent="0.25">
      <c r="A8589" s="4" t="s">
        <v>82</v>
      </c>
      <c r="B8589" s="4" t="s">
        <v>23</v>
      </c>
      <c r="C8589" s="4" t="s">
        <v>36</v>
      </c>
      <c r="D8589" s="4">
        <v>2024</v>
      </c>
      <c r="E8589" s="4">
        <v>0</v>
      </c>
      <c r="F8589" s="4" t="s">
        <v>29</v>
      </c>
    </row>
    <row r="8590" spans="1:6" x14ac:dyDescent="0.25">
      <c r="A8590" s="4" t="s">
        <v>82</v>
      </c>
      <c r="B8590" s="4" t="s">
        <v>23</v>
      </c>
      <c r="C8590" s="4" t="s">
        <v>36</v>
      </c>
      <c r="D8590" s="4">
        <v>2025</v>
      </c>
      <c r="E8590" s="4">
        <v>0</v>
      </c>
      <c r="F8590" s="4" t="s">
        <v>29</v>
      </c>
    </row>
    <row r="8591" spans="1:6" x14ac:dyDescent="0.25">
      <c r="A8591" s="4" t="s">
        <v>82</v>
      </c>
      <c r="B8591" s="4" t="s">
        <v>23</v>
      </c>
      <c r="C8591" s="4" t="s">
        <v>36</v>
      </c>
      <c r="D8591" s="4">
        <v>2026</v>
      </c>
      <c r="E8591" s="4">
        <v>0</v>
      </c>
      <c r="F8591" s="4" t="s">
        <v>29</v>
      </c>
    </row>
    <row r="8592" spans="1:6" x14ac:dyDescent="0.25">
      <c r="A8592" s="4" t="s">
        <v>82</v>
      </c>
      <c r="B8592" s="4" t="s">
        <v>23</v>
      </c>
      <c r="C8592" s="4" t="s">
        <v>36</v>
      </c>
      <c r="D8592" s="4">
        <v>2027</v>
      </c>
      <c r="E8592" s="4">
        <v>0</v>
      </c>
      <c r="F8592" s="4" t="s">
        <v>29</v>
      </c>
    </row>
    <row r="8593" spans="1:6" x14ac:dyDescent="0.25">
      <c r="A8593" s="4" t="s">
        <v>82</v>
      </c>
      <c r="B8593" s="4" t="s">
        <v>23</v>
      </c>
      <c r="C8593" s="4" t="s">
        <v>36</v>
      </c>
      <c r="D8593" s="4">
        <v>2028</v>
      </c>
      <c r="E8593" s="4">
        <v>0</v>
      </c>
      <c r="F8593" s="4" t="s">
        <v>29</v>
      </c>
    </row>
    <row r="8594" spans="1:6" x14ac:dyDescent="0.25">
      <c r="A8594" s="4" t="s">
        <v>82</v>
      </c>
      <c r="B8594" s="4" t="s">
        <v>23</v>
      </c>
      <c r="C8594" s="4" t="s">
        <v>36</v>
      </c>
      <c r="D8594" s="4">
        <v>2029</v>
      </c>
      <c r="E8594" s="4">
        <v>0</v>
      </c>
      <c r="F8594" s="4" t="s">
        <v>29</v>
      </c>
    </row>
    <row r="8595" spans="1:6" x14ac:dyDescent="0.25">
      <c r="A8595" s="4" t="s">
        <v>82</v>
      </c>
      <c r="B8595" s="4" t="s">
        <v>23</v>
      </c>
      <c r="C8595" s="4" t="s">
        <v>36</v>
      </c>
      <c r="D8595" s="4">
        <v>2030</v>
      </c>
      <c r="E8595" s="4">
        <v>0</v>
      </c>
      <c r="F8595" s="4" t="s">
        <v>29</v>
      </c>
    </row>
    <row r="8596" spans="1:6" x14ac:dyDescent="0.25">
      <c r="A8596" s="4" t="s">
        <v>82</v>
      </c>
      <c r="B8596" s="4" t="s">
        <v>23</v>
      </c>
      <c r="C8596" s="4" t="s">
        <v>36</v>
      </c>
      <c r="D8596" s="4">
        <v>2031</v>
      </c>
      <c r="E8596" s="4">
        <v>0</v>
      </c>
      <c r="F8596" s="4" t="s">
        <v>29</v>
      </c>
    </row>
    <row r="8597" spans="1:6" x14ac:dyDescent="0.25">
      <c r="A8597" s="4" t="s">
        <v>82</v>
      </c>
      <c r="B8597" s="4" t="s">
        <v>23</v>
      </c>
      <c r="C8597" s="4" t="s">
        <v>36</v>
      </c>
      <c r="D8597" s="4">
        <v>2032</v>
      </c>
      <c r="E8597" s="4">
        <v>0</v>
      </c>
      <c r="F8597" s="4" t="s">
        <v>29</v>
      </c>
    </row>
    <row r="8598" spans="1:6" x14ac:dyDescent="0.25">
      <c r="A8598" s="4" t="s">
        <v>82</v>
      </c>
      <c r="B8598" s="4" t="s">
        <v>23</v>
      </c>
      <c r="C8598" s="4" t="s">
        <v>36</v>
      </c>
      <c r="D8598" s="4">
        <v>2033</v>
      </c>
      <c r="E8598" s="4">
        <v>0</v>
      </c>
      <c r="F8598" s="4" t="s">
        <v>29</v>
      </c>
    </row>
    <row r="8599" spans="1:6" x14ac:dyDescent="0.25">
      <c r="A8599" s="4" t="s">
        <v>82</v>
      </c>
      <c r="B8599" s="4" t="s">
        <v>23</v>
      </c>
      <c r="C8599" s="4" t="s">
        <v>36</v>
      </c>
      <c r="D8599" s="4">
        <v>2034</v>
      </c>
      <c r="E8599" s="4">
        <v>0</v>
      </c>
      <c r="F8599" s="4" t="s">
        <v>29</v>
      </c>
    </row>
    <row r="8600" spans="1:6" x14ac:dyDescent="0.25">
      <c r="A8600" s="4" t="s">
        <v>82</v>
      </c>
      <c r="B8600" s="4" t="s">
        <v>23</v>
      </c>
      <c r="C8600" s="4" t="s">
        <v>36</v>
      </c>
      <c r="D8600" s="4">
        <v>2035</v>
      </c>
      <c r="E8600" s="4">
        <v>0</v>
      </c>
      <c r="F8600" s="4" t="s">
        <v>29</v>
      </c>
    </row>
    <row r="8601" spans="1:6" x14ac:dyDescent="0.25">
      <c r="A8601" s="4" t="s">
        <v>82</v>
      </c>
      <c r="B8601" s="4" t="s">
        <v>23</v>
      </c>
      <c r="C8601" s="4" t="s">
        <v>36</v>
      </c>
      <c r="D8601" s="4">
        <v>2036</v>
      </c>
      <c r="E8601" s="4">
        <v>0</v>
      </c>
      <c r="F8601" s="4" t="s">
        <v>29</v>
      </c>
    </row>
    <row r="8602" spans="1:6" x14ac:dyDescent="0.25">
      <c r="A8602" s="4" t="s">
        <v>82</v>
      </c>
      <c r="B8602" s="4" t="s">
        <v>23</v>
      </c>
      <c r="C8602" s="4" t="s">
        <v>36</v>
      </c>
      <c r="D8602" s="4">
        <v>2037</v>
      </c>
      <c r="E8602" s="4">
        <v>0</v>
      </c>
      <c r="F8602" s="4" t="s">
        <v>29</v>
      </c>
    </row>
    <row r="8603" spans="1:6" x14ac:dyDescent="0.25">
      <c r="A8603" s="4" t="s">
        <v>82</v>
      </c>
      <c r="B8603" s="4" t="s">
        <v>23</v>
      </c>
      <c r="C8603" s="4" t="s">
        <v>36</v>
      </c>
      <c r="D8603" s="4">
        <v>2038</v>
      </c>
      <c r="E8603" s="4">
        <v>0</v>
      </c>
      <c r="F8603" s="4" t="s">
        <v>29</v>
      </c>
    </row>
    <row r="8604" spans="1:6" x14ac:dyDescent="0.25">
      <c r="A8604" s="4" t="s">
        <v>82</v>
      </c>
      <c r="B8604" s="4" t="s">
        <v>23</v>
      </c>
      <c r="C8604" s="4" t="s">
        <v>36</v>
      </c>
      <c r="D8604" s="4">
        <v>2039</v>
      </c>
      <c r="E8604" s="4">
        <v>0</v>
      </c>
      <c r="F8604" s="4" t="s">
        <v>29</v>
      </c>
    </row>
    <row r="8605" spans="1:6" x14ac:dyDescent="0.25">
      <c r="A8605" s="4" t="s">
        <v>82</v>
      </c>
      <c r="B8605" s="4" t="s">
        <v>23</v>
      </c>
      <c r="C8605" s="4" t="s">
        <v>36</v>
      </c>
      <c r="D8605" s="4">
        <v>2040</v>
      </c>
      <c r="E8605" s="4">
        <v>0</v>
      </c>
      <c r="F8605" s="4" t="s">
        <v>29</v>
      </c>
    </row>
    <row r="8606" spans="1:6" x14ac:dyDescent="0.25">
      <c r="A8606" s="4" t="s">
        <v>83</v>
      </c>
      <c r="B8606" s="4" t="s">
        <v>1</v>
      </c>
      <c r="C8606" s="4" t="s">
        <v>36</v>
      </c>
      <c r="D8606" s="4">
        <v>2005</v>
      </c>
      <c r="E8606" s="4">
        <v>0</v>
      </c>
      <c r="F8606" s="4" t="s">
        <v>29</v>
      </c>
    </row>
    <row r="8607" spans="1:6" x14ac:dyDescent="0.25">
      <c r="A8607" s="4" t="s">
        <v>83</v>
      </c>
      <c r="B8607" s="4" t="s">
        <v>1</v>
      </c>
      <c r="C8607" s="4" t="s">
        <v>36</v>
      </c>
      <c r="D8607" s="4">
        <v>2006</v>
      </c>
      <c r="E8607" s="4">
        <v>0</v>
      </c>
      <c r="F8607" s="4" t="s">
        <v>29</v>
      </c>
    </row>
    <row r="8608" spans="1:6" x14ac:dyDescent="0.25">
      <c r="A8608" s="4" t="s">
        <v>83</v>
      </c>
      <c r="B8608" s="4" t="s">
        <v>1</v>
      </c>
      <c r="C8608" s="4" t="s">
        <v>36</v>
      </c>
      <c r="D8608" s="4">
        <v>2007</v>
      </c>
      <c r="E8608" s="4">
        <v>0</v>
      </c>
      <c r="F8608" s="4" t="s">
        <v>29</v>
      </c>
    </row>
    <row r="8609" spans="1:6" x14ac:dyDescent="0.25">
      <c r="A8609" s="4" t="s">
        <v>83</v>
      </c>
      <c r="B8609" s="4" t="s">
        <v>1</v>
      </c>
      <c r="C8609" s="4" t="s">
        <v>36</v>
      </c>
      <c r="D8609" s="4">
        <v>2008</v>
      </c>
      <c r="E8609" s="4">
        <v>0</v>
      </c>
      <c r="F8609" s="4" t="s">
        <v>29</v>
      </c>
    </row>
    <row r="8610" spans="1:6" x14ac:dyDescent="0.25">
      <c r="A8610" s="4" t="s">
        <v>83</v>
      </c>
      <c r="B8610" s="4" t="s">
        <v>1</v>
      </c>
      <c r="C8610" s="4" t="s">
        <v>36</v>
      </c>
      <c r="D8610" s="4">
        <v>2009</v>
      </c>
      <c r="E8610" s="4">
        <v>0</v>
      </c>
      <c r="F8610" s="4" t="s">
        <v>29</v>
      </c>
    </row>
    <row r="8611" spans="1:6" x14ac:dyDescent="0.25">
      <c r="A8611" s="4" t="s">
        <v>83</v>
      </c>
      <c r="B8611" s="4" t="s">
        <v>1</v>
      </c>
      <c r="C8611" s="4" t="s">
        <v>36</v>
      </c>
      <c r="D8611" s="4">
        <v>2010</v>
      </c>
      <c r="E8611" s="4">
        <v>0</v>
      </c>
      <c r="F8611" s="4" t="s">
        <v>29</v>
      </c>
    </row>
    <row r="8612" spans="1:6" x14ac:dyDescent="0.25">
      <c r="A8612" s="4" t="s">
        <v>83</v>
      </c>
      <c r="B8612" s="4" t="s">
        <v>1</v>
      </c>
      <c r="C8612" s="4" t="s">
        <v>36</v>
      </c>
      <c r="D8612" s="4">
        <v>2011</v>
      </c>
      <c r="E8612" s="4">
        <v>0</v>
      </c>
      <c r="F8612" s="4" t="s">
        <v>29</v>
      </c>
    </row>
    <row r="8613" spans="1:6" x14ac:dyDescent="0.25">
      <c r="A8613" s="4" t="s">
        <v>83</v>
      </c>
      <c r="B8613" s="4" t="s">
        <v>1</v>
      </c>
      <c r="C8613" s="4" t="s">
        <v>36</v>
      </c>
      <c r="D8613" s="4">
        <v>2012</v>
      </c>
      <c r="E8613" s="4">
        <v>0</v>
      </c>
      <c r="F8613" s="4" t="s">
        <v>29</v>
      </c>
    </row>
    <row r="8614" spans="1:6" x14ac:dyDescent="0.25">
      <c r="A8614" s="4" t="s">
        <v>83</v>
      </c>
      <c r="B8614" s="4" t="s">
        <v>1</v>
      </c>
      <c r="C8614" s="4" t="s">
        <v>36</v>
      </c>
      <c r="D8614" s="4">
        <v>2013</v>
      </c>
      <c r="E8614" s="4">
        <v>0</v>
      </c>
      <c r="F8614" s="4" t="s">
        <v>29</v>
      </c>
    </row>
    <row r="8615" spans="1:6" x14ac:dyDescent="0.25">
      <c r="A8615" s="4" t="s">
        <v>83</v>
      </c>
      <c r="B8615" s="4" t="s">
        <v>1</v>
      </c>
      <c r="C8615" s="4" t="s">
        <v>36</v>
      </c>
      <c r="D8615" s="4">
        <v>2014</v>
      </c>
      <c r="E8615" s="4">
        <v>0</v>
      </c>
      <c r="F8615" s="4" t="s">
        <v>29</v>
      </c>
    </row>
    <row r="8616" spans="1:6" x14ac:dyDescent="0.25">
      <c r="A8616" s="4" t="s">
        <v>83</v>
      </c>
      <c r="B8616" s="4" t="s">
        <v>1</v>
      </c>
      <c r="C8616" s="4" t="s">
        <v>36</v>
      </c>
      <c r="D8616" s="4">
        <v>2015</v>
      </c>
      <c r="E8616" s="4">
        <v>0</v>
      </c>
      <c r="F8616" s="4" t="s">
        <v>29</v>
      </c>
    </row>
    <row r="8617" spans="1:6" x14ac:dyDescent="0.25">
      <c r="A8617" s="4" t="s">
        <v>83</v>
      </c>
      <c r="B8617" s="4" t="s">
        <v>1</v>
      </c>
      <c r="C8617" s="4" t="s">
        <v>36</v>
      </c>
      <c r="D8617" s="4">
        <v>2016</v>
      </c>
      <c r="E8617" s="4">
        <v>0</v>
      </c>
      <c r="F8617" s="4" t="s">
        <v>29</v>
      </c>
    </row>
    <row r="8618" spans="1:6" x14ac:dyDescent="0.25">
      <c r="A8618" s="4" t="s">
        <v>83</v>
      </c>
      <c r="B8618" s="4" t="s">
        <v>1</v>
      </c>
      <c r="C8618" s="4" t="s">
        <v>36</v>
      </c>
      <c r="D8618" s="4">
        <v>2017</v>
      </c>
      <c r="E8618" s="4">
        <v>0</v>
      </c>
      <c r="F8618" s="4" t="s">
        <v>29</v>
      </c>
    </row>
    <row r="8619" spans="1:6" x14ac:dyDescent="0.25">
      <c r="A8619" s="4" t="s">
        <v>83</v>
      </c>
      <c r="B8619" s="4" t="s">
        <v>1</v>
      </c>
      <c r="C8619" s="4" t="s">
        <v>36</v>
      </c>
      <c r="D8619" s="4">
        <v>2018</v>
      </c>
      <c r="E8619" s="4">
        <v>0</v>
      </c>
      <c r="F8619" s="4" t="s">
        <v>29</v>
      </c>
    </row>
    <row r="8620" spans="1:6" x14ac:dyDescent="0.25">
      <c r="A8620" s="4" t="s">
        <v>83</v>
      </c>
      <c r="B8620" s="4" t="s">
        <v>1</v>
      </c>
      <c r="C8620" s="4" t="s">
        <v>36</v>
      </c>
      <c r="D8620" s="4">
        <v>2019</v>
      </c>
      <c r="E8620" s="4">
        <v>0</v>
      </c>
      <c r="F8620" s="4" t="s">
        <v>29</v>
      </c>
    </row>
    <row r="8621" spans="1:6" x14ac:dyDescent="0.25">
      <c r="A8621" s="4" t="s">
        <v>83</v>
      </c>
      <c r="B8621" s="4" t="s">
        <v>1</v>
      </c>
      <c r="C8621" s="4" t="s">
        <v>36</v>
      </c>
      <c r="D8621" s="4">
        <v>2020</v>
      </c>
      <c r="E8621" s="4">
        <v>0</v>
      </c>
      <c r="F8621" s="4" t="s">
        <v>29</v>
      </c>
    </row>
    <row r="8622" spans="1:6" x14ac:dyDescent="0.25">
      <c r="A8622" s="4" t="s">
        <v>83</v>
      </c>
      <c r="B8622" s="4" t="s">
        <v>1</v>
      </c>
      <c r="C8622" s="4" t="s">
        <v>36</v>
      </c>
      <c r="D8622" s="4">
        <v>2021</v>
      </c>
      <c r="E8622" s="4">
        <v>0</v>
      </c>
      <c r="F8622" s="4" t="s">
        <v>29</v>
      </c>
    </row>
    <row r="8623" spans="1:6" x14ac:dyDescent="0.25">
      <c r="A8623" s="4" t="s">
        <v>83</v>
      </c>
      <c r="B8623" s="4" t="s">
        <v>1</v>
      </c>
      <c r="C8623" s="4" t="s">
        <v>36</v>
      </c>
      <c r="D8623" s="4">
        <v>2022</v>
      </c>
      <c r="E8623" s="4">
        <v>0</v>
      </c>
      <c r="F8623" s="4" t="s">
        <v>29</v>
      </c>
    </row>
    <row r="8624" spans="1:6" x14ac:dyDescent="0.25">
      <c r="A8624" s="4" t="s">
        <v>83</v>
      </c>
      <c r="B8624" s="4" t="s">
        <v>1</v>
      </c>
      <c r="C8624" s="4" t="s">
        <v>36</v>
      </c>
      <c r="D8624" s="4">
        <v>2023</v>
      </c>
      <c r="E8624" s="4">
        <v>0</v>
      </c>
      <c r="F8624" s="4" t="s">
        <v>29</v>
      </c>
    </row>
    <row r="8625" spans="1:6" x14ac:dyDescent="0.25">
      <c r="A8625" s="4" t="s">
        <v>83</v>
      </c>
      <c r="B8625" s="4" t="s">
        <v>1</v>
      </c>
      <c r="C8625" s="4" t="s">
        <v>36</v>
      </c>
      <c r="D8625" s="4">
        <v>2024</v>
      </c>
      <c r="E8625" s="4">
        <v>0</v>
      </c>
      <c r="F8625" s="4" t="s">
        <v>29</v>
      </c>
    </row>
    <row r="8626" spans="1:6" x14ac:dyDescent="0.25">
      <c r="A8626" s="4" t="s">
        <v>83</v>
      </c>
      <c r="B8626" s="4" t="s">
        <v>1</v>
      </c>
      <c r="C8626" s="4" t="s">
        <v>36</v>
      </c>
      <c r="D8626" s="4">
        <v>2025</v>
      </c>
      <c r="E8626" s="4">
        <v>0</v>
      </c>
      <c r="F8626" s="4" t="s">
        <v>29</v>
      </c>
    </row>
    <row r="8627" spans="1:6" x14ac:dyDescent="0.25">
      <c r="A8627" s="4" t="s">
        <v>83</v>
      </c>
      <c r="B8627" s="4" t="s">
        <v>1</v>
      </c>
      <c r="C8627" s="4" t="s">
        <v>36</v>
      </c>
      <c r="D8627" s="4">
        <v>2026</v>
      </c>
      <c r="E8627" s="4">
        <v>0</v>
      </c>
      <c r="F8627" s="4" t="s">
        <v>29</v>
      </c>
    </row>
    <row r="8628" spans="1:6" x14ac:dyDescent="0.25">
      <c r="A8628" s="4" t="s">
        <v>83</v>
      </c>
      <c r="B8628" s="4" t="s">
        <v>1</v>
      </c>
      <c r="C8628" s="4" t="s">
        <v>36</v>
      </c>
      <c r="D8628" s="4">
        <v>2027</v>
      </c>
      <c r="E8628" s="4">
        <v>0</v>
      </c>
      <c r="F8628" s="4" t="s">
        <v>29</v>
      </c>
    </row>
    <row r="8629" spans="1:6" x14ac:dyDescent="0.25">
      <c r="A8629" s="4" t="s">
        <v>83</v>
      </c>
      <c r="B8629" s="4" t="s">
        <v>1</v>
      </c>
      <c r="C8629" s="4" t="s">
        <v>36</v>
      </c>
      <c r="D8629" s="4">
        <v>2028</v>
      </c>
      <c r="E8629" s="4">
        <v>0</v>
      </c>
      <c r="F8629" s="4" t="s">
        <v>29</v>
      </c>
    </row>
    <row r="8630" spans="1:6" x14ac:dyDescent="0.25">
      <c r="A8630" s="4" t="s">
        <v>83</v>
      </c>
      <c r="B8630" s="4" t="s">
        <v>1</v>
      </c>
      <c r="C8630" s="4" t="s">
        <v>36</v>
      </c>
      <c r="D8630" s="4">
        <v>2029</v>
      </c>
      <c r="E8630" s="4">
        <v>0</v>
      </c>
      <c r="F8630" s="4" t="s">
        <v>29</v>
      </c>
    </row>
    <row r="8631" spans="1:6" x14ac:dyDescent="0.25">
      <c r="A8631" s="4" t="s">
        <v>83</v>
      </c>
      <c r="B8631" s="4" t="s">
        <v>1</v>
      </c>
      <c r="C8631" s="4" t="s">
        <v>36</v>
      </c>
      <c r="D8631" s="4">
        <v>2030</v>
      </c>
      <c r="E8631" s="4">
        <v>0</v>
      </c>
      <c r="F8631" s="4" t="s">
        <v>29</v>
      </c>
    </row>
    <row r="8632" spans="1:6" x14ac:dyDescent="0.25">
      <c r="A8632" s="4" t="s">
        <v>83</v>
      </c>
      <c r="B8632" s="4" t="s">
        <v>1</v>
      </c>
      <c r="C8632" s="4" t="s">
        <v>36</v>
      </c>
      <c r="D8632" s="4">
        <v>2031</v>
      </c>
      <c r="E8632" s="4">
        <v>0</v>
      </c>
      <c r="F8632" s="4" t="s">
        <v>29</v>
      </c>
    </row>
    <row r="8633" spans="1:6" x14ac:dyDescent="0.25">
      <c r="A8633" s="4" t="s">
        <v>83</v>
      </c>
      <c r="B8633" s="4" t="s">
        <v>1</v>
      </c>
      <c r="C8633" s="4" t="s">
        <v>36</v>
      </c>
      <c r="D8633" s="4">
        <v>2032</v>
      </c>
      <c r="E8633" s="4">
        <v>0</v>
      </c>
      <c r="F8633" s="4" t="s">
        <v>29</v>
      </c>
    </row>
    <row r="8634" spans="1:6" x14ac:dyDescent="0.25">
      <c r="A8634" s="4" t="s">
        <v>83</v>
      </c>
      <c r="B8634" s="4" t="s">
        <v>1</v>
      </c>
      <c r="C8634" s="4" t="s">
        <v>36</v>
      </c>
      <c r="D8634" s="4">
        <v>2033</v>
      </c>
      <c r="E8634" s="4">
        <v>0</v>
      </c>
      <c r="F8634" s="4" t="s">
        <v>29</v>
      </c>
    </row>
    <row r="8635" spans="1:6" x14ac:dyDescent="0.25">
      <c r="A8635" s="4" t="s">
        <v>83</v>
      </c>
      <c r="B8635" s="4" t="s">
        <v>1</v>
      </c>
      <c r="C8635" s="4" t="s">
        <v>36</v>
      </c>
      <c r="D8635" s="4">
        <v>2034</v>
      </c>
      <c r="E8635" s="4">
        <v>0</v>
      </c>
      <c r="F8635" s="4" t="s">
        <v>29</v>
      </c>
    </row>
    <row r="8636" spans="1:6" x14ac:dyDescent="0.25">
      <c r="A8636" s="4" t="s">
        <v>83</v>
      </c>
      <c r="B8636" s="4" t="s">
        <v>1</v>
      </c>
      <c r="C8636" s="4" t="s">
        <v>36</v>
      </c>
      <c r="D8636" s="4">
        <v>2035</v>
      </c>
      <c r="E8636" s="4">
        <v>0</v>
      </c>
      <c r="F8636" s="4" t="s">
        <v>29</v>
      </c>
    </row>
    <row r="8637" spans="1:6" x14ac:dyDescent="0.25">
      <c r="A8637" s="4" t="s">
        <v>83</v>
      </c>
      <c r="B8637" s="4" t="s">
        <v>1</v>
      </c>
      <c r="C8637" s="4" t="s">
        <v>36</v>
      </c>
      <c r="D8637" s="4">
        <v>2036</v>
      </c>
      <c r="E8637" s="4">
        <v>0</v>
      </c>
      <c r="F8637" s="4" t="s">
        <v>29</v>
      </c>
    </row>
    <row r="8638" spans="1:6" x14ac:dyDescent="0.25">
      <c r="A8638" s="4" t="s">
        <v>83</v>
      </c>
      <c r="B8638" s="4" t="s">
        <v>1</v>
      </c>
      <c r="C8638" s="4" t="s">
        <v>36</v>
      </c>
      <c r="D8638" s="4">
        <v>2037</v>
      </c>
      <c r="E8638" s="4">
        <v>0</v>
      </c>
      <c r="F8638" s="4" t="s">
        <v>29</v>
      </c>
    </row>
    <row r="8639" spans="1:6" x14ac:dyDescent="0.25">
      <c r="A8639" s="4" t="s">
        <v>83</v>
      </c>
      <c r="B8639" s="4" t="s">
        <v>1</v>
      </c>
      <c r="C8639" s="4" t="s">
        <v>36</v>
      </c>
      <c r="D8639" s="4">
        <v>2038</v>
      </c>
      <c r="E8639" s="4">
        <v>0</v>
      </c>
      <c r="F8639" s="4" t="s">
        <v>29</v>
      </c>
    </row>
    <row r="8640" spans="1:6" x14ac:dyDescent="0.25">
      <c r="A8640" s="4" t="s">
        <v>83</v>
      </c>
      <c r="B8640" s="4" t="s">
        <v>1</v>
      </c>
      <c r="C8640" s="4" t="s">
        <v>36</v>
      </c>
      <c r="D8640" s="4">
        <v>2039</v>
      </c>
      <c r="E8640" s="4">
        <v>0</v>
      </c>
      <c r="F8640" s="4" t="s">
        <v>29</v>
      </c>
    </row>
    <row r="8641" spans="1:6" x14ac:dyDescent="0.25">
      <c r="A8641" s="4" t="s">
        <v>83</v>
      </c>
      <c r="B8641" s="4" t="s">
        <v>1</v>
      </c>
      <c r="C8641" s="4" t="s">
        <v>36</v>
      </c>
      <c r="D8641" s="4">
        <v>2040</v>
      </c>
      <c r="E8641" s="4">
        <v>0</v>
      </c>
      <c r="F8641" s="4" t="s">
        <v>29</v>
      </c>
    </row>
    <row r="8642" spans="1:6" x14ac:dyDescent="0.25">
      <c r="A8642" s="4" t="s">
        <v>83</v>
      </c>
      <c r="B8642" s="4" t="s">
        <v>2</v>
      </c>
      <c r="C8642" s="4" t="s">
        <v>36</v>
      </c>
      <c r="D8642" s="4">
        <v>2005</v>
      </c>
      <c r="E8642" s="4">
        <v>0</v>
      </c>
      <c r="F8642" s="4" t="s">
        <v>29</v>
      </c>
    </row>
    <row r="8643" spans="1:6" x14ac:dyDescent="0.25">
      <c r="A8643" s="4" t="s">
        <v>83</v>
      </c>
      <c r="B8643" s="4" t="s">
        <v>2</v>
      </c>
      <c r="C8643" s="4" t="s">
        <v>36</v>
      </c>
      <c r="D8643" s="4">
        <v>2006</v>
      </c>
      <c r="E8643" s="4">
        <v>0</v>
      </c>
      <c r="F8643" s="4" t="s">
        <v>29</v>
      </c>
    </row>
    <row r="8644" spans="1:6" x14ac:dyDescent="0.25">
      <c r="A8644" s="4" t="s">
        <v>83</v>
      </c>
      <c r="B8644" s="4" t="s">
        <v>2</v>
      </c>
      <c r="C8644" s="4" t="s">
        <v>36</v>
      </c>
      <c r="D8644" s="4">
        <v>2007</v>
      </c>
      <c r="E8644" s="4">
        <v>0</v>
      </c>
      <c r="F8644" s="4" t="s">
        <v>29</v>
      </c>
    </row>
    <row r="8645" spans="1:6" x14ac:dyDescent="0.25">
      <c r="A8645" s="4" t="s">
        <v>83</v>
      </c>
      <c r="B8645" s="4" t="s">
        <v>2</v>
      </c>
      <c r="C8645" s="4" t="s">
        <v>36</v>
      </c>
      <c r="D8645" s="4">
        <v>2008</v>
      </c>
      <c r="E8645" s="4">
        <v>0</v>
      </c>
      <c r="F8645" s="4" t="s">
        <v>29</v>
      </c>
    </row>
    <row r="8646" spans="1:6" x14ac:dyDescent="0.25">
      <c r="A8646" s="4" t="s">
        <v>83</v>
      </c>
      <c r="B8646" s="4" t="s">
        <v>2</v>
      </c>
      <c r="C8646" s="4" t="s">
        <v>36</v>
      </c>
      <c r="D8646" s="4">
        <v>2009</v>
      </c>
      <c r="E8646" s="4">
        <v>0</v>
      </c>
      <c r="F8646" s="4" t="s">
        <v>29</v>
      </c>
    </row>
    <row r="8647" spans="1:6" x14ac:dyDescent="0.25">
      <c r="A8647" s="4" t="s">
        <v>83</v>
      </c>
      <c r="B8647" s="4" t="s">
        <v>2</v>
      </c>
      <c r="C8647" s="4" t="s">
        <v>36</v>
      </c>
      <c r="D8647" s="4">
        <v>2010</v>
      </c>
      <c r="E8647" s="4">
        <v>0</v>
      </c>
      <c r="F8647" s="4" t="s">
        <v>29</v>
      </c>
    </row>
    <row r="8648" spans="1:6" x14ac:dyDescent="0.25">
      <c r="A8648" s="4" t="s">
        <v>83</v>
      </c>
      <c r="B8648" s="4" t="s">
        <v>2</v>
      </c>
      <c r="C8648" s="4" t="s">
        <v>36</v>
      </c>
      <c r="D8648" s="4">
        <v>2011</v>
      </c>
      <c r="E8648" s="4">
        <v>0</v>
      </c>
      <c r="F8648" s="4" t="s">
        <v>29</v>
      </c>
    </row>
    <row r="8649" spans="1:6" x14ac:dyDescent="0.25">
      <c r="A8649" s="4" t="s">
        <v>83</v>
      </c>
      <c r="B8649" s="4" t="s">
        <v>2</v>
      </c>
      <c r="C8649" s="4" t="s">
        <v>36</v>
      </c>
      <c r="D8649" s="4">
        <v>2012</v>
      </c>
      <c r="E8649" s="4">
        <v>0</v>
      </c>
      <c r="F8649" s="4" t="s">
        <v>29</v>
      </c>
    </row>
    <row r="8650" spans="1:6" x14ac:dyDescent="0.25">
      <c r="A8650" s="4" t="s">
        <v>83</v>
      </c>
      <c r="B8650" s="4" t="s">
        <v>2</v>
      </c>
      <c r="C8650" s="4" t="s">
        <v>36</v>
      </c>
      <c r="D8650" s="4">
        <v>2013</v>
      </c>
      <c r="E8650" s="4">
        <v>0</v>
      </c>
      <c r="F8650" s="4" t="s">
        <v>29</v>
      </c>
    </row>
    <row r="8651" spans="1:6" x14ac:dyDescent="0.25">
      <c r="A8651" s="4" t="s">
        <v>83</v>
      </c>
      <c r="B8651" s="4" t="s">
        <v>2</v>
      </c>
      <c r="C8651" s="4" t="s">
        <v>36</v>
      </c>
      <c r="D8651" s="4">
        <v>2014</v>
      </c>
      <c r="E8651" s="4">
        <v>0</v>
      </c>
      <c r="F8651" s="4" t="s">
        <v>29</v>
      </c>
    </row>
    <row r="8652" spans="1:6" x14ac:dyDescent="0.25">
      <c r="A8652" s="4" t="s">
        <v>83</v>
      </c>
      <c r="B8652" s="4" t="s">
        <v>2</v>
      </c>
      <c r="C8652" s="4" t="s">
        <v>36</v>
      </c>
      <c r="D8652" s="4">
        <v>2015</v>
      </c>
      <c r="E8652" s="4">
        <v>0</v>
      </c>
      <c r="F8652" s="4" t="s">
        <v>29</v>
      </c>
    </row>
    <row r="8653" spans="1:6" x14ac:dyDescent="0.25">
      <c r="A8653" s="4" t="s">
        <v>83</v>
      </c>
      <c r="B8653" s="4" t="s">
        <v>2</v>
      </c>
      <c r="C8653" s="4" t="s">
        <v>36</v>
      </c>
      <c r="D8653" s="4">
        <v>2016</v>
      </c>
      <c r="E8653" s="4">
        <v>0</v>
      </c>
      <c r="F8653" s="4" t="s">
        <v>29</v>
      </c>
    </row>
    <row r="8654" spans="1:6" x14ac:dyDescent="0.25">
      <c r="A8654" s="4" t="s">
        <v>83</v>
      </c>
      <c r="B8654" s="4" t="s">
        <v>2</v>
      </c>
      <c r="C8654" s="4" t="s">
        <v>36</v>
      </c>
      <c r="D8654" s="4">
        <v>2017</v>
      </c>
      <c r="E8654" s="4">
        <v>0</v>
      </c>
      <c r="F8654" s="4" t="s">
        <v>29</v>
      </c>
    </row>
    <row r="8655" spans="1:6" x14ac:dyDescent="0.25">
      <c r="A8655" s="4" t="s">
        <v>83</v>
      </c>
      <c r="B8655" s="4" t="s">
        <v>2</v>
      </c>
      <c r="C8655" s="4" t="s">
        <v>36</v>
      </c>
      <c r="D8655" s="4">
        <v>2018</v>
      </c>
      <c r="E8655" s="4">
        <v>0</v>
      </c>
      <c r="F8655" s="4" t="s">
        <v>29</v>
      </c>
    </row>
    <row r="8656" spans="1:6" x14ac:dyDescent="0.25">
      <c r="A8656" s="4" t="s">
        <v>83</v>
      </c>
      <c r="B8656" s="4" t="s">
        <v>2</v>
      </c>
      <c r="C8656" s="4" t="s">
        <v>36</v>
      </c>
      <c r="D8656" s="4">
        <v>2019</v>
      </c>
      <c r="E8656" s="4">
        <v>0</v>
      </c>
      <c r="F8656" s="4" t="s">
        <v>29</v>
      </c>
    </row>
    <row r="8657" spans="1:6" x14ac:dyDescent="0.25">
      <c r="A8657" s="4" t="s">
        <v>83</v>
      </c>
      <c r="B8657" s="4" t="s">
        <v>2</v>
      </c>
      <c r="C8657" s="4" t="s">
        <v>36</v>
      </c>
      <c r="D8657" s="4">
        <v>2020</v>
      </c>
      <c r="E8657" s="4">
        <v>0</v>
      </c>
      <c r="F8657" s="4" t="s">
        <v>29</v>
      </c>
    </row>
    <row r="8658" spans="1:6" x14ac:dyDescent="0.25">
      <c r="A8658" s="4" t="s">
        <v>83</v>
      </c>
      <c r="B8658" s="4" t="s">
        <v>2</v>
      </c>
      <c r="C8658" s="4" t="s">
        <v>36</v>
      </c>
      <c r="D8658" s="4">
        <v>2021</v>
      </c>
      <c r="E8658" s="4">
        <v>0</v>
      </c>
      <c r="F8658" s="4" t="s">
        <v>29</v>
      </c>
    </row>
    <row r="8659" spans="1:6" x14ac:dyDescent="0.25">
      <c r="A8659" s="4" t="s">
        <v>83</v>
      </c>
      <c r="B8659" s="4" t="s">
        <v>2</v>
      </c>
      <c r="C8659" s="4" t="s">
        <v>36</v>
      </c>
      <c r="D8659" s="4">
        <v>2022</v>
      </c>
      <c r="E8659" s="4">
        <v>0</v>
      </c>
      <c r="F8659" s="4" t="s">
        <v>29</v>
      </c>
    </row>
    <row r="8660" spans="1:6" x14ac:dyDescent="0.25">
      <c r="A8660" s="4" t="s">
        <v>83</v>
      </c>
      <c r="B8660" s="4" t="s">
        <v>2</v>
      </c>
      <c r="C8660" s="4" t="s">
        <v>36</v>
      </c>
      <c r="D8660" s="4">
        <v>2023</v>
      </c>
      <c r="E8660" s="4">
        <v>0</v>
      </c>
      <c r="F8660" s="4" t="s">
        <v>29</v>
      </c>
    </row>
    <row r="8661" spans="1:6" x14ac:dyDescent="0.25">
      <c r="A8661" s="4" t="s">
        <v>83</v>
      </c>
      <c r="B8661" s="4" t="s">
        <v>2</v>
      </c>
      <c r="C8661" s="4" t="s">
        <v>36</v>
      </c>
      <c r="D8661" s="4">
        <v>2024</v>
      </c>
      <c r="E8661" s="4">
        <v>0</v>
      </c>
      <c r="F8661" s="4" t="s">
        <v>29</v>
      </c>
    </row>
    <row r="8662" spans="1:6" x14ac:dyDescent="0.25">
      <c r="A8662" s="4" t="s">
        <v>83</v>
      </c>
      <c r="B8662" s="4" t="s">
        <v>2</v>
      </c>
      <c r="C8662" s="4" t="s">
        <v>36</v>
      </c>
      <c r="D8662" s="4">
        <v>2025</v>
      </c>
      <c r="E8662" s="4">
        <v>0</v>
      </c>
      <c r="F8662" s="4" t="s">
        <v>29</v>
      </c>
    </row>
    <row r="8663" spans="1:6" x14ac:dyDescent="0.25">
      <c r="A8663" s="4" t="s">
        <v>83</v>
      </c>
      <c r="B8663" s="4" t="s">
        <v>2</v>
      </c>
      <c r="C8663" s="4" t="s">
        <v>36</v>
      </c>
      <c r="D8663" s="4">
        <v>2026</v>
      </c>
      <c r="E8663" s="4">
        <v>0</v>
      </c>
      <c r="F8663" s="4" t="s">
        <v>29</v>
      </c>
    </row>
    <row r="8664" spans="1:6" x14ac:dyDescent="0.25">
      <c r="A8664" s="4" t="s">
        <v>83</v>
      </c>
      <c r="B8664" s="4" t="s">
        <v>2</v>
      </c>
      <c r="C8664" s="4" t="s">
        <v>36</v>
      </c>
      <c r="D8664" s="4">
        <v>2027</v>
      </c>
      <c r="E8664" s="4">
        <v>0</v>
      </c>
      <c r="F8664" s="4" t="s">
        <v>29</v>
      </c>
    </row>
    <row r="8665" spans="1:6" x14ac:dyDescent="0.25">
      <c r="A8665" s="4" t="s">
        <v>83</v>
      </c>
      <c r="B8665" s="4" t="s">
        <v>2</v>
      </c>
      <c r="C8665" s="4" t="s">
        <v>36</v>
      </c>
      <c r="D8665" s="4">
        <v>2028</v>
      </c>
      <c r="E8665" s="4">
        <v>0</v>
      </c>
      <c r="F8665" s="4" t="s">
        <v>29</v>
      </c>
    </row>
    <row r="8666" spans="1:6" x14ac:dyDescent="0.25">
      <c r="A8666" s="4" t="s">
        <v>83</v>
      </c>
      <c r="B8666" s="4" t="s">
        <v>2</v>
      </c>
      <c r="C8666" s="4" t="s">
        <v>36</v>
      </c>
      <c r="D8666" s="4">
        <v>2029</v>
      </c>
      <c r="E8666" s="4">
        <v>0</v>
      </c>
      <c r="F8666" s="4" t="s">
        <v>29</v>
      </c>
    </row>
    <row r="8667" spans="1:6" x14ac:dyDescent="0.25">
      <c r="A8667" s="4" t="s">
        <v>83</v>
      </c>
      <c r="B8667" s="4" t="s">
        <v>2</v>
      </c>
      <c r="C8667" s="4" t="s">
        <v>36</v>
      </c>
      <c r="D8667" s="4">
        <v>2030</v>
      </c>
      <c r="E8667" s="4">
        <v>0</v>
      </c>
      <c r="F8667" s="4" t="s">
        <v>29</v>
      </c>
    </row>
    <row r="8668" spans="1:6" x14ac:dyDescent="0.25">
      <c r="A8668" s="4" t="s">
        <v>83</v>
      </c>
      <c r="B8668" s="4" t="s">
        <v>2</v>
      </c>
      <c r="C8668" s="4" t="s">
        <v>36</v>
      </c>
      <c r="D8668" s="4">
        <v>2031</v>
      </c>
      <c r="E8668" s="4">
        <v>0</v>
      </c>
      <c r="F8668" s="4" t="s">
        <v>29</v>
      </c>
    </row>
    <row r="8669" spans="1:6" x14ac:dyDescent="0.25">
      <c r="A8669" s="4" t="s">
        <v>83</v>
      </c>
      <c r="B8669" s="4" t="s">
        <v>2</v>
      </c>
      <c r="C8669" s="4" t="s">
        <v>36</v>
      </c>
      <c r="D8669" s="4">
        <v>2032</v>
      </c>
      <c r="E8669" s="4">
        <v>0</v>
      </c>
      <c r="F8669" s="4" t="s">
        <v>29</v>
      </c>
    </row>
    <row r="8670" spans="1:6" x14ac:dyDescent="0.25">
      <c r="A8670" s="4" t="s">
        <v>83</v>
      </c>
      <c r="B8670" s="4" t="s">
        <v>2</v>
      </c>
      <c r="C8670" s="4" t="s">
        <v>36</v>
      </c>
      <c r="D8670" s="4">
        <v>2033</v>
      </c>
      <c r="E8670" s="4">
        <v>0</v>
      </c>
      <c r="F8670" s="4" t="s">
        <v>29</v>
      </c>
    </row>
    <row r="8671" spans="1:6" x14ac:dyDescent="0.25">
      <c r="A8671" s="4" t="s">
        <v>83</v>
      </c>
      <c r="B8671" s="4" t="s">
        <v>2</v>
      </c>
      <c r="C8671" s="4" t="s">
        <v>36</v>
      </c>
      <c r="D8671" s="4">
        <v>2034</v>
      </c>
      <c r="E8671" s="4">
        <v>0</v>
      </c>
      <c r="F8671" s="4" t="s">
        <v>29</v>
      </c>
    </row>
    <row r="8672" spans="1:6" x14ac:dyDescent="0.25">
      <c r="A8672" s="4" t="s">
        <v>83</v>
      </c>
      <c r="B8672" s="4" t="s">
        <v>2</v>
      </c>
      <c r="C8672" s="4" t="s">
        <v>36</v>
      </c>
      <c r="D8672" s="4">
        <v>2035</v>
      </c>
      <c r="E8672" s="4">
        <v>0</v>
      </c>
      <c r="F8672" s="4" t="s">
        <v>29</v>
      </c>
    </row>
    <row r="8673" spans="1:6" x14ac:dyDescent="0.25">
      <c r="A8673" s="4" t="s">
        <v>83</v>
      </c>
      <c r="B8673" s="4" t="s">
        <v>2</v>
      </c>
      <c r="C8673" s="4" t="s">
        <v>36</v>
      </c>
      <c r="D8673" s="4">
        <v>2036</v>
      </c>
      <c r="E8673" s="4">
        <v>0</v>
      </c>
      <c r="F8673" s="4" t="s">
        <v>29</v>
      </c>
    </row>
    <row r="8674" spans="1:6" x14ac:dyDescent="0.25">
      <c r="A8674" s="4" t="s">
        <v>83</v>
      </c>
      <c r="B8674" s="4" t="s">
        <v>2</v>
      </c>
      <c r="C8674" s="4" t="s">
        <v>36</v>
      </c>
      <c r="D8674" s="4">
        <v>2037</v>
      </c>
      <c r="E8674" s="4">
        <v>0</v>
      </c>
      <c r="F8674" s="4" t="s">
        <v>29</v>
      </c>
    </row>
    <row r="8675" spans="1:6" x14ac:dyDescent="0.25">
      <c r="A8675" s="4" t="s">
        <v>83</v>
      </c>
      <c r="B8675" s="4" t="s">
        <v>2</v>
      </c>
      <c r="C8675" s="4" t="s">
        <v>36</v>
      </c>
      <c r="D8675" s="4">
        <v>2038</v>
      </c>
      <c r="E8675" s="4">
        <v>0</v>
      </c>
      <c r="F8675" s="4" t="s">
        <v>29</v>
      </c>
    </row>
    <row r="8676" spans="1:6" x14ac:dyDescent="0.25">
      <c r="A8676" s="4" t="s">
        <v>83</v>
      </c>
      <c r="B8676" s="4" t="s">
        <v>2</v>
      </c>
      <c r="C8676" s="4" t="s">
        <v>36</v>
      </c>
      <c r="D8676" s="4">
        <v>2039</v>
      </c>
      <c r="E8676" s="4">
        <v>0</v>
      </c>
      <c r="F8676" s="4" t="s">
        <v>29</v>
      </c>
    </row>
    <row r="8677" spans="1:6" x14ac:dyDescent="0.25">
      <c r="A8677" s="4" t="s">
        <v>83</v>
      </c>
      <c r="B8677" s="4" t="s">
        <v>2</v>
      </c>
      <c r="C8677" s="4" t="s">
        <v>36</v>
      </c>
      <c r="D8677" s="4">
        <v>2040</v>
      </c>
      <c r="E8677" s="4">
        <v>0</v>
      </c>
      <c r="F8677" s="4" t="s">
        <v>29</v>
      </c>
    </row>
    <row r="8678" spans="1:6" x14ac:dyDescent="0.25">
      <c r="A8678" s="4" t="s">
        <v>83</v>
      </c>
      <c r="B8678" s="4" t="s">
        <v>3</v>
      </c>
      <c r="C8678" s="4" t="s">
        <v>36</v>
      </c>
      <c r="D8678" s="4">
        <v>2005</v>
      </c>
      <c r="E8678" s="4">
        <v>0</v>
      </c>
      <c r="F8678" s="4" t="s">
        <v>29</v>
      </c>
    </row>
    <row r="8679" spans="1:6" x14ac:dyDescent="0.25">
      <c r="A8679" s="4" t="s">
        <v>83</v>
      </c>
      <c r="B8679" s="4" t="s">
        <v>3</v>
      </c>
      <c r="C8679" s="4" t="s">
        <v>36</v>
      </c>
      <c r="D8679" s="4">
        <v>2006</v>
      </c>
      <c r="E8679" s="4">
        <v>0</v>
      </c>
      <c r="F8679" s="4" t="s">
        <v>29</v>
      </c>
    </row>
    <row r="8680" spans="1:6" x14ac:dyDescent="0.25">
      <c r="A8680" s="4" t="s">
        <v>83</v>
      </c>
      <c r="B8680" s="4" t="s">
        <v>3</v>
      </c>
      <c r="C8680" s="4" t="s">
        <v>36</v>
      </c>
      <c r="D8680" s="4">
        <v>2007</v>
      </c>
      <c r="E8680" s="4">
        <v>0</v>
      </c>
      <c r="F8680" s="4" t="s">
        <v>29</v>
      </c>
    </row>
    <row r="8681" spans="1:6" x14ac:dyDescent="0.25">
      <c r="A8681" s="4" t="s">
        <v>83</v>
      </c>
      <c r="B8681" s="4" t="s">
        <v>3</v>
      </c>
      <c r="C8681" s="4" t="s">
        <v>36</v>
      </c>
      <c r="D8681" s="4">
        <v>2008</v>
      </c>
      <c r="E8681" s="4">
        <v>0</v>
      </c>
      <c r="F8681" s="4" t="s">
        <v>29</v>
      </c>
    </row>
    <row r="8682" spans="1:6" x14ac:dyDescent="0.25">
      <c r="A8682" s="4" t="s">
        <v>83</v>
      </c>
      <c r="B8682" s="4" t="s">
        <v>3</v>
      </c>
      <c r="C8682" s="4" t="s">
        <v>36</v>
      </c>
      <c r="D8682" s="4">
        <v>2009</v>
      </c>
      <c r="E8682" s="4">
        <v>0</v>
      </c>
      <c r="F8682" s="4" t="s">
        <v>29</v>
      </c>
    </row>
    <row r="8683" spans="1:6" x14ac:dyDescent="0.25">
      <c r="A8683" s="4" t="s">
        <v>83</v>
      </c>
      <c r="B8683" s="4" t="s">
        <v>3</v>
      </c>
      <c r="C8683" s="4" t="s">
        <v>36</v>
      </c>
      <c r="D8683" s="4">
        <v>2010</v>
      </c>
      <c r="E8683" s="4">
        <v>0</v>
      </c>
      <c r="F8683" s="4" t="s">
        <v>29</v>
      </c>
    </row>
    <row r="8684" spans="1:6" x14ac:dyDescent="0.25">
      <c r="A8684" s="4" t="s">
        <v>83</v>
      </c>
      <c r="B8684" s="4" t="s">
        <v>3</v>
      </c>
      <c r="C8684" s="4" t="s">
        <v>36</v>
      </c>
      <c r="D8684" s="4">
        <v>2011</v>
      </c>
      <c r="E8684" s="4">
        <v>0</v>
      </c>
      <c r="F8684" s="4" t="s">
        <v>29</v>
      </c>
    </row>
    <row r="8685" spans="1:6" x14ac:dyDescent="0.25">
      <c r="A8685" s="4" t="s">
        <v>83</v>
      </c>
      <c r="B8685" s="4" t="s">
        <v>3</v>
      </c>
      <c r="C8685" s="4" t="s">
        <v>36</v>
      </c>
      <c r="D8685" s="4">
        <v>2012</v>
      </c>
      <c r="E8685" s="4">
        <v>0</v>
      </c>
      <c r="F8685" s="4" t="s">
        <v>29</v>
      </c>
    </row>
    <row r="8686" spans="1:6" x14ac:dyDescent="0.25">
      <c r="A8686" s="4" t="s">
        <v>83</v>
      </c>
      <c r="B8686" s="4" t="s">
        <v>3</v>
      </c>
      <c r="C8686" s="4" t="s">
        <v>36</v>
      </c>
      <c r="D8686" s="4">
        <v>2013</v>
      </c>
      <c r="E8686" s="4">
        <v>0</v>
      </c>
      <c r="F8686" s="4" t="s">
        <v>29</v>
      </c>
    </row>
    <row r="8687" spans="1:6" x14ac:dyDescent="0.25">
      <c r="A8687" s="4" t="s">
        <v>83</v>
      </c>
      <c r="B8687" s="4" t="s">
        <v>3</v>
      </c>
      <c r="C8687" s="4" t="s">
        <v>36</v>
      </c>
      <c r="D8687" s="4">
        <v>2014</v>
      </c>
      <c r="E8687" s="4">
        <v>0</v>
      </c>
      <c r="F8687" s="4" t="s">
        <v>29</v>
      </c>
    </row>
    <row r="8688" spans="1:6" x14ac:dyDescent="0.25">
      <c r="A8688" s="4" t="s">
        <v>83</v>
      </c>
      <c r="B8688" s="4" t="s">
        <v>3</v>
      </c>
      <c r="C8688" s="4" t="s">
        <v>36</v>
      </c>
      <c r="D8688" s="4">
        <v>2015</v>
      </c>
      <c r="E8688" s="4">
        <v>0</v>
      </c>
      <c r="F8688" s="4" t="s">
        <v>29</v>
      </c>
    </row>
    <row r="8689" spans="1:6" x14ac:dyDescent="0.25">
      <c r="A8689" s="4" t="s">
        <v>83</v>
      </c>
      <c r="B8689" s="4" t="s">
        <v>3</v>
      </c>
      <c r="C8689" s="4" t="s">
        <v>36</v>
      </c>
      <c r="D8689" s="4">
        <v>2016</v>
      </c>
      <c r="E8689" s="4">
        <v>0</v>
      </c>
      <c r="F8689" s="4" t="s">
        <v>29</v>
      </c>
    </row>
    <row r="8690" spans="1:6" x14ac:dyDescent="0.25">
      <c r="A8690" s="4" t="s">
        <v>83</v>
      </c>
      <c r="B8690" s="4" t="s">
        <v>3</v>
      </c>
      <c r="C8690" s="4" t="s">
        <v>36</v>
      </c>
      <c r="D8690" s="4">
        <v>2017</v>
      </c>
      <c r="E8690" s="4">
        <v>0</v>
      </c>
      <c r="F8690" s="4" t="s">
        <v>29</v>
      </c>
    </row>
    <row r="8691" spans="1:6" x14ac:dyDescent="0.25">
      <c r="A8691" s="4" t="s">
        <v>83</v>
      </c>
      <c r="B8691" s="4" t="s">
        <v>3</v>
      </c>
      <c r="C8691" s="4" t="s">
        <v>36</v>
      </c>
      <c r="D8691" s="4">
        <v>2018</v>
      </c>
      <c r="E8691" s="4">
        <v>0</v>
      </c>
      <c r="F8691" s="4" t="s">
        <v>29</v>
      </c>
    </row>
    <row r="8692" spans="1:6" x14ac:dyDescent="0.25">
      <c r="A8692" s="4" t="s">
        <v>83</v>
      </c>
      <c r="B8692" s="4" t="s">
        <v>3</v>
      </c>
      <c r="C8692" s="4" t="s">
        <v>36</v>
      </c>
      <c r="D8692" s="4">
        <v>2019</v>
      </c>
      <c r="E8692" s="4">
        <v>0</v>
      </c>
      <c r="F8692" s="4" t="s">
        <v>29</v>
      </c>
    </row>
    <row r="8693" spans="1:6" x14ac:dyDescent="0.25">
      <c r="A8693" s="4" t="s">
        <v>83</v>
      </c>
      <c r="B8693" s="4" t="s">
        <v>3</v>
      </c>
      <c r="C8693" s="4" t="s">
        <v>36</v>
      </c>
      <c r="D8693" s="4">
        <v>2020</v>
      </c>
      <c r="E8693" s="4">
        <v>0</v>
      </c>
      <c r="F8693" s="4" t="s">
        <v>29</v>
      </c>
    </row>
    <row r="8694" spans="1:6" x14ac:dyDescent="0.25">
      <c r="A8694" s="4" t="s">
        <v>83</v>
      </c>
      <c r="B8694" s="4" t="s">
        <v>3</v>
      </c>
      <c r="C8694" s="4" t="s">
        <v>36</v>
      </c>
      <c r="D8694" s="4">
        <v>2021</v>
      </c>
      <c r="E8694" s="4">
        <v>0</v>
      </c>
      <c r="F8694" s="4" t="s">
        <v>29</v>
      </c>
    </row>
    <row r="8695" spans="1:6" x14ac:dyDescent="0.25">
      <c r="A8695" s="4" t="s">
        <v>83</v>
      </c>
      <c r="B8695" s="4" t="s">
        <v>3</v>
      </c>
      <c r="C8695" s="4" t="s">
        <v>36</v>
      </c>
      <c r="D8695" s="4">
        <v>2022</v>
      </c>
      <c r="E8695" s="4">
        <v>0</v>
      </c>
      <c r="F8695" s="4" t="s">
        <v>29</v>
      </c>
    </row>
    <row r="8696" spans="1:6" x14ac:dyDescent="0.25">
      <c r="A8696" s="4" t="s">
        <v>83</v>
      </c>
      <c r="B8696" s="4" t="s">
        <v>3</v>
      </c>
      <c r="C8696" s="4" t="s">
        <v>36</v>
      </c>
      <c r="D8696" s="4">
        <v>2023</v>
      </c>
      <c r="E8696" s="4">
        <v>0</v>
      </c>
      <c r="F8696" s="4" t="s">
        <v>29</v>
      </c>
    </row>
    <row r="8697" spans="1:6" x14ac:dyDescent="0.25">
      <c r="A8697" s="4" t="s">
        <v>83</v>
      </c>
      <c r="B8697" s="4" t="s">
        <v>3</v>
      </c>
      <c r="C8697" s="4" t="s">
        <v>36</v>
      </c>
      <c r="D8697" s="4">
        <v>2024</v>
      </c>
      <c r="E8697" s="4">
        <v>0</v>
      </c>
      <c r="F8697" s="4" t="s">
        <v>29</v>
      </c>
    </row>
    <row r="8698" spans="1:6" x14ac:dyDescent="0.25">
      <c r="A8698" s="4" t="s">
        <v>83</v>
      </c>
      <c r="B8698" s="4" t="s">
        <v>3</v>
      </c>
      <c r="C8698" s="4" t="s">
        <v>36</v>
      </c>
      <c r="D8698" s="4">
        <v>2025</v>
      </c>
      <c r="E8698" s="4">
        <v>0</v>
      </c>
      <c r="F8698" s="4" t="s">
        <v>29</v>
      </c>
    </row>
    <row r="8699" spans="1:6" x14ac:dyDescent="0.25">
      <c r="A8699" s="4" t="s">
        <v>83</v>
      </c>
      <c r="B8699" s="4" t="s">
        <v>3</v>
      </c>
      <c r="C8699" s="4" t="s">
        <v>36</v>
      </c>
      <c r="D8699" s="4">
        <v>2026</v>
      </c>
      <c r="E8699" s="4">
        <v>0</v>
      </c>
      <c r="F8699" s="4" t="s">
        <v>29</v>
      </c>
    </row>
    <row r="8700" spans="1:6" x14ac:dyDescent="0.25">
      <c r="A8700" s="4" t="s">
        <v>83</v>
      </c>
      <c r="B8700" s="4" t="s">
        <v>3</v>
      </c>
      <c r="C8700" s="4" t="s">
        <v>36</v>
      </c>
      <c r="D8700" s="4">
        <v>2027</v>
      </c>
      <c r="E8700" s="4">
        <v>0</v>
      </c>
      <c r="F8700" s="4" t="s">
        <v>29</v>
      </c>
    </row>
    <row r="8701" spans="1:6" x14ac:dyDescent="0.25">
      <c r="A8701" s="4" t="s">
        <v>83</v>
      </c>
      <c r="B8701" s="4" t="s">
        <v>3</v>
      </c>
      <c r="C8701" s="4" t="s">
        <v>36</v>
      </c>
      <c r="D8701" s="4">
        <v>2028</v>
      </c>
      <c r="E8701" s="4">
        <v>0</v>
      </c>
      <c r="F8701" s="4" t="s">
        <v>29</v>
      </c>
    </row>
    <row r="8702" spans="1:6" x14ac:dyDescent="0.25">
      <c r="A8702" s="4" t="s">
        <v>83</v>
      </c>
      <c r="B8702" s="4" t="s">
        <v>3</v>
      </c>
      <c r="C8702" s="4" t="s">
        <v>36</v>
      </c>
      <c r="D8702" s="4">
        <v>2029</v>
      </c>
      <c r="E8702" s="4">
        <v>0</v>
      </c>
      <c r="F8702" s="4" t="s">
        <v>29</v>
      </c>
    </row>
    <row r="8703" spans="1:6" x14ac:dyDescent="0.25">
      <c r="A8703" s="4" t="s">
        <v>83</v>
      </c>
      <c r="B8703" s="4" t="s">
        <v>3</v>
      </c>
      <c r="C8703" s="4" t="s">
        <v>36</v>
      </c>
      <c r="D8703" s="4">
        <v>2030</v>
      </c>
      <c r="E8703" s="4">
        <v>0</v>
      </c>
      <c r="F8703" s="4" t="s">
        <v>29</v>
      </c>
    </row>
    <row r="8704" spans="1:6" x14ac:dyDescent="0.25">
      <c r="A8704" s="4" t="s">
        <v>83</v>
      </c>
      <c r="B8704" s="4" t="s">
        <v>3</v>
      </c>
      <c r="C8704" s="4" t="s">
        <v>36</v>
      </c>
      <c r="D8704" s="4">
        <v>2031</v>
      </c>
      <c r="E8704" s="4">
        <v>0</v>
      </c>
      <c r="F8704" s="4" t="s">
        <v>29</v>
      </c>
    </row>
    <row r="8705" spans="1:6" x14ac:dyDescent="0.25">
      <c r="A8705" s="4" t="s">
        <v>83</v>
      </c>
      <c r="B8705" s="4" t="s">
        <v>3</v>
      </c>
      <c r="C8705" s="4" t="s">
        <v>36</v>
      </c>
      <c r="D8705" s="4">
        <v>2032</v>
      </c>
      <c r="E8705" s="4">
        <v>0</v>
      </c>
      <c r="F8705" s="4" t="s">
        <v>29</v>
      </c>
    </row>
    <row r="8706" spans="1:6" x14ac:dyDescent="0.25">
      <c r="A8706" s="4" t="s">
        <v>83</v>
      </c>
      <c r="B8706" s="4" t="s">
        <v>3</v>
      </c>
      <c r="C8706" s="4" t="s">
        <v>36</v>
      </c>
      <c r="D8706" s="4">
        <v>2033</v>
      </c>
      <c r="E8706" s="4">
        <v>0</v>
      </c>
      <c r="F8706" s="4" t="s">
        <v>29</v>
      </c>
    </row>
    <row r="8707" spans="1:6" x14ac:dyDescent="0.25">
      <c r="A8707" s="4" t="s">
        <v>83</v>
      </c>
      <c r="B8707" s="4" t="s">
        <v>3</v>
      </c>
      <c r="C8707" s="4" t="s">
        <v>36</v>
      </c>
      <c r="D8707" s="4">
        <v>2034</v>
      </c>
      <c r="E8707" s="4">
        <v>0</v>
      </c>
      <c r="F8707" s="4" t="s">
        <v>29</v>
      </c>
    </row>
    <row r="8708" spans="1:6" x14ac:dyDescent="0.25">
      <c r="A8708" s="4" t="s">
        <v>83</v>
      </c>
      <c r="B8708" s="4" t="s">
        <v>3</v>
      </c>
      <c r="C8708" s="4" t="s">
        <v>36</v>
      </c>
      <c r="D8708" s="4">
        <v>2035</v>
      </c>
      <c r="E8708" s="4">
        <v>0</v>
      </c>
      <c r="F8708" s="4" t="s">
        <v>29</v>
      </c>
    </row>
    <row r="8709" spans="1:6" x14ac:dyDescent="0.25">
      <c r="A8709" s="4" t="s">
        <v>83</v>
      </c>
      <c r="B8709" s="4" t="s">
        <v>3</v>
      </c>
      <c r="C8709" s="4" t="s">
        <v>36</v>
      </c>
      <c r="D8709" s="4">
        <v>2036</v>
      </c>
      <c r="E8709" s="4">
        <v>0</v>
      </c>
      <c r="F8709" s="4" t="s">
        <v>29</v>
      </c>
    </row>
    <row r="8710" spans="1:6" x14ac:dyDescent="0.25">
      <c r="A8710" s="4" t="s">
        <v>83</v>
      </c>
      <c r="B8710" s="4" t="s">
        <v>3</v>
      </c>
      <c r="C8710" s="4" t="s">
        <v>36</v>
      </c>
      <c r="D8710" s="4">
        <v>2037</v>
      </c>
      <c r="E8710" s="4">
        <v>0</v>
      </c>
      <c r="F8710" s="4" t="s">
        <v>29</v>
      </c>
    </row>
    <row r="8711" spans="1:6" x14ac:dyDescent="0.25">
      <c r="A8711" s="4" t="s">
        <v>83</v>
      </c>
      <c r="B8711" s="4" t="s">
        <v>3</v>
      </c>
      <c r="C8711" s="4" t="s">
        <v>36</v>
      </c>
      <c r="D8711" s="4">
        <v>2038</v>
      </c>
      <c r="E8711" s="4">
        <v>0</v>
      </c>
      <c r="F8711" s="4" t="s">
        <v>29</v>
      </c>
    </row>
    <row r="8712" spans="1:6" x14ac:dyDescent="0.25">
      <c r="A8712" s="4" t="s">
        <v>83</v>
      </c>
      <c r="B8712" s="4" t="s">
        <v>3</v>
      </c>
      <c r="C8712" s="4" t="s">
        <v>36</v>
      </c>
      <c r="D8712" s="4">
        <v>2039</v>
      </c>
      <c r="E8712" s="4">
        <v>0</v>
      </c>
      <c r="F8712" s="4" t="s">
        <v>29</v>
      </c>
    </row>
    <row r="8713" spans="1:6" x14ac:dyDescent="0.25">
      <c r="A8713" s="4" t="s">
        <v>83</v>
      </c>
      <c r="B8713" s="4" t="s">
        <v>3</v>
      </c>
      <c r="C8713" s="4" t="s">
        <v>36</v>
      </c>
      <c r="D8713" s="4">
        <v>2040</v>
      </c>
      <c r="E8713" s="4">
        <v>0</v>
      </c>
      <c r="F8713" s="4" t="s">
        <v>29</v>
      </c>
    </row>
    <row r="8714" spans="1:6" x14ac:dyDescent="0.25">
      <c r="A8714" s="4" t="s">
        <v>83</v>
      </c>
      <c r="B8714" s="4" t="s">
        <v>4</v>
      </c>
      <c r="C8714" s="4" t="s">
        <v>36</v>
      </c>
      <c r="D8714" s="4">
        <v>2005</v>
      </c>
      <c r="E8714" s="4">
        <v>0</v>
      </c>
      <c r="F8714" s="4" t="s">
        <v>29</v>
      </c>
    </row>
    <row r="8715" spans="1:6" x14ac:dyDescent="0.25">
      <c r="A8715" s="4" t="s">
        <v>83</v>
      </c>
      <c r="B8715" s="4" t="s">
        <v>4</v>
      </c>
      <c r="C8715" s="4" t="s">
        <v>36</v>
      </c>
      <c r="D8715" s="4">
        <v>2006</v>
      </c>
      <c r="E8715" s="4">
        <v>0</v>
      </c>
      <c r="F8715" s="4" t="s">
        <v>29</v>
      </c>
    </row>
    <row r="8716" spans="1:6" x14ac:dyDescent="0.25">
      <c r="A8716" s="4" t="s">
        <v>83</v>
      </c>
      <c r="B8716" s="4" t="s">
        <v>4</v>
      </c>
      <c r="C8716" s="4" t="s">
        <v>36</v>
      </c>
      <c r="D8716" s="4">
        <v>2007</v>
      </c>
      <c r="E8716" s="4">
        <v>0</v>
      </c>
      <c r="F8716" s="4" t="s">
        <v>29</v>
      </c>
    </row>
    <row r="8717" spans="1:6" x14ac:dyDescent="0.25">
      <c r="A8717" s="4" t="s">
        <v>83</v>
      </c>
      <c r="B8717" s="4" t="s">
        <v>4</v>
      </c>
      <c r="C8717" s="4" t="s">
        <v>36</v>
      </c>
      <c r="D8717" s="4">
        <v>2008</v>
      </c>
      <c r="E8717" s="4">
        <v>0</v>
      </c>
      <c r="F8717" s="4" t="s">
        <v>29</v>
      </c>
    </row>
    <row r="8718" spans="1:6" x14ac:dyDescent="0.25">
      <c r="A8718" s="4" t="s">
        <v>83</v>
      </c>
      <c r="B8718" s="4" t="s">
        <v>4</v>
      </c>
      <c r="C8718" s="4" t="s">
        <v>36</v>
      </c>
      <c r="D8718" s="4">
        <v>2009</v>
      </c>
      <c r="E8718" s="4">
        <v>0</v>
      </c>
      <c r="F8718" s="4" t="s">
        <v>29</v>
      </c>
    </row>
    <row r="8719" spans="1:6" x14ac:dyDescent="0.25">
      <c r="A8719" s="4" t="s">
        <v>83</v>
      </c>
      <c r="B8719" s="4" t="s">
        <v>4</v>
      </c>
      <c r="C8719" s="4" t="s">
        <v>36</v>
      </c>
      <c r="D8719" s="4">
        <v>2010</v>
      </c>
      <c r="E8719" s="4">
        <v>0</v>
      </c>
      <c r="F8719" s="4" t="s">
        <v>29</v>
      </c>
    </row>
    <row r="8720" spans="1:6" x14ac:dyDescent="0.25">
      <c r="A8720" s="4" t="s">
        <v>83</v>
      </c>
      <c r="B8720" s="4" t="s">
        <v>4</v>
      </c>
      <c r="C8720" s="4" t="s">
        <v>36</v>
      </c>
      <c r="D8720" s="4">
        <v>2011</v>
      </c>
      <c r="E8720" s="4">
        <v>0</v>
      </c>
      <c r="F8720" s="4" t="s">
        <v>29</v>
      </c>
    </row>
    <row r="8721" spans="1:6" x14ac:dyDescent="0.25">
      <c r="A8721" s="4" t="s">
        <v>83</v>
      </c>
      <c r="B8721" s="4" t="s">
        <v>4</v>
      </c>
      <c r="C8721" s="4" t="s">
        <v>36</v>
      </c>
      <c r="D8721" s="4">
        <v>2012</v>
      </c>
      <c r="E8721" s="4">
        <v>0</v>
      </c>
      <c r="F8721" s="4" t="s">
        <v>29</v>
      </c>
    </row>
    <row r="8722" spans="1:6" x14ac:dyDescent="0.25">
      <c r="A8722" s="4" t="s">
        <v>83</v>
      </c>
      <c r="B8722" s="4" t="s">
        <v>4</v>
      </c>
      <c r="C8722" s="4" t="s">
        <v>36</v>
      </c>
      <c r="D8722" s="4">
        <v>2013</v>
      </c>
      <c r="E8722" s="4">
        <v>0</v>
      </c>
      <c r="F8722" s="4" t="s">
        <v>29</v>
      </c>
    </row>
    <row r="8723" spans="1:6" x14ac:dyDescent="0.25">
      <c r="A8723" s="4" t="s">
        <v>83</v>
      </c>
      <c r="B8723" s="4" t="s">
        <v>4</v>
      </c>
      <c r="C8723" s="4" t="s">
        <v>36</v>
      </c>
      <c r="D8723" s="4">
        <v>2014</v>
      </c>
      <c r="E8723" s="4">
        <v>0</v>
      </c>
      <c r="F8723" s="4" t="s">
        <v>29</v>
      </c>
    </row>
    <row r="8724" spans="1:6" x14ac:dyDescent="0.25">
      <c r="A8724" s="4" t="s">
        <v>83</v>
      </c>
      <c r="B8724" s="4" t="s">
        <v>4</v>
      </c>
      <c r="C8724" s="4" t="s">
        <v>36</v>
      </c>
      <c r="D8724" s="4">
        <v>2015</v>
      </c>
      <c r="E8724" s="4">
        <v>0</v>
      </c>
      <c r="F8724" s="4" t="s">
        <v>29</v>
      </c>
    </row>
    <row r="8725" spans="1:6" x14ac:dyDescent="0.25">
      <c r="A8725" s="4" t="s">
        <v>83</v>
      </c>
      <c r="B8725" s="4" t="s">
        <v>4</v>
      </c>
      <c r="C8725" s="4" t="s">
        <v>36</v>
      </c>
      <c r="D8725" s="4">
        <v>2016</v>
      </c>
      <c r="E8725" s="4">
        <v>0</v>
      </c>
      <c r="F8725" s="4" t="s">
        <v>29</v>
      </c>
    </row>
    <row r="8726" spans="1:6" x14ac:dyDescent="0.25">
      <c r="A8726" s="4" t="s">
        <v>83</v>
      </c>
      <c r="B8726" s="4" t="s">
        <v>4</v>
      </c>
      <c r="C8726" s="4" t="s">
        <v>36</v>
      </c>
      <c r="D8726" s="4">
        <v>2017</v>
      </c>
      <c r="E8726" s="4">
        <v>0</v>
      </c>
      <c r="F8726" s="4" t="s">
        <v>29</v>
      </c>
    </row>
    <row r="8727" spans="1:6" x14ac:dyDescent="0.25">
      <c r="A8727" s="4" t="s">
        <v>83</v>
      </c>
      <c r="B8727" s="4" t="s">
        <v>4</v>
      </c>
      <c r="C8727" s="4" t="s">
        <v>36</v>
      </c>
      <c r="D8727" s="4">
        <v>2018</v>
      </c>
      <c r="E8727" s="4">
        <v>0</v>
      </c>
      <c r="F8727" s="4" t="s">
        <v>29</v>
      </c>
    </row>
    <row r="8728" spans="1:6" x14ac:dyDescent="0.25">
      <c r="A8728" s="4" t="s">
        <v>83</v>
      </c>
      <c r="B8728" s="4" t="s">
        <v>4</v>
      </c>
      <c r="C8728" s="4" t="s">
        <v>36</v>
      </c>
      <c r="D8728" s="4">
        <v>2019</v>
      </c>
      <c r="E8728" s="4">
        <v>0</v>
      </c>
      <c r="F8728" s="4" t="s">
        <v>29</v>
      </c>
    </row>
    <row r="8729" spans="1:6" x14ac:dyDescent="0.25">
      <c r="A8729" s="4" t="s">
        <v>83</v>
      </c>
      <c r="B8729" s="4" t="s">
        <v>4</v>
      </c>
      <c r="C8729" s="4" t="s">
        <v>36</v>
      </c>
      <c r="D8729" s="4">
        <v>2020</v>
      </c>
      <c r="E8729" s="4">
        <v>0</v>
      </c>
      <c r="F8729" s="4" t="s">
        <v>29</v>
      </c>
    </row>
    <row r="8730" spans="1:6" x14ac:dyDescent="0.25">
      <c r="A8730" s="4" t="s">
        <v>83</v>
      </c>
      <c r="B8730" s="4" t="s">
        <v>4</v>
      </c>
      <c r="C8730" s="4" t="s">
        <v>36</v>
      </c>
      <c r="D8730" s="4">
        <v>2021</v>
      </c>
      <c r="E8730" s="4">
        <v>0</v>
      </c>
      <c r="F8730" s="4" t="s">
        <v>29</v>
      </c>
    </row>
    <row r="8731" spans="1:6" x14ac:dyDescent="0.25">
      <c r="A8731" s="4" t="s">
        <v>83</v>
      </c>
      <c r="B8731" s="4" t="s">
        <v>4</v>
      </c>
      <c r="C8731" s="4" t="s">
        <v>36</v>
      </c>
      <c r="D8731" s="4">
        <v>2022</v>
      </c>
      <c r="E8731" s="4">
        <v>0</v>
      </c>
      <c r="F8731" s="4" t="s">
        <v>29</v>
      </c>
    </row>
    <row r="8732" spans="1:6" x14ac:dyDescent="0.25">
      <c r="A8732" s="4" t="s">
        <v>83</v>
      </c>
      <c r="B8732" s="4" t="s">
        <v>4</v>
      </c>
      <c r="C8732" s="4" t="s">
        <v>36</v>
      </c>
      <c r="D8732" s="4">
        <v>2023</v>
      </c>
      <c r="E8732" s="4">
        <v>0</v>
      </c>
      <c r="F8732" s="4" t="s">
        <v>29</v>
      </c>
    </row>
    <row r="8733" spans="1:6" x14ac:dyDescent="0.25">
      <c r="A8733" s="4" t="s">
        <v>83</v>
      </c>
      <c r="B8733" s="4" t="s">
        <v>4</v>
      </c>
      <c r="C8733" s="4" t="s">
        <v>36</v>
      </c>
      <c r="D8733" s="4">
        <v>2024</v>
      </c>
      <c r="E8733" s="4">
        <v>0</v>
      </c>
      <c r="F8733" s="4" t="s">
        <v>29</v>
      </c>
    </row>
    <row r="8734" spans="1:6" x14ac:dyDescent="0.25">
      <c r="A8734" s="4" t="s">
        <v>83</v>
      </c>
      <c r="B8734" s="4" t="s">
        <v>4</v>
      </c>
      <c r="C8734" s="4" t="s">
        <v>36</v>
      </c>
      <c r="D8734" s="4">
        <v>2025</v>
      </c>
      <c r="E8734" s="4">
        <v>0</v>
      </c>
      <c r="F8734" s="4" t="s">
        <v>29</v>
      </c>
    </row>
    <row r="8735" spans="1:6" x14ac:dyDescent="0.25">
      <c r="A8735" s="4" t="s">
        <v>83</v>
      </c>
      <c r="B8735" s="4" t="s">
        <v>4</v>
      </c>
      <c r="C8735" s="4" t="s">
        <v>36</v>
      </c>
      <c r="D8735" s="4">
        <v>2026</v>
      </c>
      <c r="E8735" s="4">
        <v>0</v>
      </c>
      <c r="F8735" s="4" t="s">
        <v>29</v>
      </c>
    </row>
    <row r="8736" spans="1:6" x14ac:dyDescent="0.25">
      <c r="A8736" s="4" t="s">
        <v>83</v>
      </c>
      <c r="B8736" s="4" t="s">
        <v>4</v>
      </c>
      <c r="C8736" s="4" t="s">
        <v>36</v>
      </c>
      <c r="D8736" s="4">
        <v>2027</v>
      </c>
      <c r="E8736" s="4">
        <v>0</v>
      </c>
      <c r="F8736" s="4" t="s">
        <v>29</v>
      </c>
    </row>
    <row r="8737" spans="1:6" x14ac:dyDescent="0.25">
      <c r="A8737" s="4" t="s">
        <v>83</v>
      </c>
      <c r="B8737" s="4" t="s">
        <v>4</v>
      </c>
      <c r="C8737" s="4" t="s">
        <v>36</v>
      </c>
      <c r="D8737" s="4">
        <v>2028</v>
      </c>
      <c r="E8737" s="4">
        <v>0</v>
      </c>
      <c r="F8737" s="4" t="s">
        <v>29</v>
      </c>
    </row>
    <row r="8738" spans="1:6" x14ac:dyDescent="0.25">
      <c r="A8738" s="4" t="s">
        <v>83</v>
      </c>
      <c r="B8738" s="4" t="s">
        <v>4</v>
      </c>
      <c r="C8738" s="4" t="s">
        <v>36</v>
      </c>
      <c r="D8738" s="4">
        <v>2029</v>
      </c>
      <c r="E8738" s="4">
        <v>0</v>
      </c>
      <c r="F8738" s="4" t="s">
        <v>29</v>
      </c>
    </row>
    <row r="8739" spans="1:6" x14ac:dyDescent="0.25">
      <c r="A8739" s="4" t="s">
        <v>83</v>
      </c>
      <c r="B8739" s="4" t="s">
        <v>4</v>
      </c>
      <c r="C8739" s="4" t="s">
        <v>36</v>
      </c>
      <c r="D8739" s="4">
        <v>2030</v>
      </c>
      <c r="E8739" s="4">
        <v>0</v>
      </c>
      <c r="F8739" s="4" t="s">
        <v>29</v>
      </c>
    </row>
    <row r="8740" spans="1:6" x14ac:dyDescent="0.25">
      <c r="A8740" s="4" t="s">
        <v>83</v>
      </c>
      <c r="B8740" s="4" t="s">
        <v>4</v>
      </c>
      <c r="C8740" s="4" t="s">
        <v>36</v>
      </c>
      <c r="D8740" s="4">
        <v>2031</v>
      </c>
      <c r="E8740" s="4">
        <v>0</v>
      </c>
      <c r="F8740" s="4" t="s">
        <v>29</v>
      </c>
    </row>
    <row r="8741" spans="1:6" x14ac:dyDescent="0.25">
      <c r="A8741" s="4" t="s">
        <v>83</v>
      </c>
      <c r="B8741" s="4" t="s">
        <v>4</v>
      </c>
      <c r="C8741" s="4" t="s">
        <v>36</v>
      </c>
      <c r="D8741" s="4">
        <v>2032</v>
      </c>
      <c r="E8741" s="4">
        <v>0</v>
      </c>
      <c r="F8741" s="4" t="s">
        <v>29</v>
      </c>
    </row>
    <row r="8742" spans="1:6" x14ac:dyDescent="0.25">
      <c r="A8742" s="4" t="s">
        <v>83</v>
      </c>
      <c r="B8742" s="4" t="s">
        <v>4</v>
      </c>
      <c r="C8742" s="4" t="s">
        <v>36</v>
      </c>
      <c r="D8742" s="4">
        <v>2033</v>
      </c>
      <c r="E8742" s="4">
        <v>0</v>
      </c>
      <c r="F8742" s="4" t="s">
        <v>29</v>
      </c>
    </row>
    <row r="8743" spans="1:6" x14ac:dyDescent="0.25">
      <c r="A8743" s="4" t="s">
        <v>83</v>
      </c>
      <c r="B8743" s="4" t="s">
        <v>4</v>
      </c>
      <c r="C8743" s="4" t="s">
        <v>36</v>
      </c>
      <c r="D8743" s="4">
        <v>2034</v>
      </c>
      <c r="E8743" s="4">
        <v>0</v>
      </c>
      <c r="F8743" s="4" t="s">
        <v>29</v>
      </c>
    </row>
    <row r="8744" spans="1:6" x14ac:dyDescent="0.25">
      <c r="A8744" s="4" t="s">
        <v>83</v>
      </c>
      <c r="B8744" s="4" t="s">
        <v>4</v>
      </c>
      <c r="C8744" s="4" t="s">
        <v>36</v>
      </c>
      <c r="D8744" s="4">
        <v>2035</v>
      </c>
      <c r="E8744" s="4">
        <v>0</v>
      </c>
      <c r="F8744" s="4" t="s">
        <v>29</v>
      </c>
    </row>
    <row r="8745" spans="1:6" x14ac:dyDescent="0.25">
      <c r="A8745" s="4" t="s">
        <v>83</v>
      </c>
      <c r="B8745" s="4" t="s">
        <v>4</v>
      </c>
      <c r="C8745" s="4" t="s">
        <v>36</v>
      </c>
      <c r="D8745" s="4">
        <v>2036</v>
      </c>
      <c r="E8745" s="4">
        <v>0</v>
      </c>
      <c r="F8745" s="4" t="s">
        <v>29</v>
      </c>
    </row>
    <row r="8746" spans="1:6" x14ac:dyDescent="0.25">
      <c r="A8746" s="4" t="s">
        <v>83</v>
      </c>
      <c r="B8746" s="4" t="s">
        <v>4</v>
      </c>
      <c r="C8746" s="4" t="s">
        <v>36</v>
      </c>
      <c r="D8746" s="4">
        <v>2037</v>
      </c>
      <c r="E8746" s="4">
        <v>0</v>
      </c>
      <c r="F8746" s="4" t="s">
        <v>29</v>
      </c>
    </row>
    <row r="8747" spans="1:6" x14ac:dyDescent="0.25">
      <c r="A8747" s="4" t="s">
        <v>83</v>
      </c>
      <c r="B8747" s="4" t="s">
        <v>4</v>
      </c>
      <c r="C8747" s="4" t="s">
        <v>36</v>
      </c>
      <c r="D8747" s="4">
        <v>2038</v>
      </c>
      <c r="E8747" s="4">
        <v>0</v>
      </c>
      <c r="F8747" s="4" t="s">
        <v>29</v>
      </c>
    </row>
    <row r="8748" spans="1:6" x14ac:dyDescent="0.25">
      <c r="A8748" s="4" t="s">
        <v>83</v>
      </c>
      <c r="B8748" s="4" t="s">
        <v>4</v>
      </c>
      <c r="C8748" s="4" t="s">
        <v>36</v>
      </c>
      <c r="D8748" s="4">
        <v>2039</v>
      </c>
      <c r="E8748" s="4">
        <v>0</v>
      </c>
      <c r="F8748" s="4" t="s">
        <v>29</v>
      </c>
    </row>
    <row r="8749" spans="1:6" x14ac:dyDescent="0.25">
      <c r="A8749" s="4" t="s">
        <v>83</v>
      </c>
      <c r="B8749" s="4" t="s">
        <v>4</v>
      </c>
      <c r="C8749" s="4" t="s">
        <v>36</v>
      </c>
      <c r="D8749" s="4">
        <v>2040</v>
      </c>
      <c r="E8749" s="4">
        <v>0</v>
      </c>
      <c r="F8749" s="4" t="s">
        <v>29</v>
      </c>
    </row>
    <row r="8750" spans="1:6" x14ac:dyDescent="0.25">
      <c r="A8750" s="4" t="s">
        <v>83</v>
      </c>
      <c r="B8750" s="4" t="s">
        <v>5</v>
      </c>
      <c r="C8750" s="4" t="s">
        <v>36</v>
      </c>
      <c r="D8750" s="4">
        <v>2005</v>
      </c>
      <c r="E8750" s="4">
        <v>0</v>
      </c>
      <c r="F8750" s="4" t="s">
        <v>29</v>
      </c>
    </row>
    <row r="8751" spans="1:6" x14ac:dyDescent="0.25">
      <c r="A8751" s="4" t="s">
        <v>83</v>
      </c>
      <c r="B8751" s="4" t="s">
        <v>5</v>
      </c>
      <c r="C8751" s="4" t="s">
        <v>36</v>
      </c>
      <c r="D8751" s="4">
        <v>2006</v>
      </c>
      <c r="E8751" s="4">
        <v>0</v>
      </c>
      <c r="F8751" s="4" t="s">
        <v>29</v>
      </c>
    </row>
    <row r="8752" spans="1:6" x14ac:dyDescent="0.25">
      <c r="A8752" s="4" t="s">
        <v>83</v>
      </c>
      <c r="B8752" s="4" t="s">
        <v>5</v>
      </c>
      <c r="C8752" s="4" t="s">
        <v>36</v>
      </c>
      <c r="D8752" s="4">
        <v>2007</v>
      </c>
      <c r="E8752" s="4">
        <v>0</v>
      </c>
      <c r="F8752" s="4" t="s">
        <v>29</v>
      </c>
    </row>
    <row r="8753" spans="1:6" x14ac:dyDescent="0.25">
      <c r="A8753" s="4" t="s">
        <v>83</v>
      </c>
      <c r="B8753" s="4" t="s">
        <v>5</v>
      </c>
      <c r="C8753" s="4" t="s">
        <v>36</v>
      </c>
      <c r="D8753" s="4">
        <v>2008</v>
      </c>
      <c r="E8753" s="4">
        <v>0</v>
      </c>
      <c r="F8753" s="4" t="s">
        <v>29</v>
      </c>
    </row>
    <row r="8754" spans="1:6" x14ac:dyDescent="0.25">
      <c r="A8754" s="4" t="s">
        <v>83</v>
      </c>
      <c r="B8754" s="4" t="s">
        <v>5</v>
      </c>
      <c r="C8754" s="4" t="s">
        <v>36</v>
      </c>
      <c r="D8754" s="4">
        <v>2009</v>
      </c>
      <c r="E8754" s="4">
        <v>0</v>
      </c>
      <c r="F8754" s="4" t="s">
        <v>29</v>
      </c>
    </row>
    <row r="8755" spans="1:6" x14ac:dyDescent="0.25">
      <c r="A8755" s="4" t="s">
        <v>83</v>
      </c>
      <c r="B8755" s="4" t="s">
        <v>5</v>
      </c>
      <c r="C8755" s="4" t="s">
        <v>36</v>
      </c>
      <c r="D8755" s="4">
        <v>2010</v>
      </c>
      <c r="E8755" s="4">
        <v>0</v>
      </c>
      <c r="F8755" s="4" t="s">
        <v>29</v>
      </c>
    </row>
    <row r="8756" spans="1:6" x14ac:dyDescent="0.25">
      <c r="A8756" s="4" t="s">
        <v>83</v>
      </c>
      <c r="B8756" s="4" t="s">
        <v>5</v>
      </c>
      <c r="C8756" s="4" t="s">
        <v>36</v>
      </c>
      <c r="D8756" s="4">
        <v>2011</v>
      </c>
      <c r="E8756" s="4">
        <v>0</v>
      </c>
      <c r="F8756" s="4" t="s">
        <v>29</v>
      </c>
    </row>
    <row r="8757" spans="1:6" x14ac:dyDescent="0.25">
      <c r="A8757" s="4" t="s">
        <v>83</v>
      </c>
      <c r="B8757" s="4" t="s">
        <v>5</v>
      </c>
      <c r="C8757" s="4" t="s">
        <v>36</v>
      </c>
      <c r="D8757" s="4">
        <v>2012</v>
      </c>
      <c r="E8757" s="4">
        <v>0</v>
      </c>
      <c r="F8757" s="4" t="s">
        <v>29</v>
      </c>
    </row>
    <row r="8758" spans="1:6" x14ac:dyDescent="0.25">
      <c r="A8758" s="4" t="s">
        <v>83</v>
      </c>
      <c r="B8758" s="4" t="s">
        <v>5</v>
      </c>
      <c r="C8758" s="4" t="s">
        <v>36</v>
      </c>
      <c r="D8758" s="4">
        <v>2013</v>
      </c>
      <c r="E8758" s="4">
        <v>0</v>
      </c>
      <c r="F8758" s="4" t="s">
        <v>29</v>
      </c>
    </row>
    <row r="8759" spans="1:6" x14ac:dyDescent="0.25">
      <c r="A8759" s="4" t="s">
        <v>83</v>
      </c>
      <c r="B8759" s="4" t="s">
        <v>5</v>
      </c>
      <c r="C8759" s="4" t="s">
        <v>36</v>
      </c>
      <c r="D8759" s="4">
        <v>2014</v>
      </c>
      <c r="E8759" s="4">
        <v>0</v>
      </c>
      <c r="F8759" s="4" t="s">
        <v>29</v>
      </c>
    </row>
    <row r="8760" spans="1:6" x14ac:dyDescent="0.25">
      <c r="A8760" s="4" t="s">
        <v>83</v>
      </c>
      <c r="B8760" s="4" t="s">
        <v>5</v>
      </c>
      <c r="C8760" s="4" t="s">
        <v>36</v>
      </c>
      <c r="D8760" s="4">
        <v>2015</v>
      </c>
      <c r="E8760" s="4">
        <v>0</v>
      </c>
      <c r="F8760" s="4" t="s">
        <v>29</v>
      </c>
    </row>
    <row r="8761" spans="1:6" x14ac:dyDescent="0.25">
      <c r="A8761" s="4" t="s">
        <v>83</v>
      </c>
      <c r="B8761" s="4" t="s">
        <v>5</v>
      </c>
      <c r="C8761" s="4" t="s">
        <v>36</v>
      </c>
      <c r="D8761" s="4">
        <v>2016</v>
      </c>
      <c r="E8761" s="4">
        <v>0</v>
      </c>
      <c r="F8761" s="4" t="s">
        <v>29</v>
      </c>
    </row>
    <row r="8762" spans="1:6" x14ac:dyDescent="0.25">
      <c r="A8762" s="4" t="s">
        <v>83</v>
      </c>
      <c r="B8762" s="4" t="s">
        <v>5</v>
      </c>
      <c r="C8762" s="4" t="s">
        <v>36</v>
      </c>
      <c r="D8762" s="4">
        <v>2017</v>
      </c>
      <c r="E8762" s="4">
        <v>0</v>
      </c>
      <c r="F8762" s="4" t="s">
        <v>29</v>
      </c>
    </row>
    <row r="8763" spans="1:6" x14ac:dyDescent="0.25">
      <c r="A8763" s="4" t="s">
        <v>83</v>
      </c>
      <c r="B8763" s="4" t="s">
        <v>5</v>
      </c>
      <c r="C8763" s="4" t="s">
        <v>36</v>
      </c>
      <c r="D8763" s="4">
        <v>2018</v>
      </c>
      <c r="E8763" s="4">
        <v>0</v>
      </c>
      <c r="F8763" s="4" t="s">
        <v>29</v>
      </c>
    </row>
    <row r="8764" spans="1:6" x14ac:dyDescent="0.25">
      <c r="A8764" s="4" t="s">
        <v>83</v>
      </c>
      <c r="B8764" s="4" t="s">
        <v>5</v>
      </c>
      <c r="C8764" s="4" t="s">
        <v>36</v>
      </c>
      <c r="D8764" s="4">
        <v>2019</v>
      </c>
      <c r="E8764" s="4">
        <v>0</v>
      </c>
      <c r="F8764" s="4" t="s">
        <v>29</v>
      </c>
    </row>
    <row r="8765" spans="1:6" x14ac:dyDescent="0.25">
      <c r="A8765" s="4" t="s">
        <v>83</v>
      </c>
      <c r="B8765" s="4" t="s">
        <v>5</v>
      </c>
      <c r="C8765" s="4" t="s">
        <v>36</v>
      </c>
      <c r="D8765" s="4">
        <v>2020</v>
      </c>
      <c r="E8765" s="4">
        <v>0</v>
      </c>
      <c r="F8765" s="4" t="s">
        <v>29</v>
      </c>
    </row>
    <row r="8766" spans="1:6" x14ac:dyDescent="0.25">
      <c r="A8766" s="4" t="s">
        <v>83</v>
      </c>
      <c r="B8766" s="4" t="s">
        <v>5</v>
      </c>
      <c r="C8766" s="4" t="s">
        <v>36</v>
      </c>
      <c r="D8766" s="4">
        <v>2021</v>
      </c>
      <c r="E8766" s="4">
        <v>0</v>
      </c>
      <c r="F8766" s="4" t="s">
        <v>29</v>
      </c>
    </row>
    <row r="8767" spans="1:6" x14ac:dyDescent="0.25">
      <c r="A8767" s="4" t="s">
        <v>83</v>
      </c>
      <c r="B8767" s="4" t="s">
        <v>5</v>
      </c>
      <c r="C8767" s="4" t="s">
        <v>36</v>
      </c>
      <c r="D8767" s="4">
        <v>2022</v>
      </c>
      <c r="E8767" s="4">
        <v>0</v>
      </c>
      <c r="F8767" s="4" t="s">
        <v>29</v>
      </c>
    </row>
    <row r="8768" spans="1:6" x14ac:dyDescent="0.25">
      <c r="A8768" s="4" t="s">
        <v>83</v>
      </c>
      <c r="B8768" s="4" t="s">
        <v>5</v>
      </c>
      <c r="C8768" s="4" t="s">
        <v>36</v>
      </c>
      <c r="D8768" s="4">
        <v>2023</v>
      </c>
      <c r="E8768" s="4">
        <v>0</v>
      </c>
      <c r="F8768" s="4" t="s">
        <v>29</v>
      </c>
    </row>
    <row r="8769" spans="1:6" x14ac:dyDescent="0.25">
      <c r="A8769" s="4" t="s">
        <v>83</v>
      </c>
      <c r="B8769" s="4" t="s">
        <v>5</v>
      </c>
      <c r="C8769" s="4" t="s">
        <v>36</v>
      </c>
      <c r="D8769" s="4">
        <v>2024</v>
      </c>
      <c r="E8769" s="4">
        <v>0</v>
      </c>
      <c r="F8769" s="4" t="s">
        <v>29</v>
      </c>
    </row>
    <row r="8770" spans="1:6" x14ac:dyDescent="0.25">
      <c r="A8770" s="4" t="s">
        <v>83</v>
      </c>
      <c r="B8770" s="4" t="s">
        <v>5</v>
      </c>
      <c r="C8770" s="4" t="s">
        <v>36</v>
      </c>
      <c r="D8770" s="4">
        <v>2025</v>
      </c>
      <c r="E8770" s="4">
        <v>0</v>
      </c>
      <c r="F8770" s="4" t="s">
        <v>29</v>
      </c>
    </row>
    <row r="8771" spans="1:6" x14ac:dyDescent="0.25">
      <c r="A8771" s="4" t="s">
        <v>83</v>
      </c>
      <c r="B8771" s="4" t="s">
        <v>5</v>
      </c>
      <c r="C8771" s="4" t="s">
        <v>36</v>
      </c>
      <c r="D8771" s="4">
        <v>2026</v>
      </c>
      <c r="E8771" s="4">
        <v>0</v>
      </c>
      <c r="F8771" s="4" t="s">
        <v>29</v>
      </c>
    </row>
    <row r="8772" spans="1:6" x14ac:dyDescent="0.25">
      <c r="A8772" s="4" t="s">
        <v>83</v>
      </c>
      <c r="B8772" s="4" t="s">
        <v>5</v>
      </c>
      <c r="C8772" s="4" t="s">
        <v>36</v>
      </c>
      <c r="D8772" s="4">
        <v>2027</v>
      </c>
      <c r="E8772" s="4">
        <v>0</v>
      </c>
      <c r="F8772" s="4" t="s">
        <v>29</v>
      </c>
    </row>
    <row r="8773" spans="1:6" x14ac:dyDescent="0.25">
      <c r="A8773" s="4" t="s">
        <v>83</v>
      </c>
      <c r="B8773" s="4" t="s">
        <v>5</v>
      </c>
      <c r="C8773" s="4" t="s">
        <v>36</v>
      </c>
      <c r="D8773" s="4">
        <v>2028</v>
      </c>
      <c r="E8773" s="4">
        <v>0</v>
      </c>
      <c r="F8773" s="4" t="s">
        <v>29</v>
      </c>
    </row>
    <row r="8774" spans="1:6" x14ac:dyDescent="0.25">
      <c r="A8774" s="4" t="s">
        <v>83</v>
      </c>
      <c r="B8774" s="4" t="s">
        <v>5</v>
      </c>
      <c r="C8774" s="4" t="s">
        <v>36</v>
      </c>
      <c r="D8774" s="4">
        <v>2029</v>
      </c>
      <c r="E8774" s="4">
        <v>0</v>
      </c>
      <c r="F8774" s="4" t="s">
        <v>29</v>
      </c>
    </row>
    <row r="8775" spans="1:6" x14ac:dyDescent="0.25">
      <c r="A8775" s="4" t="s">
        <v>83</v>
      </c>
      <c r="B8775" s="4" t="s">
        <v>5</v>
      </c>
      <c r="C8775" s="4" t="s">
        <v>36</v>
      </c>
      <c r="D8775" s="4">
        <v>2030</v>
      </c>
      <c r="E8775" s="4">
        <v>0</v>
      </c>
      <c r="F8775" s="4" t="s">
        <v>29</v>
      </c>
    </row>
    <row r="8776" spans="1:6" x14ac:dyDescent="0.25">
      <c r="A8776" s="4" t="s">
        <v>83</v>
      </c>
      <c r="B8776" s="4" t="s">
        <v>5</v>
      </c>
      <c r="C8776" s="4" t="s">
        <v>36</v>
      </c>
      <c r="D8776" s="4">
        <v>2031</v>
      </c>
      <c r="E8776" s="4">
        <v>0</v>
      </c>
      <c r="F8776" s="4" t="s">
        <v>29</v>
      </c>
    </row>
    <row r="8777" spans="1:6" x14ac:dyDescent="0.25">
      <c r="A8777" s="4" t="s">
        <v>83</v>
      </c>
      <c r="B8777" s="4" t="s">
        <v>5</v>
      </c>
      <c r="C8777" s="4" t="s">
        <v>36</v>
      </c>
      <c r="D8777" s="4">
        <v>2032</v>
      </c>
      <c r="E8777" s="4">
        <v>0</v>
      </c>
      <c r="F8777" s="4" t="s">
        <v>29</v>
      </c>
    </row>
    <row r="8778" spans="1:6" x14ac:dyDescent="0.25">
      <c r="A8778" s="4" t="s">
        <v>83</v>
      </c>
      <c r="B8778" s="4" t="s">
        <v>5</v>
      </c>
      <c r="C8778" s="4" t="s">
        <v>36</v>
      </c>
      <c r="D8778" s="4">
        <v>2033</v>
      </c>
      <c r="E8778" s="4">
        <v>0</v>
      </c>
      <c r="F8778" s="4" t="s">
        <v>29</v>
      </c>
    </row>
    <row r="8779" spans="1:6" x14ac:dyDescent="0.25">
      <c r="A8779" s="4" t="s">
        <v>83</v>
      </c>
      <c r="B8779" s="4" t="s">
        <v>5</v>
      </c>
      <c r="C8779" s="4" t="s">
        <v>36</v>
      </c>
      <c r="D8779" s="4">
        <v>2034</v>
      </c>
      <c r="E8779" s="4">
        <v>0</v>
      </c>
      <c r="F8779" s="4" t="s">
        <v>29</v>
      </c>
    </row>
    <row r="8780" spans="1:6" x14ac:dyDescent="0.25">
      <c r="A8780" s="4" t="s">
        <v>83</v>
      </c>
      <c r="B8780" s="4" t="s">
        <v>5</v>
      </c>
      <c r="C8780" s="4" t="s">
        <v>36</v>
      </c>
      <c r="D8780" s="4">
        <v>2035</v>
      </c>
      <c r="E8780" s="4">
        <v>0</v>
      </c>
      <c r="F8780" s="4" t="s">
        <v>29</v>
      </c>
    </row>
    <row r="8781" spans="1:6" x14ac:dyDescent="0.25">
      <c r="A8781" s="4" t="s">
        <v>83</v>
      </c>
      <c r="B8781" s="4" t="s">
        <v>5</v>
      </c>
      <c r="C8781" s="4" t="s">
        <v>36</v>
      </c>
      <c r="D8781" s="4">
        <v>2036</v>
      </c>
      <c r="E8781" s="4">
        <v>0</v>
      </c>
      <c r="F8781" s="4" t="s">
        <v>29</v>
      </c>
    </row>
    <row r="8782" spans="1:6" x14ac:dyDescent="0.25">
      <c r="A8782" s="4" t="s">
        <v>83</v>
      </c>
      <c r="B8782" s="4" t="s">
        <v>5</v>
      </c>
      <c r="C8782" s="4" t="s">
        <v>36</v>
      </c>
      <c r="D8782" s="4">
        <v>2037</v>
      </c>
      <c r="E8782" s="4">
        <v>0</v>
      </c>
      <c r="F8782" s="4" t="s">
        <v>29</v>
      </c>
    </row>
    <row r="8783" spans="1:6" x14ac:dyDescent="0.25">
      <c r="A8783" s="4" t="s">
        <v>83</v>
      </c>
      <c r="B8783" s="4" t="s">
        <v>5</v>
      </c>
      <c r="C8783" s="4" t="s">
        <v>36</v>
      </c>
      <c r="D8783" s="4">
        <v>2038</v>
      </c>
      <c r="E8783" s="4">
        <v>0</v>
      </c>
      <c r="F8783" s="4" t="s">
        <v>29</v>
      </c>
    </row>
    <row r="8784" spans="1:6" x14ac:dyDescent="0.25">
      <c r="A8784" s="4" t="s">
        <v>83</v>
      </c>
      <c r="B8784" s="4" t="s">
        <v>5</v>
      </c>
      <c r="C8784" s="4" t="s">
        <v>36</v>
      </c>
      <c r="D8784" s="4">
        <v>2039</v>
      </c>
      <c r="E8784" s="4">
        <v>0</v>
      </c>
      <c r="F8784" s="4" t="s">
        <v>29</v>
      </c>
    </row>
    <row r="8785" spans="1:6" x14ac:dyDescent="0.25">
      <c r="A8785" s="4" t="s">
        <v>83</v>
      </c>
      <c r="B8785" s="4" t="s">
        <v>5</v>
      </c>
      <c r="C8785" s="4" t="s">
        <v>36</v>
      </c>
      <c r="D8785" s="4">
        <v>2040</v>
      </c>
      <c r="E8785" s="4">
        <v>0</v>
      </c>
      <c r="F8785" s="4" t="s">
        <v>29</v>
      </c>
    </row>
    <row r="8786" spans="1:6" x14ac:dyDescent="0.25">
      <c r="A8786" s="4" t="s">
        <v>83</v>
      </c>
      <c r="B8786" s="4" t="s">
        <v>6</v>
      </c>
      <c r="C8786" s="4" t="s">
        <v>36</v>
      </c>
      <c r="D8786" s="4">
        <v>2005</v>
      </c>
      <c r="E8786" s="4">
        <v>0</v>
      </c>
      <c r="F8786" s="4" t="s">
        <v>29</v>
      </c>
    </row>
    <row r="8787" spans="1:6" x14ac:dyDescent="0.25">
      <c r="A8787" s="4" t="s">
        <v>83</v>
      </c>
      <c r="B8787" s="4" t="s">
        <v>6</v>
      </c>
      <c r="C8787" s="4" t="s">
        <v>36</v>
      </c>
      <c r="D8787" s="4">
        <v>2006</v>
      </c>
      <c r="E8787" s="4">
        <v>0</v>
      </c>
      <c r="F8787" s="4" t="s">
        <v>29</v>
      </c>
    </row>
    <row r="8788" spans="1:6" x14ac:dyDescent="0.25">
      <c r="A8788" s="4" t="s">
        <v>83</v>
      </c>
      <c r="B8788" s="4" t="s">
        <v>6</v>
      </c>
      <c r="C8788" s="4" t="s">
        <v>36</v>
      </c>
      <c r="D8788" s="4">
        <v>2007</v>
      </c>
      <c r="E8788" s="4">
        <v>0</v>
      </c>
      <c r="F8788" s="4" t="s">
        <v>29</v>
      </c>
    </row>
    <row r="8789" spans="1:6" x14ac:dyDescent="0.25">
      <c r="A8789" s="4" t="s">
        <v>83</v>
      </c>
      <c r="B8789" s="4" t="s">
        <v>6</v>
      </c>
      <c r="C8789" s="4" t="s">
        <v>36</v>
      </c>
      <c r="D8789" s="4">
        <v>2008</v>
      </c>
      <c r="E8789" s="4">
        <v>0</v>
      </c>
      <c r="F8789" s="4" t="s">
        <v>29</v>
      </c>
    </row>
    <row r="8790" spans="1:6" x14ac:dyDescent="0.25">
      <c r="A8790" s="4" t="s">
        <v>83</v>
      </c>
      <c r="B8790" s="4" t="s">
        <v>6</v>
      </c>
      <c r="C8790" s="4" t="s">
        <v>36</v>
      </c>
      <c r="D8790" s="4">
        <v>2009</v>
      </c>
      <c r="E8790" s="4">
        <v>0</v>
      </c>
      <c r="F8790" s="4" t="s">
        <v>29</v>
      </c>
    </row>
    <row r="8791" spans="1:6" x14ac:dyDescent="0.25">
      <c r="A8791" s="4" t="s">
        <v>83</v>
      </c>
      <c r="B8791" s="4" t="s">
        <v>6</v>
      </c>
      <c r="C8791" s="4" t="s">
        <v>36</v>
      </c>
      <c r="D8791" s="4">
        <v>2010</v>
      </c>
      <c r="E8791" s="4">
        <v>0</v>
      </c>
      <c r="F8791" s="4" t="s">
        <v>29</v>
      </c>
    </row>
    <row r="8792" spans="1:6" x14ac:dyDescent="0.25">
      <c r="A8792" s="4" t="s">
        <v>83</v>
      </c>
      <c r="B8792" s="4" t="s">
        <v>6</v>
      </c>
      <c r="C8792" s="4" t="s">
        <v>36</v>
      </c>
      <c r="D8792" s="4">
        <v>2011</v>
      </c>
      <c r="E8792" s="4">
        <v>0</v>
      </c>
      <c r="F8792" s="4" t="s">
        <v>29</v>
      </c>
    </row>
    <row r="8793" spans="1:6" x14ac:dyDescent="0.25">
      <c r="A8793" s="4" t="s">
        <v>83</v>
      </c>
      <c r="B8793" s="4" t="s">
        <v>6</v>
      </c>
      <c r="C8793" s="4" t="s">
        <v>36</v>
      </c>
      <c r="D8793" s="4">
        <v>2012</v>
      </c>
      <c r="E8793" s="4">
        <v>0</v>
      </c>
      <c r="F8793" s="4" t="s">
        <v>29</v>
      </c>
    </row>
    <row r="8794" spans="1:6" x14ac:dyDescent="0.25">
      <c r="A8794" s="4" t="s">
        <v>83</v>
      </c>
      <c r="B8794" s="4" t="s">
        <v>6</v>
      </c>
      <c r="C8794" s="4" t="s">
        <v>36</v>
      </c>
      <c r="D8794" s="4">
        <v>2013</v>
      </c>
      <c r="E8794" s="4">
        <v>0</v>
      </c>
      <c r="F8794" s="4" t="s">
        <v>29</v>
      </c>
    </row>
    <row r="8795" spans="1:6" x14ac:dyDescent="0.25">
      <c r="A8795" s="4" t="s">
        <v>83</v>
      </c>
      <c r="B8795" s="4" t="s">
        <v>6</v>
      </c>
      <c r="C8795" s="4" t="s">
        <v>36</v>
      </c>
      <c r="D8795" s="4">
        <v>2014</v>
      </c>
      <c r="E8795" s="4">
        <v>0</v>
      </c>
      <c r="F8795" s="4" t="s">
        <v>29</v>
      </c>
    </row>
    <row r="8796" spans="1:6" x14ac:dyDescent="0.25">
      <c r="A8796" s="4" t="s">
        <v>83</v>
      </c>
      <c r="B8796" s="4" t="s">
        <v>6</v>
      </c>
      <c r="C8796" s="4" t="s">
        <v>36</v>
      </c>
      <c r="D8796" s="4">
        <v>2015</v>
      </c>
      <c r="E8796" s="4">
        <v>0</v>
      </c>
      <c r="F8796" s="4" t="s">
        <v>29</v>
      </c>
    </row>
    <row r="8797" spans="1:6" x14ac:dyDescent="0.25">
      <c r="A8797" s="4" t="s">
        <v>83</v>
      </c>
      <c r="B8797" s="4" t="s">
        <v>6</v>
      </c>
      <c r="C8797" s="4" t="s">
        <v>36</v>
      </c>
      <c r="D8797" s="4">
        <v>2016</v>
      </c>
      <c r="E8797" s="4">
        <v>0</v>
      </c>
      <c r="F8797" s="4" t="s">
        <v>29</v>
      </c>
    </row>
    <row r="8798" spans="1:6" x14ac:dyDescent="0.25">
      <c r="A8798" s="4" t="s">
        <v>83</v>
      </c>
      <c r="B8798" s="4" t="s">
        <v>6</v>
      </c>
      <c r="C8798" s="4" t="s">
        <v>36</v>
      </c>
      <c r="D8798" s="4">
        <v>2017</v>
      </c>
      <c r="E8798" s="4">
        <v>0</v>
      </c>
      <c r="F8798" s="4" t="s">
        <v>29</v>
      </c>
    </row>
    <row r="8799" spans="1:6" x14ac:dyDescent="0.25">
      <c r="A8799" s="4" t="s">
        <v>83</v>
      </c>
      <c r="B8799" s="4" t="s">
        <v>6</v>
      </c>
      <c r="C8799" s="4" t="s">
        <v>36</v>
      </c>
      <c r="D8799" s="4">
        <v>2018</v>
      </c>
      <c r="E8799" s="4">
        <v>0</v>
      </c>
      <c r="F8799" s="4" t="s">
        <v>29</v>
      </c>
    </row>
    <row r="8800" spans="1:6" x14ac:dyDescent="0.25">
      <c r="A8800" s="4" t="s">
        <v>83</v>
      </c>
      <c r="B8800" s="4" t="s">
        <v>6</v>
      </c>
      <c r="C8800" s="4" t="s">
        <v>36</v>
      </c>
      <c r="D8800" s="4">
        <v>2019</v>
      </c>
      <c r="E8800" s="4">
        <v>0</v>
      </c>
      <c r="F8800" s="4" t="s">
        <v>29</v>
      </c>
    </row>
    <row r="8801" spans="1:6" x14ac:dyDescent="0.25">
      <c r="A8801" s="4" t="s">
        <v>83</v>
      </c>
      <c r="B8801" s="4" t="s">
        <v>6</v>
      </c>
      <c r="C8801" s="4" t="s">
        <v>36</v>
      </c>
      <c r="D8801" s="4">
        <v>2020</v>
      </c>
      <c r="E8801" s="4">
        <v>0</v>
      </c>
      <c r="F8801" s="4" t="s">
        <v>29</v>
      </c>
    </row>
    <row r="8802" spans="1:6" x14ac:dyDescent="0.25">
      <c r="A8802" s="4" t="s">
        <v>83</v>
      </c>
      <c r="B8802" s="4" t="s">
        <v>6</v>
      </c>
      <c r="C8802" s="4" t="s">
        <v>36</v>
      </c>
      <c r="D8802" s="4">
        <v>2021</v>
      </c>
      <c r="E8802" s="4">
        <v>0</v>
      </c>
      <c r="F8802" s="4" t="s">
        <v>29</v>
      </c>
    </row>
    <row r="8803" spans="1:6" x14ac:dyDescent="0.25">
      <c r="A8803" s="4" t="s">
        <v>83</v>
      </c>
      <c r="B8803" s="4" t="s">
        <v>6</v>
      </c>
      <c r="C8803" s="4" t="s">
        <v>36</v>
      </c>
      <c r="D8803" s="4">
        <v>2022</v>
      </c>
      <c r="E8803" s="4">
        <v>0</v>
      </c>
      <c r="F8803" s="4" t="s">
        <v>29</v>
      </c>
    </row>
    <row r="8804" spans="1:6" x14ac:dyDescent="0.25">
      <c r="A8804" s="4" t="s">
        <v>83</v>
      </c>
      <c r="B8804" s="4" t="s">
        <v>6</v>
      </c>
      <c r="C8804" s="4" t="s">
        <v>36</v>
      </c>
      <c r="D8804" s="4">
        <v>2023</v>
      </c>
      <c r="E8804" s="4">
        <v>0</v>
      </c>
      <c r="F8804" s="4" t="s">
        <v>29</v>
      </c>
    </row>
    <row r="8805" spans="1:6" x14ac:dyDescent="0.25">
      <c r="A8805" s="4" t="s">
        <v>83</v>
      </c>
      <c r="B8805" s="4" t="s">
        <v>6</v>
      </c>
      <c r="C8805" s="4" t="s">
        <v>36</v>
      </c>
      <c r="D8805" s="4">
        <v>2024</v>
      </c>
      <c r="E8805" s="4">
        <v>0</v>
      </c>
      <c r="F8805" s="4" t="s">
        <v>29</v>
      </c>
    </row>
    <row r="8806" spans="1:6" x14ac:dyDescent="0.25">
      <c r="A8806" s="4" t="s">
        <v>83</v>
      </c>
      <c r="B8806" s="4" t="s">
        <v>6</v>
      </c>
      <c r="C8806" s="4" t="s">
        <v>36</v>
      </c>
      <c r="D8806" s="4">
        <v>2025</v>
      </c>
      <c r="E8806" s="4">
        <v>0</v>
      </c>
      <c r="F8806" s="4" t="s">
        <v>29</v>
      </c>
    </row>
    <row r="8807" spans="1:6" x14ac:dyDescent="0.25">
      <c r="A8807" s="4" t="s">
        <v>83</v>
      </c>
      <c r="B8807" s="4" t="s">
        <v>6</v>
      </c>
      <c r="C8807" s="4" t="s">
        <v>36</v>
      </c>
      <c r="D8807" s="4">
        <v>2026</v>
      </c>
      <c r="E8807" s="4">
        <v>0</v>
      </c>
      <c r="F8807" s="4" t="s">
        <v>29</v>
      </c>
    </row>
    <row r="8808" spans="1:6" x14ac:dyDescent="0.25">
      <c r="A8808" s="4" t="s">
        <v>83</v>
      </c>
      <c r="B8808" s="4" t="s">
        <v>6</v>
      </c>
      <c r="C8808" s="4" t="s">
        <v>36</v>
      </c>
      <c r="D8808" s="4">
        <v>2027</v>
      </c>
      <c r="E8808" s="4">
        <v>0</v>
      </c>
      <c r="F8808" s="4" t="s">
        <v>29</v>
      </c>
    </row>
    <row r="8809" spans="1:6" x14ac:dyDescent="0.25">
      <c r="A8809" s="4" t="s">
        <v>83</v>
      </c>
      <c r="B8809" s="4" t="s">
        <v>6</v>
      </c>
      <c r="C8809" s="4" t="s">
        <v>36</v>
      </c>
      <c r="D8809" s="4">
        <v>2028</v>
      </c>
      <c r="E8809" s="4">
        <v>0</v>
      </c>
      <c r="F8809" s="4" t="s">
        <v>29</v>
      </c>
    </row>
    <row r="8810" spans="1:6" x14ac:dyDescent="0.25">
      <c r="A8810" s="4" t="s">
        <v>83</v>
      </c>
      <c r="B8810" s="4" t="s">
        <v>6</v>
      </c>
      <c r="C8810" s="4" t="s">
        <v>36</v>
      </c>
      <c r="D8810" s="4">
        <v>2029</v>
      </c>
      <c r="E8810" s="4">
        <v>0</v>
      </c>
      <c r="F8810" s="4" t="s">
        <v>29</v>
      </c>
    </row>
    <row r="8811" spans="1:6" x14ac:dyDescent="0.25">
      <c r="A8811" s="4" t="s">
        <v>83</v>
      </c>
      <c r="B8811" s="4" t="s">
        <v>6</v>
      </c>
      <c r="C8811" s="4" t="s">
        <v>36</v>
      </c>
      <c r="D8811" s="4">
        <v>2030</v>
      </c>
      <c r="E8811" s="4">
        <v>0</v>
      </c>
      <c r="F8811" s="4" t="s">
        <v>29</v>
      </c>
    </row>
    <row r="8812" spans="1:6" x14ac:dyDescent="0.25">
      <c r="A8812" s="4" t="s">
        <v>83</v>
      </c>
      <c r="B8812" s="4" t="s">
        <v>6</v>
      </c>
      <c r="C8812" s="4" t="s">
        <v>36</v>
      </c>
      <c r="D8812" s="4">
        <v>2031</v>
      </c>
      <c r="E8812" s="4">
        <v>0</v>
      </c>
      <c r="F8812" s="4" t="s">
        <v>29</v>
      </c>
    </row>
    <row r="8813" spans="1:6" x14ac:dyDescent="0.25">
      <c r="A8813" s="4" t="s">
        <v>83</v>
      </c>
      <c r="B8813" s="4" t="s">
        <v>6</v>
      </c>
      <c r="C8813" s="4" t="s">
        <v>36</v>
      </c>
      <c r="D8813" s="4">
        <v>2032</v>
      </c>
      <c r="E8813" s="4">
        <v>0</v>
      </c>
      <c r="F8813" s="4" t="s">
        <v>29</v>
      </c>
    </row>
    <row r="8814" spans="1:6" x14ac:dyDescent="0.25">
      <c r="A8814" s="4" t="s">
        <v>83</v>
      </c>
      <c r="B8814" s="4" t="s">
        <v>6</v>
      </c>
      <c r="C8814" s="4" t="s">
        <v>36</v>
      </c>
      <c r="D8814" s="4">
        <v>2033</v>
      </c>
      <c r="E8814" s="4">
        <v>0</v>
      </c>
      <c r="F8814" s="4" t="s">
        <v>29</v>
      </c>
    </row>
    <row r="8815" spans="1:6" x14ac:dyDescent="0.25">
      <c r="A8815" s="4" t="s">
        <v>83</v>
      </c>
      <c r="B8815" s="4" t="s">
        <v>6</v>
      </c>
      <c r="C8815" s="4" t="s">
        <v>36</v>
      </c>
      <c r="D8815" s="4">
        <v>2034</v>
      </c>
      <c r="E8815" s="4">
        <v>0</v>
      </c>
      <c r="F8815" s="4" t="s">
        <v>29</v>
      </c>
    </row>
    <row r="8816" spans="1:6" x14ac:dyDescent="0.25">
      <c r="A8816" s="4" t="s">
        <v>83</v>
      </c>
      <c r="B8816" s="4" t="s">
        <v>6</v>
      </c>
      <c r="C8816" s="4" t="s">
        <v>36</v>
      </c>
      <c r="D8816" s="4">
        <v>2035</v>
      </c>
      <c r="E8816" s="4">
        <v>0</v>
      </c>
      <c r="F8816" s="4" t="s">
        <v>29</v>
      </c>
    </row>
    <row r="8817" spans="1:6" x14ac:dyDescent="0.25">
      <c r="A8817" s="4" t="s">
        <v>83</v>
      </c>
      <c r="B8817" s="4" t="s">
        <v>6</v>
      </c>
      <c r="C8817" s="4" t="s">
        <v>36</v>
      </c>
      <c r="D8817" s="4">
        <v>2036</v>
      </c>
      <c r="E8817" s="4">
        <v>0</v>
      </c>
      <c r="F8817" s="4" t="s">
        <v>29</v>
      </c>
    </row>
    <row r="8818" spans="1:6" x14ac:dyDescent="0.25">
      <c r="A8818" s="4" t="s">
        <v>83</v>
      </c>
      <c r="B8818" s="4" t="s">
        <v>6</v>
      </c>
      <c r="C8818" s="4" t="s">
        <v>36</v>
      </c>
      <c r="D8818" s="4">
        <v>2037</v>
      </c>
      <c r="E8818" s="4">
        <v>0</v>
      </c>
      <c r="F8818" s="4" t="s">
        <v>29</v>
      </c>
    </row>
    <row r="8819" spans="1:6" x14ac:dyDescent="0.25">
      <c r="A8819" s="4" t="s">
        <v>83</v>
      </c>
      <c r="B8819" s="4" t="s">
        <v>6</v>
      </c>
      <c r="C8819" s="4" t="s">
        <v>36</v>
      </c>
      <c r="D8819" s="4">
        <v>2038</v>
      </c>
      <c r="E8819" s="4">
        <v>0</v>
      </c>
      <c r="F8819" s="4" t="s">
        <v>29</v>
      </c>
    </row>
    <row r="8820" spans="1:6" x14ac:dyDescent="0.25">
      <c r="A8820" s="4" t="s">
        <v>83</v>
      </c>
      <c r="B8820" s="4" t="s">
        <v>6</v>
      </c>
      <c r="C8820" s="4" t="s">
        <v>36</v>
      </c>
      <c r="D8820" s="4">
        <v>2039</v>
      </c>
      <c r="E8820" s="4">
        <v>0</v>
      </c>
      <c r="F8820" s="4" t="s">
        <v>29</v>
      </c>
    </row>
    <row r="8821" spans="1:6" x14ac:dyDescent="0.25">
      <c r="A8821" s="4" t="s">
        <v>83</v>
      </c>
      <c r="B8821" s="4" t="s">
        <v>6</v>
      </c>
      <c r="C8821" s="4" t="s">
        <v>36</v>
      </c>
      <c r="D8821" s="4">
        <v>2040</v>
      </c>
      <c r="E8821" s="4">
        <v>0</v>
      </c>
      <c r="F8821" s="4" t="s">
        <v>29</v>
      </c>
    </row>
    <row r="8822" spans="1:6" x14ac:dyDescent="0.25">
      <c r="A8822" s="4" t="s">
        <v>83</v>
      </c>
      <c r="B8822" s="4" t="s">
        <v>23</v>
      </c>
      <c r="C8822" s="4" t="s">
        <v>36</v>
      </c>
      <c r="D8822" s="4">
        <v>2005</v>
      </c>
      <c r="E8822" s="4">
        <v>0</v>
      </c>
      <c r="F8822" s="4" t="s">
        <v>29</v>
      </c>
    </row>
    <row r="8823" spans="1:6" x14ac:dyDescent="0.25">
      <c r="A8823" s="4" t="s">
        <v>83</v>
      </c>
      <c r="B8823" s="4" t="s">
        <v>23</v>
      </c>
      <c r="C8823" s="4" t="s">
        <v>36</v>
      </c>
      <c r="D8823" s="4">
        <v>2006</v>
      </c>
      <c r="E8823" s="4">
        <v>0</v>
      </c>
      <c r="F8823" s="4" t="s">
        <v>29</v>
      </c>
    </row>
    <row r="8824" spans="1:6" x14ac:dyDescent="0.25">
      <c r="A8824" s="4" t="s">
        <v>83</v>
      </c>
      <c r="B8824" s="4" t="s">
        <v>23</v>
      </c>
      <c r="C8824" s="4" t="s">
        <v>36</v>
      </c>
      <c r="D8824" s="4">
        <v>2007</v>
      </c>
      <c r="E8824" s="4">
        <v>0</v>
      </c>
      <c r="F8824" s="4" t="s">
        <v>29</v>
      </c>
    </row>
    <row r="8825" spans="1:6" x14ac:dyDescent="0.25">
      <c r="A8825" s="4" t="s">
        <v>83</v>
      </c>
      <c r="B8825" s="4" t="s">
        <v>23</v>
      </c>
      <c r="C8825" s="4" t="s">
        <v>36</v>
      </c>
      <c r="D8825" s="4">
        <v>2008</v>
      </c>
      <c r="E8825" s="4">
        <v>0</v>
      </c>
      <c r="F8825" s="4" t="s">
        <v>29</v>
      </c>
    </row>
    <row r="8826" spans="1:6" x14ac:dyDescent="0.25">
      <c r="A8826" s="4" t="s">
        <v>83</v>
      </c>
      <c r="B8826" s="4" t="s">
        <v>23</v>
      </c>
      <c r="C8826" s="4" t="s">
        <v>36</v>
      </c>
      <c r="D8826" s="4">
        <v>2009</v>
      </c>
      <c r="E8826" s="4">
        <v>0</v>
      </c>
      <c r="F8826" s="4" t="s">
        <v>29</v>
      </c>
    </row>
    <row r="8827" spans="1:6" x14ac:dyDescent="0.25">
      <c r="A8827" s="4" t="s">
        <v>83</v>
      </c>
      <c r="B8827" s="4" t="s">
        <v>23</v>
      </c>
      <c r="C8827" s="4" t="s">
        <v>36</v>
      </c>
      <c r="D8827" s="4">
        <v>2010</v>
      </c>
      <c r="E8827" s="4">
        <v>0</v>
      </c>
      <c r="F8827" s="4" t="s">
        <v>29</v>
      </c>
    </row>
    <row r="8828" spans="1:6" x14ac:dyDescent="0.25">
      <c r="A8828" s="4" t="s">
        <v>83</v>
      </c>
      <c r="B8828" s="4" t="s">
        <v>23</v>
      </c>
      <c r="C8828" s="4" t="s">
        <v>36</v>
      </c>
      <c r="D8828" s="4">
        <v>2011</v>
      </c>
      <c r="E8828" s="4">
        <v>0</v>
      </c>
      <c r="F8828" s="4" t="s">
        <v>29</v>
      </c>
    </row>
    <row r="8829" spans="1:6" x14ac:dyDescent="0.25">
      <c r="A8829" s="4" t="s">
        <v>83</v>
      </c>
      <c r="B8829" s="4" t="s">
        <v>23</v>
      </c>
      <c r="C8829" s="4" t="s">
        <v>36</v>
      </c>
      <c r="D8829" s="4">
        <v>2012</v>
      </c>
      <c r="E8829" s="4">
        <v>0</v>
      </c>
      <c r="F8829" s="4" t="s">
        <v>29</v>
      </c>
    </row>
    <row r="8830" spans="1:6" x14ac:dyDescent="0.25">
      <c r="A8830" s="4" t="s">
        <v>83</v>
      </c>
      <c r="B8830" s="4" t="s">
        <v>23</v>
      </c>
      <c r="C8830" s="4" t="s">
        <v>36</v>
      </c>
      <c r="D8830" s="4">
        <v>2013</v>
      </c>
      <c r="E8830" s="4">
        <v>0</v>
      </c>
      <c r="F8830" s="4" t="s">
        <v>29</v>
      </c>
    </row>
    <row r="8831" spans="1:6" x14ac:dyDescent="0.25">
      <c r="A8831" s="4" t="s">
        <v>83</v>
      </c>
      <c r="B8831" s="4" t="s">
        <v>23</v>
      </c>
      <c r="C8831" s="4" t="s">
        <v>36</v>
      </c>
      <c r="D8831" s="4">
        <v>2014</v>
      </c>
      <c r="E8831" s="4">
        <v>0</v>
      </c>
      <c r="F8831" s="4" t="s">
        <v>29</v>
      </c>
    </row>
    <row r="8832" spans="1:6" x14ac:dyDescent="0.25">
      <c r="A8832" s="4" t="s">
        <v>83</v>
      </c>
      <c r="B8832" s="4" t="s">
        <v>23</v>
      </c>
      <c r="C8832" s="4" t="s">
        <v>36</v>
      </c>
      <c r="D8832" s="4">
        <v>2015</v>
      </c>
      <c r="E8832" s="4">
        <v>0</v>
      </c>
      <c r="F8832" s="4" t="s">
        <v>29</v>
      </c>
    </row>
    <row r="8833" spans="1:6" x14ac:dyDescent="0.25">
      <c r="A8833" s="4" t="s">
        <v>83</v>
      </c>
      <c r="B8833" s="4" t="s">
        <v>23</v>
      </c>
      <c r="C8833" s="4" t="s">
        <v>36</v>
      </c>
      <c r="D8833" s="4">
        <v>2016</v>
      </c>
      <c r="E8833" s="4">
        <v>0</v>
      </c>
      <c r="F8833" s="4" t="s">
        <v>29</v>
      </c>
    </row>
    <row r="8834" spans="1:6" x14ac:dyDescent="0.25">
      <c r="A8834" s="4" t="s">
        <v>83</v>
      </c>
      <c r="B8834" s="4" t="s">
        <v>23</v>
      </c>
      <c r="C8834" s="4" t="s">
        <v>36</v>
      </c>
      <c r="D8834" s="4">
        <v>2017</v>
      </c>
      <c r="E8834" s="4">
        <v>0</v>
      </c>
      <c r="F8834" s="4" t="s">
        <v>29</v>
      </c>
    </row>
    <row r="8835" spans="1:6" x14ac:dyDescent="0.25">
      <c r="A8835" s="4" t="s">
        <v>83</v>
      </c>
      <c r="B8835" s="4" t="s">
        <v>23</v>
      </c>
      <c r="C8835" s="4" t="s">
        <v>36</v>
      </c>
      <c r="D8835" s="4">
        <v>2018</v>
      </c>
      <c r="E8835" s="4">
        <v>0</v>
      </c>
      <c r="F8835" s="4" t="s">
        <v>29</v>
      </c>
    </row>
    <row r="8836" spans="1:6" x14ac:dyDescent="0.25">
      <c r="A8836" s="4" t="s">
        <v>83</v>
      </c>
      <c r="B8836" s="4" t="s">
        <v>23</v>
      </c>
      <c r="C8836" s="4" t="s">
        <v>36</v>
      </c>
      <c r="D8836" s="4">
        <v>2019</v>
      </c>
      <c r="E8836" s="4">
        <v>0</v>
      </c>
      <c r="F8836" s="4" t="s">
        <v>29</v>
      </c>
    </row>
    <row r="8837" spans="1:6" x14ac:dyDescent="0.25">
      <c r="A8837" s="4" t="s">
        <v>83</v>
      </c>
      <c r="B8837" s="4" t="s">
        <v>23</v>
      </c>
      <c r="C8837" s="4" t="s">
        <v>36</v>
      </c>
      <c r="D8837" s="4">
        <v>2020</v>
      </c>
      <c r="E8837" s="4">
        <v>0</v>
      </c>
      <c r="F8837" s="4" t="s">
        <v>29</v>
      </c>
    </row>
    <row r="8838" spans="1:6" x14ac:dyDescent="0.25">
      <c r="A8838" s="4" t="s">
        <v>83</v>
      </c>
      <c r="B8838" s="4" t="s">
        <v>23</v>
      </c>
      <c r="C8838" s="4" t="s">
        <v>36</v>
      </c>
      <c r="D8838" s="4">
        <v>2021</v>
      </c>
      <c r="E8838" s="4">
        <v>0</v>
      </c>
      <c r="F8838" s="4" t="s">
        <v>29</v>
      </c>
    </row>
    <row r="8839" spans="1:6" x14ac:dyDescent="0.25">
      <c r="A8839" s="4" t="s">
        <v>83</v>
      </c>
      <c r="B8839" s="4" t="s">
        <v>23</v>
      </c>
      <c r="C8839" s="4" t="s">
        <v>36</v>
      </c>
      <c r="D8839" s="4">
        <v>2022</v>
      </c>
      <c r="E8839" s="4">
        <v>0</v>
      </c>
      <c r="F8839" s="4" t="s">
        <v>29</v>
      </c>
    </row>
    <row r="8840" spans="1:6" x14ac:dyDescent="0.25">
      <c r="A8840" s="4" t="s">
        <v>83</v>
      </c>
      <c r="B8840" s="4" t="s">
        <v>23</v>
      </c>
      <c r="C8840" s="4" t="s">
        <v>36</v>
      </c>
      <c r="D8840" s="4">
        <v>2023</v>
      </c>
      <c r="E8840" s="4">
        <v>0</v>
      </c>
      <c r="F8840" s="4" t="s">
        <v>29</v>
      </c>
    </row>
    <row r="8841" spans="1:6" x14ac:dyDescent="0.25">
      <c r="A8841" s="4" t="s">
        <v>83</v>
      </c>
      <c r="B8841" s="4" t="s">
        <v>23</v>
      </c>
      <c r="C8841" s="4" t="s">
        <v>36</v>
      </c>
      <c r="D8841" s="4">
        <v>2024</v>
      </c>
      <c r="E8841" s="4">
        <v>0</v>
      </c>
      <c r="F8841" s="4" t="s">
        <v>29</v>
      </c>
    </row>
    <row r="8842" spans="1:6" x14ac:dyDescent="0.25">
      <c r="A8842" s="4" t="s">
        <v>83</v>
      </c>
      <c r="B8842" s="4" t="s">
        <v>23</v>
      </c>
      <c r="C8842" s="4" t="s">
        <v>36</v>
      </c>
      <c r="D8842" s="4">
        <v>2025</v>
      </c>
      <c r="E8842" s="4">
        <v>0</v>
      </c>
      <c r="F8842" s="4" t="s">
        <v>29</v>
      </c>
    </row>
    <row r="8843" spans="1:6" x14ac:dyDescent="0.25">
      <c r="A8843" s="4" t="s">
        <v>83</v>
      </c>
      <c r="B8843" s="4" t="s">
        <v>23</v>
      </c>
      <c r="C8843" s="4" t="s">
        <v>36</v>
      </c>
      <c r="D8843" s="4">
        <v>2026</v>
      </c>
      <c r="E8843" s="4">
        <v>0</v>
      </c>
      <c r="F8843" s="4" t="s">
        <v>29</v>
      </c>
    </row>
    <row r="8844" spans="1:6" x14ac:dyDescent="0.25">
      <c r="A8844" s="4" t="s">
        <v>83</v>
      </c>
      <c r="B8844" s="4" t="s">
        <v>23</v>
      </c>
      <c r="C8844" s="4" t="s">
        <v>36</v>
      </c>
      <c r="D8844" s="4">
        <v>2027</v>
      </c>
      <c r="E8844" s="4">
        <v>0</v>
      </c>
      <c r="F8844" s="4" t="s">
        <v>29</v>
      </c>
    </row>
    <row r="8845" spans="1:6" x14ac:dyDescent="0.25">
      <c r="A8845" s="4" t="s">
        <v>83</v>
      </c>
      <c r="B8845" s="4" t="s">
        <v>23</v>
      </c>
      <c r="C8845" s="4" t="s">
        <v>36</v>
      </c>
      <c r="D8845" s="4">
        <v>2028</v>
      </c>
      <c r="E8845" s="4">
        <v>0</v>
      </c>
      <c r="F8845" s="4" t="s">
        <v>29</v>
      </c>
    </row>
    <row r="8846" spans="1:6" x14ac:dyDescent="0.25">
      <c r="A8846" s="4" t="s">
        <v>83</v>
      </c>
      <c r="B8846" s="4" t="s">
        <v>23</v>
      </c>
      <c r="C8846" s="4" t="s">
        <v>36</v>
      </c>
      <c r="D8846" s="4">
        <v>2029</v>
      </c>
      <c r="E8846" s="4">
        <v>0</v>
      </c>
      <c r="F8846" s="4" t="s">
        <v>29</v>
      </c>
    </row>
    <row r="8847" spans="1:6" x14ac:dyDescent="0.25">
      <c r="A8847" s="4" t="s">
        <v>83</v>
      </c>
      <c r="B8847" s="4" t="s">
        <v>23</v>
      </c>
      <c r="C8847" s="4" t="s">
        <v>36</v>
      </c>
      <c r="D8847" s="4">
        <v>2030</v>
      </c>
      <c r="E8847" s="4">
        <v>0</v>
      </c>
      <c r="F8847" s="4" t="s">
        <v>29</v>
      </c>
    </row>
    <row r="8848" spans="1:6" x14ac:dyDescent="0.25">
      <c r="A8848" s="4" t="s">
        <v>83</v>
      </c>
      <c r="B8848" s="4" t="s">
        <v>23</v>
      </c>
      <c r="C8848" s="4" t="s">
        <v>36</v>
      </c>
      <c r="D8848" s="4">
        <v>2031</v>
      </c>
      <c r="E8848" s="4">
        <v>0</v>
      </c>
      <c r="F8848" s="4" t="s">
        <v>29</v>
      </c>
    </row>
    <row r="8849" spans="1:6" x14ac:dyDescent="0.25">
      <c r="A8849" s="4" t="s">
        <v>83</v>
      </c>
      <c r="B8849" s="4" t="s">
        <v>23</v>
      </c>
      <c r="C8849" s="4" t="s">
        <v>36</v>
      </c>
      <c r="D8849" s="4">
        <v>2032</v>
      </c>
      <c r="E8849" s="4">
        <v>0</v>
      </c>
      <c r="F8849" s="4" t="s">
        <v>29</v>
      </c>
    </row>
    <row r="8850" spans="1:6" x14ac:dyDescent="0.25">
      <c r="A8850" s="4" t="s">
        <v>83</v>
      </c>
      <c r="B8850" s="4" t="s">
        <v>23</v>
      </c>
      <c r="C8850" s="4" t="s">
        <v>36</v>
      </c>
      <c r="D8850" s="4">
        <v>2033</v>
      </c>
      <c r="E8850" s="4">
        <v>0</v>
      </c>
      <c r="F8850" s="4" t="s">
        <v>29</v>
      </c>
    </row>
    <row r="8851" spans="1:6" x14ac:dyDescent="0.25">
      <c r="A8851" s="4" t="s">
        <v>83</v>
      </c>
      <c r="B8851" s="4" t="s">
        <v>23</v>
      </c>
      <c r="C8851" s="4" t="s">
        <v>36</v>
      </c>
      <c r="D8851" s="4">
        <v>2034</v>
      </c>
      <c r="E8851" s="4">
        <v>0</v>
      </c>
      <c r="F8851" s="4" t="s">
        <v>29</v>
      </c>
    </row>
    <row r="8852" spans="1:6" x14ac:dyDescent="0.25">
      <c r="A8852" s="4" t="s">
        <v>83</v>
      </c>
      <c r="B8852" s="4" t="s">
        <v>23</v>
      </c>
      <c r="C8852" s="4" t="s">
        <v>36</v>
      </c>
      <c r="D8852" s="4">
        <v>2035</v>
      </c>
      <c r="E8852" s="4">
        <v>0</v>
      </c>
      <c r="F8852" s="4" t="s">
        <v>29</v>
      </c>
    </row>
    <row r="8853" spans="1:6" x14ac:dyDescent="0.25">
      <c r="A8853" s="4" t="s">
        <v>83</v>
      </c>
      <c r="B8853" s="4" t="s">
        <v>23</v>
      </c>
      <c r="C8853" s="4" t="s">
        <v>36</v>
      </c>
      <c r="D8853" s="4">
        <v>2036</v>
      </c>
      <c r="E8853" s="4">
        <v>0</v>
      </c>
      <c r="F8853" s="4" t="s">
        <v>29</v>
      </c>
    </row>
    <row r="8854" spans="1:6" x14ac:dyDescent="0.25">
      <c r="A8854" s="4" t="s">
        <v>83</v>
      </c>
      <c r="B8854" s="4" t="s">
        <v>23</v>
      </c>
      <c r="C8854" s="4" t="s">
        <v>36</v>
      </c>
      <c r="D8854" s="4">
        <v>2037</v>
      </c>
      <c r="E8854" s="4">
        <v>0</v>
      </c>
      <c r="F8854" s="4" t="s">
        <v>29</v>
      </c>
    </row>
    <row r="8855" spans="1:6" x14ac:dyDescent="0.25">
      <c r="A8855" s="4" t="s">
        <v>83</v>
      </c>
      <c r="B8855" s="4" t="s">
        <v>23</v>
      </c>
      <c r="C8855" s="4" t="s">
        <v>36</v>
      </c>
      <c r="D8855" s="4">
        <v>2038</v>
      </c>
      <c r="E8855" s="4">
        <v>0</v>
      </c>
      <c r="F8855" s="4" t="s">
        <v>29</v>
      </c>
    </row>
    <row r="8856" spans="1:6" x14ac:dyDescent="0.25">
      <c r="A8856" s="4" t="s">
        <v>83</v>
      </c>
      <c r="B8856" s="4" t="s">
        <v>23</v>
      </c>
      <c r="C8856" s="4" t="s">
        <v>36</v>
      </c>
      <c r="D8856" s="4">
        <v>2039</v>
      </c>
      <c r="E8856" s="4">
        <v>0</v>
      </c>
      <c r="F8856" s="4" t="s">
        <v>29</v>
      </c>
    </row>
    <row r="8857" spans="1:6" x14ac:dyDescent="0.25">
      <c r="A8857" s="4" t="s">
        <v>83</v>
      </c>
      <c r="B8857" s="4" t="s">
        <v>23</v>
      </c>
      <c r="C8857" s="4" t="s">
        <v>36</v>
      </c>
      <c r="D8857" s="4">
        <v>2040</v>
      </c>
      <c r="E8857" s="4">
        <v>0</v>
      </c>
      <c r="F8857" s="4" t="s">
        <v>29</v>
      </c>
    </row>
    <row r="8858" spans="1:6" x14ac:dyDescent="0.25">
      <c r="A8858" s="4" t="s">
        <v>84</v>
      </c>
      <c r="B8858" s="4" t="s">
        <v>1</v>
      </c>
      <c r="C8858" s="4" t="s">
        <v>36</v>
      </c>
      <c r="D8858" s="4">
        <v>2005</v>
      </c>
      <c r="E8858" s="4">
        <v>0</v>
      </c>
      <c r="F8858" s="4" t="s">
        <v>29</v>
      </c>
    </row>
    <row r="8859" spans="1:6" x14ac:dyDescent="0.25">
      <c r="A8859" s="4" t="s">
        <v>84</v>
      </c>
      <c r="B8859" s="4" t="s">
        <v>1</v>
      </c>
      <c r="C8859" s="4" t="s">
        <v>36</v>
      </c>
      <c r="D8859" s="4">
        <v>2006</v>
      </c>
      <c r="E8859" s="4">
        <v>0</v>
      </c>
      <c r="F8859" s="4" t="s">
        <v>29</v>
      </c>
    </row>
    <row r="8860" spans="1:6" x14ac:dyDescent="0.25">
      <c r="A8860" s="4" t="s">
        <v>84</v>
      </c>
      <c r="B8860" s="4" t="s">
        <v>1</v>
      </c>
      <c r="C8860" s="4" t="s">
        <v>36</v>
      </c>
      <c r="D8860" s="4">
        <v>2007</v>
      </c>
      <c r="E8860" s="4">
        <v>0</v>
      </c>
      <c r="F8860" s="4" t="s">
        <v>29</v>
      </c>
    </row>
    <row r="8861" spans="1:6" x14ac:dyDescent="0.25">
      <c r="A8861" s="4" t="s">
        <v>84</v>
      </c>
      <c r="B8861" s="4" t="s">
        <v>1</v>
      </c>
      <c r="C8861" s="4" t="s">
        <v>36</v>
      </c>
      <c r="D8861" s="4">
        <v>2008</v>
      </c>
      <c r="E8861" s="4">
        <v>0</v>
      </c>
      <c r="F8861" s="4" t="s">
        <v>29</v>
      </c>
    </row>
    <row r="8862" spans="1:6" x14ac:dyDescent="0.25">
      <c r="A8862" s="4" t="s">
        <v>84</v>
      </c>
      <c r="B8862" s="4" t="s">
        <v>1</v>
      </c>
      <c r="C8862" s="4" t="s">
        <v>36</v>
      </c>
      <c r="D8862" s="4">
        <v>2009</v>
      </c>
      <c r="E8862" s="4">
        <v>0</v>
      </c>
      <c r="F8862" s="4" t="s">
        <v>29</v>
      </c>
    </row>
    <row r="8863" spans="1:6" x14ac:dyDescent="0.25">
      <c r="A8863" s="4" t="s">
        <v>84</v>
      </c>
      <c r="B8863" s="4" t="s">
        <v>1</v>
      </c>
      <c r="C8863" s="4" t="s">
        <v>36</v>
      </c>
      <c r="D8863" s="4">
        <v>2010</v>
      </c>
      <c r="E8863" s="4">
        <v>0</v>
      </c>
      <c r="F8863" s="4" t="s">
        <v>29</v>
      </c>
    </row>
    <row r="8864" spans="1:6" x14ac:dyDescent="0.25">
      <c r="A8864" s="4" t="s">
        <v>84</v>
      </c>
      <c r="B8864" s="4" t="s">
        <v>1</v>
      </c>
      <c r="C8864" s="4" t="s">
        <v>36</v>
      </c>
      <c r="D8864" s="4">
        <v>2011</v>
      </c>
      <c r="E8864" s="4">
        <v>0</v>
      </c>
      <c r="F8864" s="4" t="s">
        <v>29</v>
      </c>
    </row>
    <row r="8865" spans="1:6" x14ac:dyDescent="0.25">
      <c r="A8865" s="4" t="s">
        <v>84</v>
      </c>
      <c r="B8865" s="4" t="s">
        <v>1</v>
      </c>
      <c r="C8865" s="4" t="s">
        <v>36</v>
      </c>
      <c r="D8865" s="4">
        <v>2012</v>
      </c>
      <c r="E8865" s="4">
        <v>0</v>
      </c>
      <c r="F8865" s="4" t="s">
        <v>29</v>
      </c>
    </row>
    <row r="8866" spans="1:6" x14ac:dyDescent="0.25">
      <c r="A8866" s="4" t="s">
        <v>84</v>
      </c>
      <c r="B8866" s="4" t="s">
        <v>1</v>
      </c>
      <c r="C8866" s="4" t="s">
        <v>36</v>
      </c>
      <c r="D8866" s="4">
        <v>2013</v>
      </c>
      <c r="E8866" s="4">
        <v>0</v>
      </c>
      <c r="F8866" s="4" t="s">
        <v>29</v>
      </c>
    </row>
    <row r="8867" spans="1:6" x14ac:dyDescent="0.25">
      <c r="A8867" s="4" t="s">
        <v>84</v>
      </c>
      <c r="B8867" s="4" t="s">
        <v>1</v>
      </c>
      <c r="C8867" s="4" t="s">
        <v>36</v>
      </c>
      <c r="D8867" s="4">
        <v>2014</v>
      </c>
      <c r="E8867" s="4">
        <v>0</v>
      </c>
      <c r="F8867" s="4" t="s">
        <v>29</v>
      </c>
    </row>
    <row r="8868" spans="1:6" x14ac:dyDescent="0.25">
      <c r="A8868" s="4" t="s">
        <v>84</v>
      </c>
      <c r="B8868" s="4" t="s">
        <v>1</v>
      </c>
      <c r="C8868" s="4" t="s">
        <v>36</v>
      </c>
      <c r="D8868" s="4">
        <v>2015</v>
      </c>
      <c r="E8868" s="4">
        <v>0</v>
      </c>
      <c r="F8868" s="4" t="s">
        <v>29</v>
      </c>
    </row>
    <row r="8869" spans="1:6" x14ac:dyDescent="0.25">
      <c r="A8869" s="4" t="s">
        <v>84</v>
      </c>
      <c r="B8869" s="4" t="s">
        <v>1</v>
      </c>
      <c r="C8869" s="4" t="s">
        <v>36</v>
      </c>
      <c r="D8869" s="4">
        <v>2016</v>
      </c>
      <c r="E8869" s="4">
        <v>0</v>
      </c>
      <c r="F8869" s="4" t="s">
        <v>29</v>
      </c>
    </row>
    <row r="8870" spans="1:6" x14ac:dyDescent="0.25">
      <c r="A8870" s="4" t="s">
        <v>84</v>
      </c>
      <c r="B8870" s="4" t="s">
        <v>1</v>
      </c>
      <c r="C8870" s="4" t="s">
        <v>36</v>
      </c>
      <c r="D8870" s="4">
        <v>2017</v>
      </c>
      <c r="E8870" s="4">
        <v>0</v>
      </c>
      <c r="F8870" s="4" t="s">
        <v>29</v>
      </c>
    </row>
    <row r="8871" spans="1:6" x14ac:dyDescent="0.25">
      <c r="A8871" s="4" t="s">
        <v>84</v>
      </c>
      <c r="B8871" s="4" t="s">
        <v>1</v>
      </c>
      <c r="C8871" s="4" t="s">
        <v>36</v>
      </c>
      <c r="D8871" s="4">
        <v>2018</v>
      </c>
      <c r="E8871" s="4">
        <v>0</v>
      </c>
      <c r="F8871" s="4" t="s">
        <v>29</v>
      </c>
    </row>
    <row r="8872" spans="1:6" x14ac:dyDescent="0.25">
      <c r="A8872" s="4" t="s">
        <v>84</v>
      </c>
      <c r="B8872" s="4" t="s">
        <v>1</v>
      </c>
      <c r="C8872" s="4" t="s">
        <v>36</v>
      </c>
      <c r="D8872" s="4">
        <v>2019</v>
      </c>
      <c r="E8872" s="4">
        <v>0</v>
      </c>
      <c r="F8872" s="4" t="s">
        <v>29</v>
      </c>
    </row>
    <row r="8873" spans="1:6" x14ac:dyDescent="0.25">
      <c r="A8873" s="4" t="s">
        <v>84</v>
      </c>
      <c r="B8873" s="4" t="s">
        <v>1</v>
      </c>
      <c r="C8873" s="4" t="s">
        <v>36</v>
      </c>
      <c r="D8873" s="4">
        <v>2020</v>
      </c>
      <c r="E8873" s="4">
        <v>0</v>
      </c>
      <c r="F8873" s="4" t="s">
        <v>29</v>
      </c>
    </row>
    <row r="8874" spans="1:6" x14ac:dyDescent="0.25">
      <c r="A8874" s="4" t="s">
        <v>84</v>
      </c>
      <c r="B8874" s="4" t="s">
        <v>1</v>
      </c>
      <c r="C8874" s="4" t="s">
        <v>36</v>
      </c>
      <c r="D8874" s="4">
        <v>2021</v>
      </c>
      <c r="E8874" s="4">
        <v>0</v>
      </c>
      <c r="F8874" s="4" t="s">
        <v>29</v>
      </c>
    </row>
    <row r="8875" spans="1:6" x14ac:dyDescent="0.25">
      <c r="A8875" s="4" t="s">
        <v>84</v>
      </c>
      <c r="B8875" s="4" t="s">
        <v>1</v>
      </c>
      <c r="C8875" s="4" t="s">
        <v>36</v>
      </c>
      <c r="D8875" s="4">
        <v>2022</v>
      </c>
      <c r="E8875" s="4">
        <v>0</v>
      </c>
      <c r="F8875" s="4" t="s">
        <v>29</v>
      </c>
    </row>
    <row r="8876" spans="1:6" x14ac:dyDescent="0.25">
      <c r="A8876" s="4" t="s">
        <v>84</v>
      </c>
      <c r="B8876" s="4" t="s">
        <v>1</v>
      </c>
      <c r="C8876" s="4" t="s">
        <v>36</v>
      </c>
      <c r="D8876" s="4">
        <v>2023</v>
      </c>
      <c r="E8876" s="4">
        <v>0</v>
      </c>
      <c r="F8876" s="4" t="s">
        <v>29</v>
      </c>
    </row>
    <row r="8877" spans="1:6" x14ac:dyDescent="0.25">
      <c r="A8877" s="4" t="s">
        <v>84</v>
      </c>
      <c r="B8877" s="4" t="s">
        <v>1</v>
      </c>
      <c r="C8877" s="4" t="s">
        <v>36</v>
      </c>
      <c r="D8877" s="4">
        <v>2024</v>
      </c>
      <c r="E8877" s="4">
        <v>0</v>
      </c>
      <c r="F8877" s="4" t="s">
        <v>29</v>
      </c>
    </row>
    <row r="8878" spans="1:6" x14ac:dyDescent="0.25">
      <c r="A8878" s="4" t="s">
        <v>84</v>
      </c>
      <c r="B8878" s="4" t="s">
        <v>1</v>
      </c>
      <c r="C8878" s="4" t="s">
        <v>36</v>
      </c>
      <c r="D8878" s="4">
        <v>2025</v>
      </c>
      <c r="E8878" s="4">
        <v>0</v>
      </c>
      <c r="F8878" s="4" t="s">
        <v>29</v>
      </c>
    </row>
    <row r="8879" spans="1:6" x14ac:dyDescent="0.25">
      <c r="A8879" s="4" t="s">
        <v>84</v>
      </c>
      <c r="B8879" s="4" t="s">
        <v>1</v>
      </c>
      <c r="C8879" s="4" t="s">
        <v>36</v>
      </c>
      <c r="D8879" s="4">
        <v>2026</v>
      </c>
      <c r="E8879" s="4">
        <v>0</v>
      </c>
      <c r="F8879" s="4" t="s">
        <v>29</v>
      </c>
    </row>
    <row r="8880" spans="1:6" x14ac:dyDescent="0.25">
      <c r="A8880" s="4" t="s">
        <v>84</v>
      </c>
      <c r="B8880" s="4" t="s">
        <v>1</v>
      </c>
      <c r="C8880" s="4" t="s">
        <v>36</v>
      </c>
      <c r="D8880" s="4">
        <v>2027</v>
      </c>
      <c r="E8880" s="4">
        <v>0</v>
      </c>
      <c r="F8880" s="4" t="s">
        <v>29</v>
      </c>
    </row>
    <row r="8881" spans="1:6" x14ac:dyDescent="0.25">
      <c r="A8881" s="4" t="s">
        <v>84</v>
      </c>
      <c r="B8881" s="4" t="s">
        <v>1</v>
      </c>
      <c r="C8881" s="4" t="s">
        <v>36</v>
      </c>
      <c r="D8881" s="4">
        <v>2028</v>
      </c>
      <c r="E8881" s="4">
        <v>0</v>
      </c>
      <c r="F8881" s="4" t="s">
        <v>29</v>
      </c>
    </row>
    <row r="8882" spans="1:6" x14ac:dyDescent="0.25">
      <c r="A8882" s="4" t="s">
        <v>84</v>
      </c>
      <c r="B8882" s="4" t="s">
        <v>1</v>
      </c>
      <c r="C8882" s="4" t="s">
        <v>36</v>
      </c>
      <c r="D8882" s="4">
        <v>2029</v>
      </c>
      <c r="E8882" s="4">
        <v>0</v>
      </c>
      <c r="F8882" s="4" t="s">
        <v>29</v>
      </c>
    </row>
    <row r="8883" spans="1:6" x14ac:dyDescent="0.25">
      <c r="A8883" s="4" t="s">
        <v>84</v>
      </c>
      <c r="B8883" s="4" t="s">
        <v>1</v>
      </c>
      <c r="C8883" s="4" t="s">
        <v>36</v>
      </c>
      <c r="D8883" s="4">
        <v>2030</v>
      </c>
      <c r="E8883" s="4">
        <v>0</v>
      </c>
      <c r="F8883" s="4" t="s">
        <v>29</v>
      </c>
    </row>
    <row r="8884" spans="1:6" x14ac:dyDescent="0.25">
      <c r="A8884" s="4" t="s">
        <v>84</v>
      </c>
      <c r="B8884" s="4" t="s">
        <v>1</v>
      </c>
      <c r="C8884" s="4" t="s">
        <v>36</v>
      </c>
      <c r="D8884" s="4">
        <v>2031</v>
      </c>
      <c r="E8884" s="4">
        <v>0</v>
      </c>
      <c r="F8884" s="4" t="s">
        <v>29</v>
      </c>
    </row>
    <row r="8885" spans="1:6" x14ac:dyDescent="0.25">
      <c r="A8885" s="4" t="s">
        <v>84</v>
      </c>
      <c r="B8885" s="4" t="s">
        <v>1</v>
      </c>
      <c r="C8885" s="4" t="s">
        <v>36</v>
      </c>
      <c r="D8885" s="4">
        <v>2032</v>
      </c>
      <c r="E8885" s="4">
        <v>0</v>
      </c>
      <c r="F8885" s="4" t="s">
        <v>29</v>
      </c>
    </row>
    <row r="8886" spans="1:6" x14ac:dyDescent="0.25">
      <c r="A8886" s="4" t="s">
        <v>84</v>
      </c>
      <c r="B8886" s="4" t="s">
        <v>1</v>
      </c>
      <c r="C8886" s="4" t="s">
        <v>36</v>
      </c>
      <c r="D8886" s="4">
        <v>2033</v>
      </c>
      <c r="E8886" s="4">
        <v>0</v>
      </c>
      <c r="F8886" s="4" t="s">
        <v>29</v>
      </c>
    </row>
    <row r="8887" spans="1:6" x14ac:dyDescent="0.25">
      <c r="A8887" s="4" t="s">
        <v>84</v>
      </c>
      <c r="B8887" s="4" t="s">
        <v>1</v>
      </c>
      <c r="C8887" s="4" t="s">
        <v>36</v>
      </c>
      <c r="D8887" s="4">
        <v>2034</v>
      </c>
      <c r="E8887" s="4">
        <v>0</v>
      </c>
      <c r="F8887" s="4" t="s">
        <v>29</v>
      </c>
    </row>
    <row r="8888" spans="1:6" x14ac:dyDescent="0.25">
      <c r="A8888" s="4" t="s">
        <v>84</v>
      </c>
      <c r="B8888" s="4" t="s">
        <v>1</v>
      </c>
      <c r="C8888" s="4" t="s">
        <v>36</v>
      </c>
      <c r="D8888" s="4">
        <v>2035</v>
      </c>
      <c r="E8888" s="4">
        <v>0</v>
      </c>
      <c r="F8888" s="4" t="s">
        <v>29</v>
      </c>
    </row>
    <row r="8889" spans="1:6" x14ac:dyDescent="0.25">
      <c r="A8889" s="4" t="s">
        <v>84</v>
      </c>
      <c r="B8889" s="4" t="s">
        <v>1</v>
      </c>
      <c r="C8889" s="4" t="s">
        <v>36</v>
      </c>
      <c r="D8889" s="4">
        <v>2036</v>
      </c>
      <c r="E8889" s="4">
        <v>0</v>
      </c>
      <c r="F8889" s="4" t="s">
        <v>29</v>
      </c>
    </row>
    <row r="8890" spans="1:6" x14ac:dyDescent="0.25">
      <c r="A8890" s="4" t="s">
        <v>84</v>
      </c>
      <c r="B8890" s="4" t="s">
        <v>1</v>
      </c>
      <c r="C8890" s="4" t="s">
        <v>36</v>
      </c>
      <c r="D8890" s="4">
        <v>2037</v>
      </c>
      <c r="E8890" s="4">
        <v>0</v>
      </c>
      <c r="F8890" s="4" t="s">
        <v>29</v>
      </c>
    </row>
    <row r="8891" spans="1:6" x14ac:dyDescent="0.25">
      <c r="A8891" s="4" t="s">
        <v>84</v>
      </c>
      <c r="B8891" s="4" t="s">
        <v>1</v>
      </c>
      <c r="C8891" s="4" t="s">
        <v>36</v>
      </c>
      <c r="D8891" s="4">
        <v>2038</v>
      </c>
      <c r="E8891" s="4">
        <v>0</v>
      </c>
      <c r="F8891" s="4" t="s">
        <v>29</v>
      </c>
    </row>
    <row r="8892" spans="1:6" x14ac:dyDescent="0.25">
      <c r="A8892" s="4" t="s">
        <v>84</v>
      </c>
      <c r="B8892" s="4" t="s">
        <v>1</v>
      </c>
      <c r="C8892" s="4" t="s">
        <v>36</v>
      </c>
      <c r="D8892" s="4">
        <v>2039</v>
      </c>
      <c r="E8892" s="4">
        <v>0</v>
      </c>
      <c r="F8892" s="4" t="s">
        <v>29</v>
      </c>
    </row>
    <row r="8893" spans="1:6" x14ac:dyDescent="0.25">
      <c r="A8893" s="4" t="s">
        <v>84</v>
      </c>
      <c r="B8893" s="4" t="s">
        <v>1</v>
      </c>
      <c r="C8893" s="4" t="s">
        <v>36</v>
      </c>
      <c r="D8893" s="4">
        <v>2040</v>
      </c>
      <c r="E8893" s="4">
        <v>0</v>
      </c>
      <c r="F8893" s="4" t="s">
        <v>29</v>
      </c>
    </row>
    <row r="8894" spans="1:6" x14ac:dyDescent="0.25">
      <c r="A8894" s="4" t="s">
        <v>84</v>
      </c>
      <c r="B8894" s="4" t="s">
        <v>2</v>
      </c>
      <c r="C8894" s="4" t="s">
        <v>36</v>
      </c>
      <c r="D8894" s="4">
        <v>2005</v>
      </c>
      <c r="E8894" s="4">
        <v>0</v>
      </c>
      <c r="F8894" s="4" t="s">
        <v>29</v>
      </c>
    </row>
    <row r="8895" spans="1:6" x14ac:dyDescent="0.25">
      <c r="A8895" s="4" t="s">
        <v>84</v>
      </c>
      <c r="B8895" s="4" t="s">
        <v>2</v>
      </c>
      <c r="C8895" s="4" t="s">
        <v>36</v>
      </c>
      <c r="D8895" s="4">
        <v>2006</v>
      </c>
      <c r="E8895" s="4">
        <v>0</v>
      </c>
      <c r="F8895" s="4" t="s">
        <v>29</v>
      </c>
    </row>
    <row r="8896" spans="1:6" x14ac:dyDescent="0.25">
      <c r="A8896" s="4" t="s">
        <v>84</v>
      </c>
      <c r="B8896" s="4" t="s">
        <v>2</v>
      </c>
      <c r="C8896" s="4" t="s">
        <v>36</v>
      </c>
      <c r="D8896" s="4">
        <v>2007</v>
      </c>
      <c r="E8896" s="4">
        <v>0</v>
      </c>
      <c r="F8896" s="4" t="s">
        <v>29</v>
      </c>
    </row>
    <row r="8897" spans="1:6" x14ac:dyDescent="0.25">
      <c r="A8897" s="4" t="s">
        <v>84</v>
      </c>
      <c r="B8897" s="4" t="s">
        <v>2</v>
      </c>
      <c r="C8897" s="4" t="s">
        <v>36</v>
      </c>
      <c r="D8897" s="4">
        <v>2008</v>
      </c>
      <c r="E8897" s="4">
        <v>0</v>
      </c>
      <c r="F8897" s="4" t="s">
        <v>29</v>
      </c>
    </row>
    <row r="8898" spans="1:6" x14ac:dyDescent="0.25">
      <c r="A8898" s="4" t="s">
        <v>84</v>
      </c>
      <c r="B8898" s="4" t="s">
        <v>2</v>
      </c>
      <c r="C8898" s="4" t="s">
        <v>36</v>
      </c>
      <c r="D8898" s="4">
        <v>2009</v>
      </c>
      <c r="E8898" s="4">
        <v>0</v>
      </c>
      <c r="F8898" s="4" t="s">
        <v>29</v>
      </c>
    </row>
    <row r="8899" spans="1:6" x14ac:dyDescent="0.25">
      <c r="A8899" s="4" t="s">
        <v>84</v>
      </c>
      <c r="B8899" s="4" t="s">
        <v>2</v>
      </c>
      <c r="C8899" s="4" t="s">
        <v>36</v>
      </c>
      <c r="D8899" s="4">
        <v>2010</v>
      </c>
      <c r="E8899" s="4">
        <v>0</v>
      </c>
      <c r="F8899" s="4" t="s">
        <v>29</v>
      </c>
    </row>
    <row r="8900" spans="1:6" x14ac:dyDescent="0.25">
      <c r="A8900" s="4" t="s">
        <v>84</v>
      </c>
      <c r="B8900" s="4" t="s">
        <v>2</v>
      </c>
      <c r="C8900" s="4" t="s">
        <v>36</v>
      </c>
      <c r="D8900" s="4">
        <v>2011</v>
      </c>
      <c r="E8900" s="4">
        <v>0</v>
      </c>
      <c r="F8900" s="4" t="s">
        <v>29</v>
      </c>
    </row>
    <row r="8901" spans="1:6" x14ac:dyDescent="0.25">
      <c r="A8901" s="4" t="s">
        <v>84</v>
      </c>
      <c r="B8901" s="4" t="s">
        <v>2</v>
      </c>
      <c r="C8901" s="4" t="s">
        <v>36</v>
      </c>
      <c r="D8901" s="4">
        <v>2012</v>
      </c>
      <c r="E8901" s="4">
        <v>0</v>
      </c>
      <c r="F8901" s="4" t="s">
        <v>29</v>
      </c>
    </row>
    <row r="8902" spans="1:6" x14ac:dyDescent="0.25">
      <c r="A8902" s="4" t="s">
        <v>84</v>
      </c>
      <c r="B8902" s="4" t="s">
        <v>2</v>
      </c>
      <c r="C8902" s="4" t="s">
        <v>36</v>
      </c>
      <c r="D8902" s="4">
        <v>2013</v>
      </c>
      <c r="E8902" s="4">
        <v>0</v>
      </c>
      <c r="F8902" s="4" t="s">
        <v>29</v>
      </c>
    </row>
    <row r="8903" spans="1:6" x14ac:dyDescent="0.25">
      <c r="A8903" s="4" t="s">
        <v>84</v>
      </c>
      <c r="B8903" s="4" t="s">
        <v>2</v>
      </c>
      <c r="C8903" s="4" t="s">
        <v>36</v>
      </c>
      <c r="D8903" s="4">
        <v>2014</v>
      </c>
      <c r="E8903" s="4">
        <v>0</v>
      </c>
      <c r="F8903" s="4" t="s">
        <v>29</v>
      </c>
    </row>
    <row r="8904" spans="1:6" x14ac:dyDescent="0.25">
      <c r="A8904" s="4" t="s">
        <v>84</v>
      </c>
      <c r="B8904" s="4" t="s">
        <v>2</v>
      </c>
      <c r="C8904" s="4" t="s">
        <v>36</v>
      </c>
      <c r="D8904" s="4">
        <v>2015</v>
      </c>
      <c r="E8904" s="4">
        <v>0</v>
      </c>
      <c r="F8904" s="4" t="s">
        <v>29</v>
      </c>
    </row>
    <row r="8905" spans="1:6" x14ac:dyDescent="0.25">
      <c r="A8905" s="4" t="s">
        <v>84</v>
      </c>
      <c r="B8905" s="4" t="s">
        <v>2</v>
      </c>
      <c r="C8905" s="4" t="s">
        <v>36</v>
      </c>
      <c r="D8905" s="4">
        <v>2016</v>
      </c>
      <c r="E8905" s="4">
        <v>0</v>
      </c>
      <c r="F8905" s="4" t="s">
        <v>29</v>
      </c>
    </row>
    <row r="8906" spans="1:6" x14ac:dyDescent="0.25">
      <c r="A8906" s="4" t="s">
        <v>84</v>
      </c>
      <c r="B8906" s="4" t="s">
        <v>2</v>
      </c>
      <c r="C8906" s="4" t="s">
        <v>36</v>
      </c>
      <c r="D8906" s="4">
        <v>2017</v>
      </c>
      <c r="E8906" s="4">
        <v>0</v>
      </c>
      <c r="F8906" s="4" t="s">
        <v>29</v>
      </c>
    </row>
    <row r="8907" spans="1:6" x14ac:dyDescent="0.25">
      <c r="A8907" s="4" t="s">
        <v>84</v>
      </c>
      <c r="B8907" s="4" t="s">
        <v>2</v>
      </c>
      <c r="C8907" s="4" t="s">
        <v>36</v>
      </c>
      <c r="D8907" s="4">
        <v>2018</v>
      </c>
      <c r="E8907" s="4">
        <v>0</v>
      </c>
      <c r="F8907" s="4" t="s">
        <v>29</v>
      </c>
    </row>
    <row r="8908" spans="1:6" x14ac:dyDescent="0.25">
      <c r="A8908" s="4" t="s">
        <v>84</v>
      </c>
      <c r="B8908" s="4" t="s">
        <v>2</v>
      </c>
      <c r="C8908" s="4" t="s">
        <v>36</v>
      </c>
      <c r="D8908" s="4">
        <v>2019</v>
      </c>
      <c r="E8908" s="4">
        <v>0</v>
      </c>
      <c r="F8908" s="4" t="s">
        <v>29</v>
      </c>
    </row>
    <row r="8909" spans="1:6" x14ac:dyDescent="0.25">
      <c r="A8909" s="4" t="s">
        <v>84</v>
      </c>
      <c r="B8909" s="4" t="s">
        <v>2</v>
      </c>
      <c r="C8909" s="4" t="s">
        <v>36</v>
      </c>
      <c r="D8909" s="4">
        <v>2020</v>
      </c>
      <c r="E8909" s="4">
        <v>0</v>
      </c>
      <c r="F8909" s="4" t="s">
        <v>29</v>
      </c>
    </row>
    <row r="8910" spans="1:6" x14ac:dyDescent="0.25">
      <c r="A8910" s="4" t="s">
        <v>84</v>
      </c>
      <c r="B8910" s="4" t="s">
        <v>2</v>
      </c>
      <c r="C8910" s="4" t="s">
        <v>36</v>
      </c>
      <c r="D8910" s="4">
        <v>2021</v>
      </c>
      <c r="E8910" s="4">
        <v>0</v>
      </c>
      <c r="F8910" s="4" t="s">
        <v>29</v>
      </c>
    </row>
    <row r="8911" spans="1:6" x14ac:dyDescent="0.25">
      <c r="A8911" s="4" t="s">
        <v>84</v>
      </c>
      <c r="B8911" s="4" t="s">
        <v>2</v>
      </c>
      <c r="C8911" s="4" t="s">
        <v>36</v>
      </c>
      <c r="D8911" s="4">
        <v>2022</v>
      </c>
      <c r="E8911" s="4">
        <v>0</v>
      </c>
      <c r="F8911" s="4" t="s">
        <v>29</v>
      </c>
    </row>
    <row r="8912" spans="1:6" x14ac:dyDescent="0.25">
      <c r="A8912" s="4" t="s">
        <v>84</v>
      </c>
      <c r="B8912" s="4" t="s">
        <v>2</v>
      </c>
      <c r="C8912" s="4" t="s">
        <v>36</v>
      </c>
      <c r="D8912" s="4">
        <v>2023</v>
      </c>
      <c r="E8912" s="4">
        <v>0</v>
      </c>
      <c r="F8912" s="4" t="s">
        <v>29</v>
      </c>
    </row>
    <row r="8913" spans="1:6" x14ac:dyDescent="0.25">
      <c r="A8913" s="4" t="s">
        <v>84</v>
      </c>
      <c r="B8913" s="4" t="s">
        <v>2</v>
      </c>
      <c r="C8913" s="4" t="s">
        <v>36</v>
      </c>
      <c r="D8913" s="4">
        <v>2024</v>
      </c>
      <c r="E8913" s="4">
        <v>0</v>
      </c>
      <c r="F8913" s="4" t="s">
        <v>29</v>
      </c>
    </row>
    <row r="8914" spans="1:6" x14ac:dyDescent="0.25">
      <c r="A8914" s="4" t="s">
        <v>84</v>
      </c>
      <c r="B8914" s="4" t="s">
        <v>2</v>
      </c>
      <c r="C8914" s="4" t="s">
        <v>36</v>
      </c>
      <c r="D8914" s="4">
        <v>2025</v>
      </c>
      <c r="E8914" s="4">
        <v>0</v>
      </c>
      <c r="F8914" s="4" t="s">
        <v>29</v>
      </c>
    </row>
    <row r="8915" spans="1:6" x14ac:dyDescent="0.25">
      <c r="A8915" s="4" t="s">
        <v>84</v>
      </c>
      <c r="B8915" s="4" t="s">
        <v>2</v>
      </c>
      <c r="C8915" s="4" t="s">
        <v>36</v>
      </c>
      <c r="D8915" s="4">
        <v>2026</v>
      </c>
      <c r="E8915" s="4">
        <v>0</v>
      </c>
      <c r="F8915" s="4" t="s">
        <v>29</v>
      </c>
    </row>
    <row r="8916" spans="1:6" x14ac:dyDescent="0.25">
      <c r="A8916" s="4" t="s">
        <v>84</v>
      </c>
      <c r="B8916" s="4" t="s">
        <v>2</v>
      </c>
      <c r="C8916" s="4" t="s">
        <v>36</v>
      </c>
      <c r="D8916" s="4">
        <v>2027</v>
      </c>
      <c r="E8916" s="4">
        <v>0</v>
      </c>
      <c r="F8916" s="4" t="s">
        <v>29</v>
      </c>
    </row>
    <row r="8917" spans="1:6" x14ac:dyDescent="0.25">
      <c r="A8917" s="4" t="s">
        <v>84</v>
      </c>
      <c r="B8917" s="4" t="s">
        <v>2</v>
      </c>
      <c r="C8917" s="4" t="s">
        <v>36</v>
      </c>
      <c r="D8917" s="4">
        <v>2028</v>
      </c>
      <c r="E8917" s="4">
        <v>0</v>
      </c>
      <c r="F8917" s="4" t="s">
        <v>29</v>
      </c>
    </row>
    <row r="8918" spans="1:6" x14ac:dyDescent="0.25">
      <c r="A8918" s="4" t="s">
        <v>84</v>
      </c>
      <c r="B8918" s="4" t="s">
        <v>2</v>
      </c>
      <c r="C8918" s="4" t="s">
        <v>36</v>
      </c>
      <c r="D8918" s="4">
        <v>2029</v>
      </c>
      <c r="E8918" s="4">
        <v>0</v>
      </c>
      <c r="F8918" s="4" t="s">
        <v>29</v>
      </c>
    </row>
    <row r="8919" spans="1:6" x14ac:dyDescent="0.25">
      <c r="A8919" s="4" t="s">
        <v>84</v>
      </c>
      <c r="B8919" s="4" t="s">
        <v>2</v>
      </c>
      <c r="C8919" s="4" t="s">
        <v>36</v>
      </c>
      <c r="D8919" s="4">
        <v>2030</v>
      </c>
      <c r="E8919" s="4">
        <v>0</v>
      </c>
      <c r="F8919" s="4" t="s">
        <v>29</v>
      </c>
    </row>
    <row r="8920" spans="1:6" x14ac:dyDescent="0.25">
      <c r="A8920" s="4" t="s">
        <v>84</v>
      </c>
      <c r="B8920" s="4" t="s">
        <v>2</v>
      </c>
      <c r="C8920" s="4" t="s">
        <v>36</v>
      </c>
      <c r="D8920" s="4">
        <v>2031</v>
      </c>
      <c r="E8920" s="4">
        <v>0</v>
      </c>
      <c r="F8920" s="4" t="s">
        <v>29</v>
      </c>
    </row>
    <row r="8921" spans="1:6" x14ac:dyDescent="0.25">
      <c r="A8921" s="4" t="s">
        <v>84</v>
      </c>
      <c r="B8921" s="4" t="s">
        <v>2</v>
      </c>
      <c r="C8921" s="4" t="s">
        <v>36</v>
      </c>
      <c r="D8921" s="4">
        <v>2032</v>
      </c>
      <c r="E8921" s="4">
        <v>0</v>
      </c>
      <c r="F8921" s="4" t="s">
        <v>29</v>
      </c>
    </row>
    <row r="8922" spans="1:6" x14ac:dyDescent="0.25">
      <c r="A8922" s="4" t="s">
        <v>84</v>
      </c>
      <c r="B8922" s="4" t="s">
        <v>2</v>
      </c>
      <c r="C8922" s="4" t="s">
        <v>36</v>
      </c>
      <c r="D8922" s="4">
        <v>2033</v>
      </c>
      <c r="E8922" s="4">
        <v>0</v>
      </c>
      <c r="F8922" s="4" t="s">
        <v>29</v>
      </c>
    </row>
    <row r="8923" spans="1:6" x14ac:dyDescent="0.25">
      <c r="A8923" s="4" t="s">
        <v>84</v>
      </c>
      <c r="B8923" s="4" t="s">
        <v>2</v>
      </c>
      <c r="C8923" s="4" t="s">
        <v>36</v>
      </c>
      <c r="D8923" s="4">
        <v>2034</v>
      </c>
      <c r="E8923" s="4">
        <v>0</v>
      </c>
      <c r="F8923" s="4" t="s">
        <v>29</v>
      </c>
    </row>
    <row r="8924" spans="1:6" x14ac:dyDescent="0.25">
      <c r="A8924" s="4" t="s">
        <v>84</v>
      </c>
      <c r="B8924" s="4" t="s">
        <v>2</v>
      </c>
      <c r="C8924" s="4" t="s">
        <v>36</v>
      </c>
      <c r="D8924" s="4">
        <v>2035</v>
      </c>
      <c r="E8924" s="4">
        <v>0</v>
      </c>
      <c r="F8924" s="4" t="s">
        <v>29</v>
      </c>
    </row>
    <row r="8925" spans="1:6" x14ac:dyDescent="0.25">
      <c r="A8925" s="4" t="s">
        <v>84</v>
      </c>
      <c r="B8925" s="4" t="s">
        <v>2</v>
      </c>
      <c r="C8925" s="4" t="s">
        <v>36</v>
      </c>
      <c r="D8925" s="4">
        <v>2036</v>
      </c>
      <c r="E8925" s="4">
        <v>0</v>
      </c>
      <c r="F8925" s="4" t="s">
        <v>29</v>
      </c>
    </row>
    <row r="8926" spans="1:6" x14ac:dyDescent="0.25">
      <c r="A8926" s="4" t="s">
        <v>84</v>
      </c>
      <c r="B8926" s="4" t="s">
        <v>2</v>
      </c>
      <c r="C8926" s="4" t="s">
        <v>36</v>
      </c>
      <c r="D8926" s="4">
        <v>2037</v>
      </c>
      <c r="E8926" s="4">
        <v>0</v>
      </c>
      <c r="F8926" s="4" t="s">
        <v>29</v>
      </c>
    </row>
    <row r="8927" spans="1:6" x14ac:dyDescent="0.25">
      <c r="A8927" s="4" t="s">
        <v>84</v>
      </c>
      <c r="B8927" s="4" t="s">
        <v>2</v>
      </c>
      <c r="C8927" s="4" t="s">
        <v>36</v>
      </c>
      <c r="D8927" s="4">
        <v>2038</v>
      </c>
      <c r="E8927" s="4">
        <v>0</v>
      </c>
      <c r="F8927" s="4" t="s">
        <v>29</v>
      </c>
    </row>
    <row r="8928" spans="1:6" x14ac:dyDescent="0.25">
      <c r="A8928" s="4" t="s">
        <v>84</v>
      </c>
      <c r="B8928" s="4" t="s">
        <v>2</v>
      </c>
      <c r="C8928" s="4" t="s">
        <v>36</v>
      </c>
      <c r="D8928" s="4">
        <v>2039</v>
      </c>
      <c r="E8928" s="4">
        <v>0</v>
      </c>
      <c r="F8928" s="4" t="s">
        <v>29</v>
      </c>
    </row>
    <row r="8929" spans="1:6" x14ac:dyDescent="0.25">
      <c r="A8929" s="4" t="s">
        <v>84</v>
      </c>
      <c r="B8929" s="4" t="s">
        <v>2</v>
      </c>
      <c r="C8929" s="4" t="s">
        <v>36</v>
      </c>
      <c r="D8929" s="4">
        <v>2040</v>
      </c>
      <c r="E8929" s="4">
        <v>0</v>
      </c>
      <c r="F8929" s="4" t="s">
        <v>29</v>
      </c>
    </row>
    <row r="8930" spans="1:6" x14ac:dyDescent="0.25">
      <c r="A8930" s="4" t="s">
        <v>84</v>
      </c>
      <c r="B8930" s="4" t="s">
        <v>3</v>
      </c>
      <c r="C8930" s="4" t="s">
        <v>36</v>
      </c>
      <c r="D8930" s="4">
        <v>2005</v>
      </c>
      <c r="E8930" s="4">
        <v>0</v>
      </c>
      <c r="F8930" s="4" t="s">
        <v>29</v>
      </c>
    </row>
    <row r="8931" spans="1:6" x14ac:dyDescent="0.25">
      <c r="A8931" s="4" t="s">
        <v>84</v>
      </c>
      <c r="B8931" s="4" t="s">
        <v>3</v>
      </c>
      <c r="C8931" s="4" t="s">
        <v>36</v>
      </c>
      <c r="D8931" s="4">
        <v>2006</v>
      </c>
      <c r="E8931" s="4">
        <v>0</v>
      </c>
      <c r="F8931" s="4" t="s">
        <v>29</v>
      </c>
    </row>
    <row r="8932" spans="1:6" x14ac:dyDescent="0.25">
      <c r="A8932" s="4" t="s">
        <v>84</v>
      </c>
      <c r="B8932" s="4" t="s">
        <v>3</v>
      </c>
      <c r="C8932" s="4" t="s">
        <v>36</v>
      </c>
      <c r="D8932" s="4">
        <v>2007</v>
      </c>
      <c r="E8932" s="4">
        <v>0</v>
      </c>
      <c r="F8932" s="4" t="s">
        <v>29</v>
      </c>
    </row>
    <row r="8933" spans="1:6" x14ac:dyDescent="0.25">
      <c r="A8933" s="4" t="s">
        <v>84</v>
      </c>
      <c r="B8933" s="4" t="s">
        <v>3</v>
      </c>
      <c r="C8933" s="4" t="s">
        <v>36</v>
      </c>
      <c r="D8933" s="4">
        <v>2008</v>
      </c>
      <c r="E8933" s="4">
        <v>0</v>
      </c>
      <c r="F8933" s="4" t="s">
        <v>29</v>
      </c>
    </row>
    <row r="8934" spans="1:6" x14ac:dyDescent="0.25">
      <c r="A8934" s="4" t="s">
        <v>84</v>
      </c>
      <c r="B8934" s="4" t="s">
        <v>3</v>
      </c>
      <c r="C8934" s="4" t="s">
        <v>36</v>
      </c>
      <c r="D8934" s="4">
        <v>2009</v>
      </c>
      <c r="E8934" s="4">
        <v>0</v>
      </c>
      <c r="F8934" s="4" t="s">
        <v>29</v>
      </c>
    </row>
    <row r="8935" spans="1:6" x14ac:dyDescent="0.25">
      <c r="A8935" s="4" t="s">
        <v>84</v>
      </c>
      <c r="B8935" s="4" t="s">
        <v>3</v>
      </c>
      <c r="C8935" s="4" t="s">
        <v>36</v>
      </c>
      <c r="D8935" s="4">
        <v>2010</v>
      </c>
      <c r="E8935" s="4">
        <v>0</v>
      </c>
      <c r="F8935" s="4" t="s">
        <v>29</v>
      </c>
    </row>
    <row r="8936" spans="1:6" x14ac:dyDescent="0.25">
      <c r="A8936" s="4" t="s">
        <v>84</v>
      </c>
      <c r="B8936" s="4" t="s">
        <v>3</v>
      </c>
      <c r="C8936" s="4" t="s">
        <v>36</v>
      </c>
      <c r="D8936" s="4">
        <v>2011</v>
      </c>
      <c r="E8936" s="4">
        <v>0</v>
      </c>
      <c r="F8936" s="4" t="s">
        <v>29</v>
      </c>
    </row>
    <row r="8937" spans="1:6" x14ac:dyDescent="0.25">
      <c r="A8937" s="4" t="s">
        <v>84</v>
      </c>
      <c r="B8937" s="4" t="s">
        <v>3</v>
      </c>
      <c r="C8937" s="4" t="s">
        <v>36</v>
      </c>
      <c r="D8937" s="4">
        <v>2012</v>
      </c>
      <c r="E8937" s="4">
        <v>0</v>
      </c>
      <c r="F8937" s="4" t="s">
        <v>29</v>
      </c>
    </row>
    <row r="8938" spans="1:6" x14ac:dyDescent="0.25">
      <c r="A8938" s="4" t="s">
        <v>84</v>
      </c>
      <c r="B8938" s="4" t="s">
        <v>3</v>
      </c>
      <c r="C8938" s="4" t="s">
        <v>36</v>
      </c>
      <c r="D8938" s="4">
        <v>2013</v>
      </c>
      <c r="E8938" s="4">
        <v>0</v>
      </c>
      <c r="F8938" s="4" t="s">
        <v>29</v>
      </c>
    </row>
    <row r="8939" spans="1:6" x14ac:dyDescent="0.25">
      <c r="A8939" s="4" t="s">
        <v>84</v>
      </c>
      <c r="B8939" s="4" t="s">
        <v>3</v>
      </c>
      <c r="C8939" s="4" t="s">
        <v>36</v>
      </c>
      <c r="D8939" s="4">
        <v>2014</v>
      </c>
      <c r="E8939" s="4">
        <v>0</v>
      </c>
      <c r="F8939" s="4" t="s">
        <v>29</v>
      </c>
    </row>
    <row r="8940" spans="1:6" x14ac:dyDescent="0.25">
      <c r="A8940" s="4" t="s">
        <v>84</v>
      </c>
      <c r="B8940" s="4" t="s">
        <v>3</v>
      </c>
      <c r="C8940" s="4" t="s">
        <v>36</v>
      </c>
      <c r="D8940" s="4">
        <v>2015</v>
      </c>
      <c r="E8940" s="4">
        <v>0</v>
      </c>
      <c r="F8940" s="4" t="s">
        <v>29</v>
      </c>
    </row>
    <row r="8941" spans="1:6" x14ac:dyDescent="0.25">
      <c r="A8941" s="4" t="s">
        <v>84</v>
      </c>
      <c r="B8941" s="4" t="s">
        <v>3</v>
      </c>
      <c r="C8941" s="4" t="s">
        <v>36</v>
      </c>
      <c r="D8941" s="4">
        <v>2016</v>
      </c>
      <c r="E8941" s="4">
        <v>0</v>
      </c>
      <c r="F8941" s="4" t="s">
        <v>29</v>
      </c>
    </row>
    <row r="8942" spans="1:6" x14ac:dyDescent="0.25">
      <c r="A8942" s="4" t="s">
        <v>84</v>
      </c>
      <c r="B8942" s="4" t="s">
        <v>3</v>
      </c>
      <c r="C8942" s="4" t="s">
        <v>36</v>
      </c>
      <c r="D8942" s="4">
        <v>2017</v>
      </c>
      <c r="E8942" s="4">
        <v>0</v>
      </c>
      <c r="F8942" s="4" t="s">
        <v>29</v>
      </c>
    </row>
    <row r="8943" spans="1:6" x14ac:dyDescent="0.25">
      <c r="A8943" s="4" t="s">
        <v>84</v>
      </c>
      <c r="B8943" s="4" t="s">
        <v>3</v>
      </c>
      <c r="C8943" s="4" t="s">
        <v>36</v>
      </c>
      <c r="D8943" s="4">
        <v>2018</v>
      </c>
      <c r="E8943" s="4">
        <v>0</v>
      </c>
      <c r="F8943" s="4" t="s">
        <v>29</v>
      </c>
    </row>
    <row r="8944" spans="1:6" x14ac:dyDescent="0.25">
      <c r="A8944" s="4" t="s">
        <v>84</v>
      </c>
      <c r="B8944" s="4" t="s">
        <v>3</v>
      </c>
      <c r="C8944" s="4" t="s">
        <v>36</v>
      </c>
      <c r="D8944" s="4">
        <v>2019</v>
      </c>
      <c r="E8944" s="4">
        <v>0</v>
      </c>
      <c r="F8944" s="4" t="s">
        <v>29</v>
      </c>
    </row>
    <row r="8945" spans="1:6" x14ac:dyDescent="0.25">
      <c r="A8945" s="4" t="s">
        <v>84</v>
      </c>
      <c r="B8945" s="4" t="s">
        <v>3</v>
      </c>
      <c r="C8945" s="4" t="s">
        <v>36</v>
      </c>
      <c r="D8945" s="4">
        <v>2020</v>
      </c>
      <c r="E8945" s="4">
        <v>0</v>
      </c>
      <c r="F8945" s="4" t="s">
        <v>29</v>
      </c>
    </row>
    <row r="8946" spans="1:6" x14ac:dyDescent="0.25">
      <c r="A8946" s="4" t="s">
        <v>84</v>
      </c>
      <c r="B8946" s="4" t="s">
        <v>3</v>
      </c>
      <c r="C8946" s="4" t="s">
        <v>36</v>
      </c>
      <c r="D8946" s="4">
        <v>2021</v>
      </c>
      <c r="E8946" s="4">
        <v>0</v>
      </c>
      <c r="F8946" s="4" t="s">
        <v>29</v>
      </c>
    </row>
    <row r="8947" spans="1:6" x14ac:dyDescent="0.25">
      <c r="A8947" s="4" t="s">
        <v>84</v>
      </c>
      <c r="B8947" s="4" t="s">
        <v>3</v>
      </c>
      <c r="C8947" s="4" t="s">
        <v>36</v>
      </c>
      <c r="D8947" s="4">
        <v>2022</v>
      </c>
      <c r="E8947" s="4">
        <v>0</v>
      </c>
      <c r="F8947" s="4" t="s">
        <v>29</v>
      </c>
    </row>
    <row r="8948" spans="1:6" x14ac:dyDescent="0.25">
      <c r="A8948" s="4" t="s">
        <v>84</v>
      </c>
      <c r="B8948" s="4" t="s">
        <v>3</v>
      </c>
      <c r="C8948" s="4" t="s">
        <v>36</v>
      </c>
      <c r="D8948" s="4">
        <v>2023</v>
      </c>
      <c r="E8948" s="4">
        <v>0</v>
      </c>
      <c r="F8948" s="4" t="s">
        <v>29</v>
      </c>
    </row>
    <row r="8949" spans="1:6" x14ac:dyDescent="0.25">
      <c r="A8949" s="4" t="s">
        <v>84</v>
      </c>
      <c r="B8949" s="4" t="s">
        <v>3</v>
      </c>
      <c r="C8949" s="4" t="s">
        <v>36</v>
      </c>
      <c r="D8949" s="4">
        <v>2024</v>
      </c>
      <c r="E8949" s="4">
        <v>0</v>
      </c>
      <c r="F8949" s="4" t="s">
        <v>29</v>
      </c>
    </row>
    <row r="8950" spans="1:6" x14ac:dyDescent="0.25">
      <c r="A8950" s="4" t="s">
        <v>84</v>
      </c>
      <c r="B8950" s="4" t="s">
        <v>3</v>
      </c>
      <c r="C8950" s="4" t="s">
        <v>36</v>
      </c>
      <c r="D8950" s="4">
        <v>2025</v>
      </c>
      <c r="E8950" s="4">
        <v>0</v>
      </c>
      <c r="F8950" s="4" t="s">
        <v>29</v>
      </c>
    </row>
    <row r="8951" spans="1:6" x14ac:dyDescent="0.25">
      <c r="A8951" s="4" t="s">
        <v>84</v>
      </c>
      <c r="B8951" s="4" t="s">
        <v>3</v>
      </c>
      <c r="C8951" s="4" t="s">
        <v>36</v>
      </c>
      <c r="D8951" s="4">
        <v>2026</v>
      </c>
      <c r="E8951" s="4">
        <v>0</v>
      </c>
      <c r="F8951" s="4" t="s">
        <v>29</v>
      </c>
    </row>
    <row r="8952" spans="1:6" x14ac:dyDescent="0.25">
      <c r="A8952" s="4" t="s">
        <v>84</v>
      </c>
      <c r="B8952" s="4" t="s">
        <v>3</v>
      </c>
      <c r="C8952" s="4" t="s">
        <v>36</v>
      </c>
      <c r="D8952" s="4">
        <v>2027</v>
      </c>
      <c r="E8952" s="4">
        <v>0</v>
      </c>
      <c r="F8952" s="4" t="s">
        <v>29</v>
      </c>
    </row>
    <row r="8953" spans="1:6" x14ac:dyDescent="0.25">
      <c r="A8953" s="4" t="s">
        <v>84</v>
      </c>
      <c r="B8953" s="4" t="s">
        <v>3</v>
      </c>
      <c r="C8953" s="4" t="s">
        <v>36</v>
      </c>
      <c r="D8953" s="4">
        <v>2028</v>
      </c>
      <c r="E8953" s="4">
        <v>0</v>
      </c>
      <c r="F8953" s="4" t="s">
        <v>29</v>
      </c>
    </row>
    <row r="8954" spans="1:6" x14ac:dyDescent="0.25">
      <c r="A8954" s="4" t="s">
        <v>84</v>
      </c>
      <c r="B8954" s="4" t="s">
        <v>3</v>
      </c>
      <c r="C8954" s="4" t="s">
        <v>36</v>
      </c>
      <c r="D8954" s="4">
        <v>2029</v>
      </c>
      <c r="E8954" s="4">
        <v>0</v>
      </c>
      <c r="F8954" s="4" t="s">
        <v>29</v>
      </c>
    </row>
    <row r="8955" spans="1:6" x14ac:dyDescent="0.25">
      <c r="A8955" s="4" t="s">
        <v>84</v>
      </c>
      <c r="B8955" s="4" t="s">
        <v>3</v>
      </c>
      <c r="C8955" s="4" t="s">
        <v>36</v>
      </c>
      <c r="D8955" s="4">
        <v>2030</v>
      </c>
      <c r="E8955" s="4">
        <v>0</v>
      </c>
      <c r="F8955" s="4" t="s">
        <v>29</v>
      </c>
    </row>
    <row r="8956" spans="1:6" x14ac:dyDescent="0.25">
      <c r="A8956" s="4" t="s">
        <v>84</v>
      </c>
      <c r="B8956" s="4" t="s">
        <v>3</v>
      </c>
      <c r="C8956" s="4" t="s">
        <v>36</v>
      </c>
      <c r="D8956" s="4">
        <v>2031</v>
      </c>
      <c r="E8956" s="4">
        <v>0</v>
      </c>
      <c r="F8956" s="4" t="s">
        <v>29</v>
      </c>
    </row>
    <row r="8957" spans="1:6" x14ac:dyDescent="0.25">
      <c r="A8957" s="4" t="s">
        <v>84</v>
      </c>
      <c r="B8957" s="4" t="s">
        <v>3</v>
      </c>
      <c r="C8957" s="4" t="s">
        <v>36</v>
      </c>
      <c r="D8957" s="4">
        <v>2032</v>
      </c>
      <c r="E8957" s="4">
        <v>0</v>
      </c>
      <c r="F8957" s="4" t="s">
        <v>29</v>
      </c>
    </row>
    <row r="8958" spans="1:6" x14ac:dyDescent="0.25">
      <c r="A8958" s="4" t="s">
        <v>84</v>
      </c>
      <c r="B8958" s="4" t="s">
        <v>3</v>
      </c>
      <c r="C8958" s="4" t="s">
        <v>36</v>
      </c>
      <c r="D8958" s="4">
        <v>2033</v>
      </c>
      <c r="E8958" s="4">
        <v>0</v>
      </c>
      <c r="F8958" s="4" t="s">
        <v>29</v>
      </c>
    </row>
    <row r="8959" spans="1:6" x14ac:dyDescent="0.25">
      <c r="A8959" s="4" t="s">
        <v>84</v>
      </c>
      <c r="B8959" s="4" t="s">
        <v>3</v>
      </c>
      <c r="C8959" s="4" t="s">
        <v>36</v>
      </c>
      <c r="D8959" s="4">
        <v>2034</v>
      </c>
      <c r="E8959" s="4">
        <v>0</v>
      </c>
      <c r="F8959" s="4" t="s">
        <v>29</v>
      </c>
    </row>
    <row r="8960" spans="1:6" x14ac:dyDescent="0.25">
      <c r="A8960" s="4" t="s">
        <v>84</v>
      </c>
      <c r="B8960" s="4" t="s">
        <v>3</v>
      </c>
      <c r="C8960" s="4" t="s">
        <v>36</v>
      </c>
      <c r="D8960" s="4">
        <v>2035</v>
      </c>
      <c r="E8960" s="4">
        <v>0</v>
      </c>
      <c r="F8960" s="4" t="s">
        <v>29</v>
      </c>
    </row>
    <row r="8961" spans="1:6" x14ac:dyDescent="0.25">
      <c r="A8961" s="4" t="s">
        <v>84</v>
      </c>
      <c r="B8961" s="4" t="s">
        <v>3</v>
      </c>
      <c r="C8961" s="4" t="s">
        <v>36</v>
      </c>
      <c r="D8961" s="4">
        <v>2036</v>
      </c>
      <c r="E8961" s="4">
        <v>0</v>
      </c>
      <c r="F8961" s="4" t="s">
        <v>29</v>
      </c>
    </row>
    <row r="8962" spans="1:6" x14ac:dyDescent="0.25">
      <c r="A8962" s="4" t="s">
        <v>84</v>
      </c>
      <c r="B8962" s="4" t="s">
        <v>3</v>
      </c>
      <c r="C8962" s="4" t="s">
        <v>36</v>
      </c>
      <c r="D8962" s="4">
        <v>2037</v>
      </c>
      <c r="E8962" s="4">
        <v>0</v>
      </c>
      <c r="F8962" s="4" t="s">
        <v>29</v>
      </c>
    </row>
    <row r="8963" spans="1:6" x14ac:dyDescent="0.25">
      <c r="A8963" s="4" t="s">
        <v>84</v>
      </c>
      <c r="B8963" s="4" t="s">
        <v>3</v>
      </c>
      <c r="C8963" s="4" t="s">
        <v>36</v>
      </c>
      <c r="D8963" s="4">
        <v>2038</v>
      </c>
      <c r="E8963" s="4">
        <v>0</v>
      </c>
      <c r="F8963" s="4" t="s">
        <v>29</v>
      </c>
    </row>
    <row r="8964" spans="1:6" x14ac:dyDescent="0.25">
      <c r="A8964" s="4" t="s">
        <v>84</v>
      </c>
      <c r="B8964" s="4" t="s">
        <v>3</v>
      </c>
      <c r="C8964" s="4" t="s">
        <v>36</v>
      </c>
      <c r="D8964" s="4">
        <v>2039</v>
      </c>
      <c r="E8964" s="4">
        <v>0</v>
      </c>
      <c r="F8964" s="4" t="s">
        <v>29</v>
      </c>
    </row>
    <row r="8965" spans="1:6" x14ac:dyDescent="0.25">
      <c r="A8965" s="4" t="s">
        <v>84</v>
      </c>
      <c r="B8965" s="4" t="s">
        <v>3</v>
      </c>
      <c r="C8965" s="4" t="s">
        <v>36</v>
      </c>
      <c r="D8965" s="4">
        <v>2040</v>
      </c>
      <c r="E8965" s="4">
        <v>0</v>
      </c>
      <c r="F8965" s="4" t="s">
        <v>29</v>
      </c>
    </row>
    <row r="8966" spans="1:6" x14ac:dyDescent="0.25">
      <c r="A8966" s="4" t="s">
        <v>84</v>
      </c>
      <c r="B8966" s="4" t="s">
        <v>4</v>
      </c>
      <c r="C8966" s="4" t="s">
        <v>36</v>
      </c>
      <c r="D8966" s="4">
        <v>2005</v>
      </c>
      <c r="E8966" s="4">
        <v>0</v>
      </c>
      <c r="F8966" s="4" t="s">
        <v>29</v>
      </c>
    </row>
    <row r="8967" spans="1:6" x14ac:dyDescent="0.25">
      <c r="A8967" s="4" t="s">
        <v>84</v>
      </c>
      <c r="B8967" s="4" t="s">
        <v>4</v>
      </c>
      <c r="C8967" s="4" t="s">
        <v>36</v>
      </c>
      <c r="D8967" s="4">
        <v>2006</v>
      </c>
      <c r="E8967" s="4">
        <v>0</v>
      </c>
      <c r="F8967" s="4" t="s">
        <v>29</v>
      </c>
    </row>
    <row r="8968" spans="1:6" x14ac:dyDescent="0.25">
      <c r="A8968" s="4" t="s">
        <v>84</v>
      </c>
      <c r="B8968" s="4" t="s">
        <v>4</v>
      </c>
      <c r="C8968" s="4" t="s">
        <v>36</v>
      </c>
      <c r="D8968" s="4">
        <v>2007</v>
      </c>
      <c r="E8968" s="4">
        <v>0</v>
      </c>
      <c r="F8968" s="4" t="s">
        <v>29</v>
      </c>
    </row>
    <row r="8969" spans="1:6" x14ac:dyDescent="0.25">
      <c r="A8969" s="4" t="s">
        <v>84</v>
      </c>
      <c r="B8969" s="4" t="s">
        <v>4</v>
      </c>
      <c r="C8969" s="4" t="s">
        <v>36</v>
      </c>
      <c r="D8969" s="4">
        <v>2008</v>
      </c>
      <c r="E8969" s="4">
        <v>0</v>
      </c>
      <c r="F8969" s="4" t="s">
        <v>29</v>
      </c>
    </row>
    <row r="8970" spans="1:6" x14ac:dyDescent="0.25">
      <c r="A8970" s="4" t="s">
        <v>84</v>
      </c>
      <c r="B8970" s="4" t="s">
        <v>4</v>
      </c>
      <c r="C8970" s="4" t="s">
        <v>36</v>
      </c>
      <c r="D8970" s="4">
        <v>2009</v>
      </c>
      <c r="E8970" s="4">
        <v>0</v>
      </c>
      <c r="F8970" s="4" t="s">
        <v>29</v>
      </c>
    </row>
    <row r="8971" spans="1:6" x14ac:dyDescent="0.25">
      <c r="A8971" s="4" t="s">
        <v>84</v>
      </c>
      <c r="B8971" s="4" t="s">
        <v>4</v>
      </c>
      <c r="C8971" s="4" t="s">
        <v>36</v>
      </c>
      <c r="D8971" s="4">
        <v>2010</v>
      </c>
      <c r="E8971" s="4">
        <v>0</v>
      </c>
      <c r="F8971" s="4" t="s">
        <v>29</v>
      </c>
    </row>
    <row r="8972" spans="1:6" x14ac:dyDescent="0.25">
      <c r="A8972" s="4" t="s">
        <v>84</v>
      </c>
      <c r="B8972" s="4" t="s">
        <v>4</v>
      </c>
      <c r="C8972" s="4" t="s">
        <v>36</v>
      </c>
      <c r="D8972" s="4">
        <v>2011</v>
      </c>
      <c r="E8972" s="4">
        <v>0</v>
      </c>
      <c r="F8972" s="4" t="s">
        <v>29</v>
      </c>
    </row>
    <row r="8973" spans="1:6" x14ac:dyDescent="0.25">
      <c r="A8973" s="4" t="s">
        <v>84</v>
      </c>
      <c r="B8973" s="4" t="s">
        <v>4</v>
      </c>
      <c r="C8973" s="4" t="s">
        <v>36</v>
      </c>
      <c r="D8973" s="4">
        <v>2012</v>
      </c>
      <c r="E8973" s="4">
        <v>0</v>
      </c>
      <c r="F8973" s="4" t="s">
        <v>29</v>
      </c>
    </row>
    <row r="8974" spans="1:6" x14ac:dyDescent="0.25">
      <c r="A8974" s="4" t="s">
        <v>84</v>
      </c>
      <c r="B8974" s="4" t="s">
        <v>4</v>
      </c>
      <c r="C8974" s="4" t="s">
        <v>36</v>
      </c>
      <c r="D8974" s="4">
        <v>2013</v>
      </c>
      <c r="E8974" s="4">
        <v>0</v>
      </c>
      <c r="F8974" s="4" t="s">
        <v>29</v>
      </c>
    </row>
    <row r="8975" spans="1:6" x14ac:dyDescent="0.25">
      <c r="A8975" s="4" t="s">
        <v>84</v>
      </c>
      <c r="B8975" s="4" t="s">
        <v>4</v>
      </c>
      <c r="C8975" s="4" t="s">
        <v>36</v>
      </c>
      <c r="D8975" s="4">
        <v>2014</v>
      </c>
      <c r="E8975" s="4">
        <v>0</v>
      </c>
      <c r="F8975" s="4" t="s">
        <v>29</v>
      </c>
    </row>
    <row r="8976" spans="1:6" x14ac:dyDescent="0.25">
      <c r="A8976" s="4" t="s">
        <v>84</v>
      </c>
      <c r="B8976" s="4" t="s">
        <v>4</v>
      </c>
      <c r="C8976" s="4" t="s">
        <v>36</v>
      </c>
      <c r="D8976" s="4">
        <v>2015</v>
      </c>
      <c r="E8976" s="4">
        <v>0</v>
      </c>
      <c r="F8976" s="4" t="s">
        <v>29</v>
      </c>
    </row>
    <row r="8977" spans="1:6" x14ac:dyDescent="0.25">
      <c r="A8977" s="4" t="s">
        <v>84</v>
      </c>
      <c r="B8977" s="4" t="s">
        <v>4</v>
      </c>
      <c r="C8977" s="4" t="s">
        <v>36</v>
      </c>
      <c r="D8977" s="4">
        <v>2016</v>
      </c>
      <c r="E8977" s="4">
        <v>0</v>
      </c>
      <c r="F8977" s="4" t="s">
        <v>29</v>
      </c>
    </row>
    <row r="8978" spans="1:6" x14ac:dyDescent="0.25">
      <c r="A8978" s="4" t="s">
        <v>84</v>
      </c>
      <c r="B8978" s="4" t="s">
        <v>4</v>
      </c>
      <c r="C8978" s="4" t="s">
        <v>36</v>
      </c>
      <c r="D8978" s="4">
        <v>2017</v>
      </c>
      <c r="E8978" s="4">
        <v>0</v>
      </c>
      <c r="F8978" s="4" t="s">
        <v>29</v>
      </c>
    </row>
    <row r="8979" spans="1:6" x14ac:dyDescent="0.25">
      <c r="A8979" s="4" t="s">
        <v>84</v>
      </c>
      <c r="B8979" s="4" t="s">
        <v>4</v>
      </c>
      <c r="C8979" s="4" t="s">
        <v>36</v>
      </c>
      <c r="D8979" s="4">
        <v>2018</v>
      </c>
      <c r="E8979" s="4">
        <v>0</v>
      </c>
      <c r="F8979" s="4" t="s">
        <v>29</v>
      </c>
    </row>
    <row r="8980" spans="1:6" x14ac:dyDescent="0.25">
      <c r="A8980" s="4" t="s">
        <v>84</v>
      </c>
      <c r="B8980" s="4" t="s">
        <v>4</v>
      </c>
      <c r="C8980" s="4" t="s">
        <v>36</v>
      </c>
      <c r="D8980" s="4">
        <v>2019</v>
      </c>
      <c r="E8980" s="4">
        <v>0</v>
      </c>
      <c r="F8980" s="4" t="s">
        <v>29</v>
      </c>
    </row>
    <row r="8981" spans="1:6" x14ac:dyDescent="0.25">
      <c r="A8981" s="4" t="s">
        <v>84</v>
      </c>
      <c r="B8981" s="4" t="s">
        <v>4</v>
      </c>
      <c r="C8981" s="4" t="s">
        <v>36</v>
      </c>
      <c r="D8981" s="4">
        <v>2020</v>
      </c>
      <c r="E8981" s="4">
        <v>0</v>
      </c>
      <c r="F8981" s="4" t="s">
        <v>29</v>
      </c>
    </row>
    <row r="8982" spans="1:6" x14ac:dyDescent="0.25">
      <c r="A8982" s="4" t="s">
        <v>84</v>
      </c>
      <c r="B8982" s="4" t="s">
        <v>4</v>
      </c>
      <c r="C8982" s="4" t="s">
        <v>36</v>
      </c>
      <c r="D8982" s="4">
        <v>2021</v>
      </c>
      <c r="E8982" s="4">
        <v>0</v>
      </c>
      <c r="F8982" s="4" t="s">
        <v>29</v>
      </c>
    </row>
    <row r="8983" spans="1:6" x14ac:dyDescent="0.25">
      <c r="A8983" s="4" t="s">
        <v>84</v>
      </c>
      <c r="B8983" s="4" t="s">
        <v>4</v>
      </c>
      <c r="C8983" s="4" t="s">
        <v>36</v>
      </c>
      <c r="D8983" s="4">
        <v>2022</v>
      </c>
      <c r="E8983" s="4">
        <v>0</v>
      </c>
      <c r="F8983" s="4" t="s">
        <v>29</v>
      </c>
    </row>
    <row r="8984" spans="1:6" x14ac:dyDescent="0.25">
      <c r="A8984" s="4" t="s">
        <v>84</v>
      </c>
      <c r="B8984" s="4" t="s">
        <v>4</v>
      </c>
      <c r="C8984" s="4" t="s">
        <v>36</v>
      </c>
      <c r="D8984" s="4">
        <v>2023</v>
      </c>
      <c r="E8984" s="4">
        <v>0</v>
      </c>
      <c r="F8984" s="4" t="s">
        <v>29</v>
      </c>
    </row>
    <row r="8985" spans="1:6" x14ac:dyDescent="0.25">
      <c r="A8985" s="4" t="s">
        <v>84</v>
      </c>
      <c r="B8985" s="4" t="s">
        <v>4</v>
      </c>
      <c r="C8985" s="4" t="s">
        <v>36</v>
      </c>
      <c r="D8985" s="4">
        <v>2024</v>
      </c>
      <c r="E8985" s="4">
        <v>0</v>
      </c>
      <c r="F8985" s="4" t="s">
        <v>29</v>
      </c>
    </row>
    <row r="8986" spans="1:6" x14ac:dyDescent="0.25">
      <c r="A8986" s="4" t="s">
        <v>84</v>
      </c>
      <c r="B8986" s="4" t="s">
        <v>4</v>
      </c>
      <c r="C8986" s="4" t="s">
        <v>36</v>
      </c>
      <c r="D8986" s="4">
        <v>2025</v>
      </c>
      <c r="E8986" s="4">
        <v>0</v>
      </c>
      <c r="F8986" s="4" t="s">
        <v>29</v>
      </c>
    </row>
    <row r="8987" spans="1:6" x14ac:dyDescent="0.25">
      <c r="A8987" s="4" t="s">
        <v>84</v>
      </c>
      <c r="B8987" s="4" t="s">
        <v>4</v>
      </c>
      <c r="C8987" s="4" t="s">
        <v>36</v>
      </c>
      <c r="D8987" s="4">
        <v>2026</v>
      </c>
      <c r="E8987" s="4">
        <v>0</v>
      </c>
      <c r="F8987" s="4" t="s">
        <v>29</v>
      </c>
    </row>
    <row r="8988" spans="1:6" x14ac:dyDescent="0.25">
      <c r="A8988" s="4" t="s">
        <v>84</v>
      </c>
      <c r="B8988" s="4" t="s">
        <v>4</v>
      </c>
      <c r="C8988" s="4" t="s">
        <v>36</v>
      </c>
      <c r="D8988" s="4">
        <v>2027</v>
      </c>
      <c r="E8988" s="4">
        <v>0</v>
      </c>
      <c r="F8988" s="4" t="s">
        <v>29</v>
      </c>
    </row>
    <row r="8989" spans="1:6" x14ac:dyDescent="0.25">
      <c r="A8989" s="4" t="s">
        <v>84</v>
      </c>
      <c r="B8989" s="4" t="s">
        <v>4</v>
      </c>
      <c r="C8989" s="4" t="s">
        <v>36</v>
      </c>
      <c r="D8989" s="4">
        <v>2028</v>
      </c>
      <c r="E8989" s="4">
        <v>0</v>
      </c>
      <c r="F8989" s="4" t="s">
        <v>29</v>
      </c>
    </row>
    <row r="8990" spans="1:6" x14ac:dyDescent="0.25">
      <c r="A8990" s="4" t="s">
        <v>84</v>
      </c>
      <c r="B8990" s="4" t="s">
        <v>4</v>
      </c>
      <c r="C8990" s="4" t="s">
        <v>36</v>
      </c>
      <c r="D8990" s="4">
        <v>2029</v>
      </c>
      <c r="E8990" s="4">
        <v>0</v>
      </c>
      <c r="F8990" s="4" t="s">
        <v>29</v>
      </c>
    </row>
    <row r="8991" spans="1:6" x14ac:dyDescent="0.25">
      <c r="A8991" s="4" t="s">
        <v>84</v>
      </c>
      <c r="B8991" s="4" t="s">
        <v>4</v>
      </c>
      <c r="C8991" s="4" t="s">
        <v>36</v>
      </c>
      <c r="D8991" s="4">
        <v>2030</v>
      </c>
      <c r="E8991" s="4">
        <v>0</v>
      </c>
      <c r="F8991" s="4" t="s">
        <v>29</v>
      </c>
    </row>
    <row r="8992" spans="1:6" x14ac:dyDescent="0.25">
      <c r="A8992" s="4" t="s">
        <v>84</v>
      </c>
      <c r="B8992" s="4" t="s">
        <v>4</v>
      </c>
      <c r="C8992" s="4" t="s">
        <v>36</v>
      </c>
      <c r="D8992" s="4">
        <v>2031</v>
      </c>
      <c r="E8992" s="4">
        <v>0</v>
      </c>
      <c r="F8992" s="4" t="s">
        <v>29</v>
      </c>
    </row>
    <row r="8993" spans="1:6" x14ac:dyDescent="0.25">
      <c r="A8993" s="4" t="s">
        <v>84</v>
      </c>
      <c r="B8993" s="4" t="s">
        <v>4</v>
      </c>
      <c r="C8993" s="4" t="s">
        <v>36</v>
      </c>
      <c r="D8993" s="4">
        <v>2032</v>
      </c>
      <c r="E8993" s="4">
        <v>0</v>
      </c>
      <c r="F8993" s="4" t="s">
        <v>29</v>
      </c>
    </row>
    <row r="8994" spans="1:6" x14ac:dyDescent="0.25">
      <c r="A8994" s="4" t="s">
        <v>84</v>
      </c>
      <c r="B8994" s="4" t="s">
        <v>4</v>
      </c>
      <c r="C8994" s="4" t="s">
        <v>36</v>
      </c>
      <c r="D8994" s="4">
        <v>2033</v>
      </c>
      <c r="E8994" s="4">
        <v>0</v>
      </c>
      <c r="F8994" s="4" t="s">
        <v>29</v>
      </c>
    </row>
    <row r="8995" spans="1:6" x14ac:dyDescent="0.25">
      <c r="A8995" s="4" t="s">
        <v>84</v>
      </c>
      <c r="B8995" s="4" t="s">
        <v>4</v>
      </c>
      <c r="C8995" s="4" t="s">
        <v>36</v>
      </c>
      <c r="D8995" s="4">
        <v>2034</v>
      </c>
      <c r="E8995" s="4">
        <v>0</v>
      </c>
      <c r="F8995" s="4" t="s">
        <v>29</v>
      </c>
    </row>
    <row r="8996" spans="1:6" x14ac:dyDescent="0.25">
      <c r="A8996" s="4" t="s">
        <v>84</v>
      </c>
      <c r="B8996" s="4" t="s">
        <v>4</v>
      </c>
      <c r="C8996" s="4" t="s">
        <v>36</v>
      </c>
      <c r="D8996" s="4">
        <v>2035</v>
      </c>
      <c r="E8996" s="4">
        <v>0</v>
      </c>
      <c r="F8996" s="4" t="s">
        <v>29</v>
      </c>
    </row>
    <row r="8997" spans="1:6" x14ac:dyDescent="0.25">
      <c r="A8997" s="4" t="s">
        <v>84</v>
      </c>
      <c r="B8997" s="4" t="s">
        <v>4</v>
      </c>
      <c r="C8997" s="4" t="s">
        <v>36</v>
      </c>
      <c r="D8997" s="4">
        <v>2036</v>
      </c>
      <c r="E8997" s="4">
        <v>0</v>
      </c>
      <c r="F8997" s="4" t="s">
        <v>29</v>
      </c>
    </row>
    <row r="8998" spans="1:6" x14ac:dyDescent="0.25">
      <c r="A8998" s="4" t="s">
        <v>84</v>
      </c>
      <c r="B8998" s="4" t="s">
        <v>4</v>
      </c>
      <c r="C8998" s="4" t="s">
        <v>36</v>
      </c>
      <c r="D8998" s="4">
        <v>2037</v>
      </c>
      <c r="E8998" s="4">
        <v>0</v>
      </c>
      <c r="F8998" s="4" t="s">
        <v>29</v>
      </c>
    </row>
    <row r="8999" spans="1:6" x14ac:dyDescent="0.25">
      <c r="A8999" s="4" t="s">
        <v>84</v>
      </c>
      <c r="B8999" s="4" t="s">
        <v>4</v>
      </c>
      <c r="C8999" s="4" t="s">
        <v>36</v>
      </c>
      <c r="D8999" s="4">
        <v>2038</v>
      </c>
      <c r="E8999" s="4">
        <v>0</v>
      </c>
      <c r="F8999" s="4" t="s">
        <v>29</v>
      </c>
    </row>
    <row r="9000" spans="1:6" x14ac:dyDescent="0.25">
      <c r="A9000" s="4" t="s">
        <v>84</v>
      </c>
      <c r="B9000" s="4" t="s">
        <v>4</v>
      </c>
      <c r="C9000" s="4" t="s">
        <v>36</v>
      </c>
      <c r="D9000" s="4">
        <v>2039</v>
      </c>
      <c r="E9000" s="4">
        <v>0</v>
      </c>
      <c r="F9000" s="4" t="s">
        <v>29</v>
      </c>
    </row>
    <row r="9001" spans="1:6" x14ac:dyDescent="0.25">
      <c r="A9001" s="4" t="s">
        <v>84</v>
      </c>
      <c r="B9001" s="4" t="s">
        <v>4</v>
      </c>
      <c r="C9001" s="4" t="s">
        <v>36</v>
      </c>
      <c r="D9001" s="4">
        <v>2040</v>
      </c>
      <c r="E9001" s="4">
        <v>0</v>
      </c>
      <c r="F9001" s="4" t="s">
        <v>29</v>
      </c>
    </row>
    <row r="9002" spans="1:6" x14ac:dyDescent="0.25">
      <c r="A9002" s="4" t="s">
        <v>84</v>
      </c>
      <c r="B9002" s="4" t="s">
        <v>5</v>
      </c>
      <c r="C9002" s="4" t="s">
        <v>36</v>
      </c>
      <c r="D9002" s="4">
        <v>2005</v>
      </c>
      <c r="E9002" s="4">
        <v>0</v>
      </c>
      <c r="F9002" s="4" t="s">
        <v>29</v>
      </c>
    </row>
    <row r="9003" spans="1:6" x14ac:dyDescent="0.25">
      <c r="A9003" s="4" t="s">
        <v>84</v>
      </c>
      <c r="B9003" s="4" t="s">
        <v>5</v>
      </c>
      <c r="C9003" s="4" t="s">
        <v>36</v>
      </c>
      <c r="D9003" s="4">
        <v>2006</v>
      </c>
      <c r="E9003" s="4">
        <v>0</v>
      </c>
      <c r="F9003" s="4" t="s">
        <v>29</v>
      </c>
    </row>
    <row r="9004" spans="1:6" x14ac:dyDescent="0.25">
      <c r="A9004" s="4" t="s">
        <v>84</v>
      </c>
      <c r="B9004" s="4" t="s">
        <v>5</v>
      </c>
      <c r="C9004" s="4" t="s">
        <v>36</v>
      </c>
      <c r="D9004" s="4">
        <v>2007</v>
      </c>
      <c r="E9004" s="4">
        <v>0</v>
      </c>
      <c r="F9004" s="4" t="s">
        <v>29</v>
      </c>
    </row>
    <row r="9005" spans="1:6" x14ac:dyDescent="0.25">
      <c r="A9005" s="4" t="s">
        <v>84</v>
      </c>
      <c r="B9005" s="4" t="s">
        <v>5</v>
      </c>
      <c r="C9005" s="4" t="s">
        <v>36</v>
      </c>
      <c r="D9005" s="4">
        <v>2008</v>
      </c>
      <c r="E9005" s="4">
        <v>0</v>
      </c>
      <c r="F9005" s="4" t="s">
        <v>29</v>
      </c>
    </row>
    <row r="9006" spans="1:6" x14ac:dyDescent="0.25">
      <c r="A9006" s="4" t="s">
        <v>84</v>
      </c>
      <c r="B9006" s="4" t="s">
        <v>5</v>
      </c>
      <c r="C9006" s="4" t="s">
        <v>36</v>
      </c>
      <c r="D9006" s="4">
        <v>2009</v>
      </c>
      <c r="E9006" s="4">
        <v>0</v>
      </c>
      <c r="F9006" s="4" t="s">
        <v>29</v>
      </c>
    </row>
    <row r="9007" spans="1:6" x14ac:dyDescent="0.25">
      <c r="A9007" s="4" t="s">
        <v>84</v>
      </c>
      <c r="B9007" s="4" t="s">
        <v>5</v>
      </c>
      <c r="C9007" s="4" t="s">
        <v>36</v>
      </c>
      <c r="D9007" s="4">
        <v>2010</v>
      </c>
      <c r="E9007" s="4">
        <v>0</v>
      </c>
      <c r="F9007" s="4" t="s">
        <v>29</v>
      </c>
    </row>
    <row r="9008" spans="1:6" x14ac:dyDescent="0.25">
      <c r="A9008" s="4" t="s">
        <v>84</v>
      </c>
      <c r="B9008" s="4" t="s">
        <v>5</v>
      </c>
      <c r="C9008" s="4" t="s">
        <v>36</v>
      </c>
      <c r="D9008" s="4">
        <v>2011</v>
      </c>
      <c r="E9008" s="4">
        <v>0</v>
      </c>
      <c r="F9008" s="4" t="s">
        <v>29</v>
      </c>
    </row>
    <row r="9009" spans="1:6" x14ac:dyDescent="0.25">
      <c r="A9009" s="4" t="s">
        <v>84</v>
      </c>
      <c r="B9009" s="4" t="s">
        <v>5</v>
      </c>
      <c r="C9009" s="4" t="s">
        <v>36</v>
      </c>
      <c r="D9009" s="4">
        <v>2012</v>
      </c>
      <c r="E9009" s="4">
        <v>0</v>
      </c>
      <c r="F9009" s="4" t="s">
        <v>29</v>
      </c>
    </row>
    <row r="9010" spans="1:6" x14ac:dyDescent="0.25">
      <c r="A9010" s="4" t="s">
        <v>84</v>
      </c>
      <c r="B9010" s="4" t="s">
        <v>5</v>
      </c>
      <c r="C9010" s="4" t="s">
        <v>36</v>
      </c>
      <c r="D9010" s="4">
        <v>2013</v>
      </c>
      <c r="E9010" s="4">
        <v>0</v>
      </c>
      <c r="F9010" s="4" t="s">
        <v>29</v>
      </c>
    </row>
    <row r="9011" spans="1:6" x14ac:dyDescent="0.25">
      <c r="A9011" s="4" t="s">
        <v>84</v>
      </c>
      <c r="B9011" s="4" t="s">
        <v>5</v>
      </c>
      <c r="C9011" s="4" t="s">
        <v>36</v>
      </c>
      <c r="D9011" s="4">
        <v>2014</v>
      </c>
      <c r="E9011" s="4">
        <v>0</v>
      </c>
      <c r="F9011" s="4" t="s">
        <v>29</v>
      </c>
    </row>
    <row r="9012" spans="1:6" x14ac:dyDescent="0.25">
      <c r="A9012" s="4" t="s">
        <v>84</v>
      </c>
      <c r="B9012" s="4" t="s">
        <v>5</v>
      </c>
      <c r="C9012" s="4" t="s">
        <v>36</v>
      </c>
      <c r="D9012" s="4">
        <v>2015</v>
      </c>
      <c r="E9012" s="4">
        <v>0</v>
      </c>
      <c r="F9012" s="4" t="s">
        <v>29</v>
      </c>
    </row>
    <row r="9013" spans="1:6" x14ac:dyDescent="0.25">
      <c r="A9013" s="4" t="s">
        <v>84</v>
      </c>
      <c r="B9013" s="4" t="s">
        <v>5</v>
      </c>
      <c r="C9013" s="4" t="s">
        <v>36</v>
      </c>
      <c r="D9013" s="4">
        <v>2016</v>
      </c>
      <c r="E9013" s="4">
        <v>0</v>
      </c>
      <c r="F9013" s="4" t="s">
        <v>29</v>
      </c>
    </row>
    <row r="9014" spans="1:6" x14ac:dyDescent="0.25">
      <c r="A9014" s="4" t="s">
        <v>84</v>
      </c>
      <c r="B9014" s="4" t="s">
        <v>5</v>
      </c>
      <c r="C9014" s="4" t="s">
        <v>36</v>
      </c>
      <c r="D9014" s="4">
        <v>2017</v>
      </c>
      <c r="E9014" s="4">
        <v>0</v>
      </c>
      <c r="F9014" s="4" t="s">
        <v>29</v>
      </c>
    </row>
    <row r="9015" spans="1:6" x14ac:dyDescent="0.25">
      <c r="A9015" s="4" t="s">
        <v>84</v>
      </c>
      <c r="B9015" s="4" t="s">
        <v>5</v>
      </c>
      <c r="C9015" s="4" t="s">
        <v>36</v>
      </c>
      <c r="D9015" s="4">
        <v>2018</v>
      </c>
      <c r="E9015" s="4">
        <v>0</v>
      </c>
      <c r="F9015" s="4" t="s">
        <v>29</v>
      </c>
    </row>
    <row r="9016" spans="1:6" x14ac:dyDescent="0.25">
      <c r="A9016" s="4" t="s">
        <v>84</v>
      </c>
      <c r="B9016" s="4" t="s">
        <v>5</v>
      </c>
      <c r="C9016" s="4" t="s">
        <v>36</v>
      </c>
      <c r="D9016" s="4">
        <v>2019</v>
      </c>
      <c r="E9016" s="4">
        <v>0</v>
      </c>
      <c r="F9016" s="4" t="s">
        <v>29</v>
      </c>
    </row>
    <row r="9017" spans="1:6" x14ac:dyDescent="0.25">
      <c r="A9017" s="4" t="s">
        <v>84</v>
      </c>
      <c r="B9017" s="4" t="s">
        <v>5</v>
      </c>
      <c r="C9017" s="4" t="s">
        <v>36</v>
      </c>
      <c r="D9017" s="4">
        <v>2020</v>
      </c>
      <c r="E9017" s="4">
        <v>0</v>
      </c>
      <c r="F9017" s="4" t="s">
        <v>29</v>
      </c>
    </row>
    <row r="9018" spans="1:6" x14ac:dyDescent="0.25">
      <c r="A9018" s="4" t="s">
        <v>84</v>
      </c>
      <c r="B9018" s="4" t="s">
        <v>5</v>
      </c>
      <c r="C9018" s="4" t="s">
        <v>36</v>
      </c>
      <c r="D9018" s="4">
        <v>2021</v>
      </c>
      <c r="E9018" s="4">
        <v>0</v>
      </c>
      <c r="F9018" s="4" t="s">
        <v>29</v>
      </c>
    </row>
    <row r="9019" spans="1:6" x14ac:dyDescent="0.25">
      <c r="A9019" s="4" t="s">
        <v>84</v>
      </c>
      <c r="B9019" s="4" t="s">
        <v>5</v>
      </c>
      <c r="C9019" s="4" t="s">
        <v>36</v>
      </c>
      <c r="D9019" s="4">
        <v>2022</v>
      </c>
      <c r="E9019" s="4">
        <v>0</v>
      </c>
      <c r="F9019" s="4" t="s">
        <v>29</v>
      </c>
    </row>
    <row r="9020" spans="1:6" x14ac:dyDescent="0.25">
      <c r="A9020" s="4" t="s">
        <v>84</v>
      </c>
      <c r="B9020" s="4" t="s">
        <v>5</v>
      </c>
      <c r="C9020" s="4" t="s">
        <v>36</v>
      </c>
      <c r="D9020" s="4">
        <v>2023</v>
      </c>
      <c r="E9020" s="4">
        <v>0</v>
      </c>
      <c r="F9020" s="4" t="s">
        <v>29</v>
      </c>
    </row>
    <row r="9021" spans="1:6" x14ac:dyDescent="0.25">
      <c r="A9021" s="4" t="s">
        <v>84</v>
      </c>
      <c r="B9021" s="4" t="s">
        <v>5</v>
      </c>
      <c r="C9021" s="4" t="s">
        <v>36</v>
      </c>
      <c r="D9021" s="4">
        <v>2024</v>
      </c>
      <c r="E9021" s="4">
        <v>0</v>
      </c>
      <c r="F9021" s="4" t="s">
        <v>29</v>
      </c>
    </row>
    <row r="9022" spans="1:6" x14ac:dyDescent="0.25">
      <c r="A9022" s="4" t="s">
        <v>84</v>
      </c>
      <c r="B9022" s="4" t="s">
        <v>5</v>
      </c>
      <c r="C9022" s="4" t="s">
        <v>36</v>
      </c>
      <c r="D9022" s="4">
        <v>2025</v>
      </c>
      <c r="E9022" s="4">
        <v>0</v>
      </c>
      <c r="F9022" s="4" t="s">
        <v>29</v>
      </c>
    </row>
    <row r="9023" spans="1:6" x14ac:dyDescent="0.25">
      <c r="A9023" s="4" t="s">
        <v>84</v>
      </c>
      <c r="B9023" s="4" t="s">
        <v>5</v>
      </c>
      <c r="C9023" s="4" t="s">
        <v>36</v>
      </c>
      <c r="D9023" s="4">
        <v>2026</v>
      </c>
      <c r="E9023" s="4">
        <v>0</v>
      </c>
      <c r="F9023" s="4" t="s">
        <v>29</v>
      </c>
    </row>
    <row r="9024" spans="1:6" x14ac:dyDescent="0.25">
      <c r="A9024" s="4" t="s">
        <v>84</v>
      </c>
      <c r="B9024" s="4" t="s">
        <v>5</v>
      </c>
      <c r="C9024" s="4" t="s">
        <v>36</v>
      </c>
      <c r="D9024" s="4">
        <v>2027</v>
      </c>
      <c r="E9024" s="4">
        <v>0</v>
      </c>
      <c r="F9024" s="4" t="s">
        <v>29</v>
      </c>
    </row>
    <row r="9025" spans="1:6" x14ac:dyDescent="0.25">
      <c r="A9025" s="4" t="s">
        <v>84</v>
      </c>
      <c r="B9025" s="4" t="s">
        <v>5</v>
      </c>
      <c r="C9025" s="4" t="s">
        <v>36</v>
      </c>
      <c r="D9025" s="4">
        <v>2028</v>
      </c>
      <c r="E9025" s="4">
        <v>0</v>
      </c>
      <c r="F9025" s="4" t="s">
        <v>29</v>
      </c>
    </row>
    <row r="9026" spans="1:6" x14ac:dyDescent="0.25">
      <c r="A9026" s="4" t="s">
        <v>84</v>
      </c>
      <c r="B9026" s="4" t="s">
        <v>5</v>
      </c>
      <c r="C9026" s="4" t="s">
        <v>36</v>
      </c>
      <c r="D9026" s="4">
        <v>2029</v>
      </c>
      <c r="E9026" s="4">
        <v>0</v>
      </c>
      <c r="F9026" s="4" t="s">
        <v>29</v>
      </c>
    </row>
    <row r="9027" spans="1:6" x14ac:dyDescent="0.25">
      <c r="A9027" s="4" t="s">
        <v>84</v>
      </c>
      <c r="B9027" s="4" t="s">
        <v>5</v>
      </c>
      <c r="C9027" s="4" t="s">
        <v>36</v>
      </c>
      <c r="D9027" s="4">
        <v>2030</v>
      </c>
      <c r="E9027" s="4">
        <v>0</v>
      </c>
      <c r="F9027" s="4" t="s">
        <v>29</v>
      </c>
    </row>
    <row r="9028" spans="1:6" x14ac:dyDescent="0.25">
      <c r="A9028" s="4" t="s">
        <v>84</v>
      </c>
      <c r="B9028" s="4" t="s">
        <v>5</v>
      </c>
      <c r="C9028" s="4" t="s">
        <v>36</v>
      </c>
      <c r="D9028" s="4">
        <v>2031</v>
      </c>
      <c r="E9028" s="4">
        <v>0</v>
      </c>
      <c r="F9028" s="4" t="s">
        <v>29</v>
      </c>
    </row>
    <row r="9029" spans="1:6" x14ac:dyDescent="0.25">
      <c r="A9029" s="4" t="s">
        <v>84</v>
      </c>
      <c r="B9029" s="4" t="s">
        <v>5</v>
      </c>
      <c r="C9029" s="4" t="s">
        <v>36</v>
      </c>
      <c r="D9029" s="4">
        <v>2032</v>
      </c>
      <c r="E9029" s="4">
        <v>0</v>
      </c>
      <c r="F9029" s="4" t="s">
        <v>29</v>
      </c>
    </row>
    <row r="9030" spans="1:6" x14ac:dyDescent="0.25">
      <c r="A9030" s="4" t="s">
        <v>84</v>
      </c>
      <c r="B9030" s="4" t="s">
        <v>5</v>
      </c>
      <c r="C9030" s="4" t="s">
        <v>36</v>
      </c>
      <c r="D9030" s="4">
        <v>2033</v>
      </c>
      <c r="E9030" s="4">
        <v>0</v>
      </c>
      <c r="F9030" s="4" t="s">
        <v>29</v>
      </c>
    </row>
    <row r="9031" spans="1:6" x14ac:dyDescent="0.25">
      <c r="A9031" s="4" t="s">
        <v>84</v>
      </c>
      <c r="B9031" s="4" t="s">
        <v>5</v>
      </c>
      <c r="C9031" s="4" t="s">
        <v>36</v>
      </c>
      <c r="D9031" s="4">
        <v>2034</v>
      </c>
      <c r="E9031" s="4">
        <v>0</v>
      </c>
      <c r="F9031" s="4" t="s">
        <v>29</v>
      </c>
    </row>
    <row r="9032" spans="1:6" x14ac:dyDescent="0.25">
      <c r="A9032" s="4" t="s">
        <v>84</v>
      </c>
      <c r="B9032" s="4" t="s">
        <v>5</v>
      </c>
      <c r="C9032" s="4" t="s">
        <v>36</v>
      </c>
      <c r="D9032" s="4">
        <v>2035</v>
      </c>
      <c r="E9032" s="4">
        <v>0</v>
      </c>
      <c r="F9032" s="4" t="s">
        <v>29</v>
      </c>
    </row>
    <row r="9033" spans="1:6" x14ac:dyDescent="0.25">
      <c r="A9033" s="4" t="s">
        <v>84</v>
      </c>
      <c r="B9033" s="4" t="s">
        <v>5</v>
      </c>
      <c r="C9033" s="4" t="s">
        <v>36</v>
      </c>
      <c r="D9033" s="4">
        <v>2036</v>
      </c>
      <c r="E9033" s="4">
        <v>0</v>
      </c>
      <c r="F9033" s="4" t="s">
        <v>29</v>
      </c>
    </row>
    <row r="9034" spans="1:6" x14ac:dyDescent="0.25">
      <c r="A9034" s="4" t="s">
        <v>84</v>
      </c>
      <c r="B9034" s="4" t="s">
        <v>5</v>
      </c>
      <c r="C9034" s="4" t="s">
        <v>36</v>
      </c>
      <c r="D9034" s="4">
        <v>2037</v>
      </c>
      <c r="E9034" s="4">
        <v>0</v>
      </c>
      <c r="F9034" s="4" t="s">
        <v>29</v>
      </c>
    </row>
    <row r="9035" spans="1:6" x14ac:dyDescent="0.25">
      <c r="A9035" s="4" t="s">
        <v>84</v>
      </c>
      <c r="B9035" s="4" t="s">
        <v>5</v>
      </c>
      <c r="C9035" s="4" t="s">
        <v>36</v>
      </c>
      <c r="D9035" s="4">
        <v>2038</v>
      </c>
      <c r="E9035" s="4">
        <v>0</v>
      </c>
      <c r="F9035" s="4" t="s">
        <v>29</v>
      </c>
    </row>
    <row r="9036" spans="1:6" x14ac:dyDescent="0.25">
      <c r="A9036" s="4" t="s">
        <v>84</v>
      </c>
      <c r="B9036" s="4" t="s">
        <v>5</v>
      </c>
      <c r="C9036" s="4" t="s">
        <v>36</v>
      </c>
      <c r="D9036" s="4">
        <v>2039</v>
      </c>
      <c r="E9036" s="4">
        <v>0</v>
      </c>
      <c r="F9036" s="4" t="s">
        <v>29</v>
      </c>
    </row>
    <row r="9037" spans="1:6" x14ac:dyDescent="0.25">
      <c r="A9037" s="4" t="s">
        <v>84</v>
      </c>
      <c r="B9037" s="4" t="s">
        <v>5</v>
      </c>
      <c r="C9037" s="4" t="s">
        <v>36</v>
      </c>
      <c r="D9037" s="4">
        <v>2040</v>
      </c>
      <c r="E9037" s="4">
        <v>0</v>
      </c>
      <c r="F9037" s="4" t="s">
        <v>29</v>
      </c>
    </row>
    <row r="9038" spans="1:6" x14ac:dyDescent="0.25">
      <c r="A9038" s="4" t="s">
        <v>84</v>
      </c>
      <c r="B9038" s="4" t="s">
        <v>6</v>
      </c>
      <c r="C9038" s="4" t="s">
        <v>36</v>
      </c>
      <c r="D9038" s="4">
        <v>2005</v>
      </c>
      <c r="E9038" s="4">
        <v>0</v>
      </c>
      <c r="F9038" s="4" t="s">
        <v>29</v>
      </c>
    </row>
    <row r="9039" spans="1:6" x14ac:dyDescent="0.25">
      <c r="A9039" s="4" t="s">
        <v>84</v>
      </c>
      <c r="B9039" s="4" t="s">
        <v>6</v>
      </c>
      <c r="C9039" s="4" t="s">
        <v>36</v>
      </c>
      <c r="D9039" s="4">
        <v>2006</v>
      </c>
      <c r="E9039" s="4">
        <v>0</v>
      </c>
      <c r="F9039" s="4" t="s">
        <v>29</v>
      </c>
    </row>
    <row r="9040" spans="1:6" x14ac:dyDescent="0.25">
      <c r="A9040" s="4" t="s">
        <v>84</v>
      </c>
      <c r="B9040" s="4" t="s">
        <v>6</v>
      </c>
      <c r="C9040" s="4" t="s">
        <v>36</v>
      </c>
      <c r="D9040" s="4">
        <v>2007</v>
      </c>
      <c r="E9040" s="4">
        <v>0</v>
      </c>
      <c r="F9040" s="4" t="s">
        <v>29</v>
      </c>
    </row>
    <row r="9041" spans="1:6" x14ac:dyDescent="0.25">
      <c r="A9041" s="4" t="s">
        <v>84</v>
      </c>
      <c r="B9041" s="4" t="s">
        <v>6</v>
      </c>
      <c r="C9041" s="4" t="s">
        <v>36</v>
      </c>
      <c r="D9041" s="4">
        <v>2008</v>
      </c>
      <c r="E9041" s="4">
        <v>0</v>
      </c>
      <c r="F9041" s="4" t="s">
        <v>29</v>
      </c>
    </row>
    <row r="9042" spans="1:6" x14ac:dyDescent="0.25">
      <c r="A9042" s="4" t="s">
        <v>84</v>
      </c>
      <c r="B9042" s="4" t="s">
        <v>6</v>
      </c>
      <c r="C9042" s="4" t="s">
        <v>36</v>
      </c>
      <c r="D9042" s="4">
        <v>2009</v>
      </c>
      <c r="E9042" s="4">
        <v>0</v>
      </c>
      <c r="F9042" s="4" t="s">
        <v>29</v>
      </c>
    </row>
    <row r="9043" spans="1:6" x14ac:dyDescent="0.25">
      <c r="A9043" s="4" t="s">
        <v>84</v>
      </c>
      <c r="B9043" s="4" t="s">
        <v>6</v>
      </c>
      <c r="C9043" s="4" t="s">
        <v>36</v>
      </c>
      <c r="D9043" s="4">
        <v>2010</v>
      </c>
      <c r="E9043" s="4">
        <v>0</v>
      </c>
      <c r="F9043" s="4" t="s">
        <v>29</v>
      </c>
    </row>
    <row r="9044" spans="1:6" x14ac:dyDescent="0.25">
      <c r="A9044" s="4" t="s">
        <v>84</v>
      </c>
      <c r="B9044" s="4" t="s">
        <v>6</v>
      </c>
      <c r="C9044" s="4" t="s">
        <v>36</v>
      </c>
      <c r="D9044" s="4">
        <v>2011</v>
      </c>
      <c r="E9044" s="4">
        <v>0</v>
      </c>
      <c r="F9044" s="4" t="s">
        <v>29</v>
      </c>
    </row>
    <row r="9045" spans="1:6" x14ac:dyDescent="0.25">
      <c r="A9045" s="4" t="s">
        <v>84</v>
      </c>
      <c r="B9045" s="4" t="s">
        <v>6</v>
      </c>
      <c r="C9045" s="4" t="s">
        <v>36</v>
      </c>
      <c r="D9045" s="4">
        <v>2012</v>
      </c>
      <c r="E9045" s="4">
        <v>0</v>
      </c>
      <c r="F9045" s="4" t="s">
        <v>29</v>
      </c>
    </row>
    <row r="9046" spans="1:6" x14ac:dyDescent="0.25">
      <c r="A9046" s="4" t="s">
        <v>84</v>
      </c>
      <c r="B9046" s="4" t="s">
        <v>6</v>
      </c>
      <c r="C9046" s="4" t="s">
        <v>36</v>
      </c>
      <c r="D9046" s="4">
        <v>2013</v>
      </c>
      <c r="E9046" s="4">
        <v>0</v>
      </c>
      <c r="F9046" s="4" t="s">
        <v>29</v>
      </c>
    </row>
    <row r="9047" spans="1:6" x14ac:dyDescent="0.25">
      <c r="A9047" s="4" t="s">
        <v>84</v>
      </c>
      <c r="B9047" s="4" t="s">
        <v>6</v>
      </c>
      <c r="C9047" s="4" t="s">
        <v>36</v>
      </c>
      <c r="D9047" s="4">
        <v>2014</v>
      </c>
      <c r="E9047" s="4">
        <v>0</v>
      </c>
      <c r="F9047" s="4" t="s">
        <v>29</v>
      </c>
    </row>
    <row r="9048" spans="1:6" x14ac:dyDescent="0.25">
      <c r="A9048" s="4" t="s">
        <v>84</v>
      </c>
      <c r="B9048" s="4" t="s">
        <v>6</v>
      </c>
      <c r="C9048" s="4" t="s">
        <v>36</v>
      </c>
      <c r="D9048" s="4">
        <v>2015</v>
      </c>
      <c r="E9048" s="4">
        <v>0</v>
      </c>
      <c r="F9048" s="4" t="s">
        <v>29</v>
      </c>
    </row>
    <row r="9049" spans="1:6" x14ac:dyDescent="0.25">
      <c r="A9049" s="4" t="s">
        <v>84</v>
      </c>
      <c r="B9049" s="4" t="s">
        <v>6</v>
      </c>
      <c r="C9049" s="4" t="s">
        <v>36</v>
      </c>
      <c r="D9049" s="4">
        <v>2016</v>
      </c>
      <c r="E9049" s="4">
        <v>0</v>
      </c>
      <c r="F9049" s="4" t="s">
        <v>29</v>
      </c>
    </row>
    <row r="9050" spans="1:6" x14ac:dyDescent="0.25">
      <c r="A9050" s="4" t="s">
        <v>84</v>
      </c>
      <c r="B9050" s="4" t="s">
        <v>6</v>
      </c>
      <c r="C9050" s="4" t="s">
        <v>36</v>
      </c>
      <c r="D9050" s="4">
        <v>2017</v>
      </c>
      <c r="E9050" s="4">
        <v>0</v>
      </c>
      <c r="F9050" s="4" t="s">
        <v>29</v>
      </c>
    </row>
    <row r="9051" spans="1:6" x14ac:dyDescent="0.25">
      <c r="A9051" s="4" t="s">
        <v>84</v>
      </c>
      <c r="B9051" s="4" t="s">
        <v>6</v>
      </c>
      <c r="C9051" s="4" t="s">
        <v>36</v>
      </c>
      <c r="D9051" s="4">
        <v>2018</v>
      </c>
      <c r="E9051" s="4">
        <v>0</v>
      </c>
      <c r="F9051" s="4" t="s">
        <v>29</v>
      </c>
    </row>
    <row r="9052" spans="1:6" x14ac:dyDescent="0.25">
      <c r="A9052" s="4" t="s">
        <v>84</v>
      </c>
      <c r="B9052" s="4" t="s">
        <v>6</v>
      </c>
      <c r="C9052" s="4" t="s">
        <v>36</v>
      </c>
      <c r="D9052" s="4">
        <v>2019</v>
      </c>
      <c r="E9052" s="4">
        <v>0</v>
      </c>
      <c r="F9052" s="4" t="s">
        <v>29</v>
      </c>
    </row>
    <row r="9053" spans="1:6" x14ac:dyDescent="0.25">
      <c r="A9053" s="4" t="s">
        <v>84</v>
      </c>
      <c r="B9053" s="4" t="s">
        <v>6</v>
      </c>
      <c r="C9053" s="4" t="s">
        <v>36</v>
      </c>
      <c r="D9053" s="4">
        <v>2020</v>
      </c>
      <c r="E9053" s="4">
        <v>0</v>
      </c>
      <c r="F9053" s="4" t="s">
        <v>29</v>
      </c>
    </row>
    <row r="9054" spans="1:6" x14ac:dyDescent="0.25">
      <c r="A9054" s="4" t="s">
        <v>84</v>
      </c>
      <c r="B9054" s="4" t="s">
        <v>6</v>
      </c>
      <c r="C9054" s="4" t="s">
        <v>36</v>
      </c>
      <c r="D9054" s="4">
        <v>2021</v>
      </c>
      <c r="E9054" s="4">
        <v>0</v>
      </c>
      <c r="F9054" s="4" t="s">
        <v>29</v>
      </c>
    </row>
    <row r="9055" spans="1:6" x14ac:dyDescent="0.25">
      <c r="A9055" s="4" t="s">
        <v>84</v>
      </c>
      <c r="B9055" s="4" t="s">
        <v>6</v>
      </c>
      <c r="C9055" s="4" t="s">
        <v>36</v>
      </c>
      <c r="D9055" s="4">
        <v>2022</v>
      </c>
      <c r="E9055" s="4">
        <v>0</v>
      </c>
      <c r="F9055" s="4" t="s">
        <v>29</v>
      </c>
    </row>
    <row r="9056" spans="1:6" x14ac:dyDescent="0.25">
      <c r="A9056" s="4" t="s">
        <v>84</v>
      </c>
      <c r="B9056" s="4" t="s">
        <v>6</v>
      </c>
      <c r="C9056" s="4" t="s">
        <v>36</v>
      </c>
      <c r="D9056" s="4">
        <v>2023</v>
      </c>
      <c r="E9056" s="4">
        <v>0</v>
      </c>
      <c r="F9056" s="4" t="s">
        <v>29</v>
      </c>
    </row>
    <row r="9057" spans="1:6" x14ac:dyDescent="0.25">
      <c r="A9057" s="4" t="s">
        <v>84</v>
      </c>
      <c r="B9057" s="4" t="s">
        <v>6</v>
      </c>
      <c r="C9057" s="4" t="s">
        <v>36</v>
      </c>
      <c r="D9057" s="4">
        <v>2024</v>
      </c>
      <c r="E9057" s="4">
        <v>0</v>
      </c>
      <c r="F9057" s="4" t="s">
        <v>29</v>
      </c>
    </row>
    <row r="9058" spans="1:6" x14ac:dyDescent="0.25">
      <c r="A9058" s="4" t="s">
        <v>84</v>
      </c>
      <c r="B9058" s="4" t="s">
        <v>6</v>
      </c>
      <c r="C9058" s="4" t="s">
        <v>36</v>
      </c>
      <c r="D9058" s="4">
        <v>2025</v>
      </c>
      <c r="E9058" s="4">
        <v>0</v>
      </c>
      <c r="F9058" s="4" t="s">
        <v>29</v>
      </c>
    </row>
    <row r="9059" spans="1:6" x14ac:dyDescent="0.25">
      <c r="A9059" s="4" t="s">
        <v>84</v>
      </c>
      <c r="B9059" s="4" t="s">
        <v>6</v>
      </c>
      <c r="C9059" s="4" t="s">
        <v>36</v>
      </c>
      <c r="D9059" s="4">
        <v>2026</v>
      </c>
      <c r="E9059" s="4">
        <v>0</v>
      </c>
      <c r="F9059" s="4" t="s">
        <v>29</v>
      </c>
    </row>
    <row r="9060" spans="1:6" x14ac:dyDescent="0.25">
      <c r="A9060" s="4" t="s">
        <v>84</v>
      </c>
      <c r="B9060" s="4" t="s">
        <v>6</v>
      </c>
      <c r="C9060" s="4" t="s">
        <v>36</v>
      </c>
      <c r="D9060" s="4">
        <v>2027</v>
      </c>
      <c r="E9060" s="4">
        <v>0</v>
      </c>
      <c r="F9060" s="4" t="s">
        <v>29</v>
      </c>
    </row>
    <row r="9061" spans="1:6" x14ac:dyDescent="0.25">
      <c r="A9061" s="4" t="s">
        <v>84</v>
      </c>
      <c r="B9061" s="4" t="s">
        <v>6</v>
      </c>
      <c r="C9061" s="4" t="s">
        <v>36</v>
      </c>
      <c r="D9061" s="4">
        <v>2028</v>
      </c>
      <c r="E9061" s="4">
        <v>0</v>
      </c>
      <c r="F9061" s="4" t="s">
        <v>29</v>
      </c>
    </row>
    <row r="9062" spans="1:6" x14ac:dyDescent="0.25">
      <c r="A9062" s="4" t="s">
        <v>84</v>
      </c>
      <c r="B9062" s="4" t="s">
        <v>6</v>
      </c>
      <c r="C9062" s="4" t="s">
        <v>36</v>
      </c>
      <c r="D9062" s="4">
        <v>2029</v>
      </c>
      <c r="E9062" s="4">
        <v>0</v>
      </c>
      <c r="F9062" s="4" t="s">
        <v>29</v>
      </c>
    </row>
    <row r="9063" spans="1:6" x14ac:dyDescent="0.25">
      <c r="A9063" s="4" t="s">
        <v>84</v>
      </c>
      <c r="B9063" s="4" t="s">
        <v>6</v>
      </c>
      <c r="C9063" s="4" t="s">
        <v>36</v>
      </c>
      <c r="D9063" s="4">
        <v>2030</v>
      </c>
      <c r="E9063" s="4">
        <v>0</v>
      </c>
      <c r="F9063" s="4" t="s">
        <v>29</v>
      </c>
    </row>
    <row r="9064" spans="1:6" x14ac:dyDescent="0.25">
      <c r="A9064" s="4" t="s">
        <v>84</v>
      </c>
      <c r="B9064" s="4" t="s">
        <v>6</v>
      </c>
      <c r="C9064" s="4" t="s">
        <v>36</v>
      </c>
      <c r="D9064" s="4">
        <v>2031</v>
      </c>
      <c r="E9064" s="4">
        <v>0</v>
      </c>
      <c r="F9064" s="4" t="s">
        <v>29</v>
      </c>
    </row>
    <row r="9065" spans="1:6" x14ac:dyDescent="0.25">
      <c r="A9065" s="4" t="s">
        <v>84</v>
      </c>
      <c r="B9065" s="4" t="s">
        <v>6</v>
      </c>
      <c r="C9065" s="4" t="s">
        <v>36</v>
      </c>
      <c r="D9065" s="4">
        <v>2032</v>
      </c>
      <c r="E9065" s="4">
        <v>0</v>
      </c>
      <c r="F9065" s="4" t="s">
        <v>29</v>
      </c>
    </row>
    <row r="9066" spans="1:6" x14ac:dyDescent="0.25">
      <c r="A9066" s="4" t="s">
        <v>84</v>
      </c>
      <c r="B9066" s="4" t="s">
        <v>6</v>
      </c>
      <c r="C9066" s="4" t="s">
        <v>36</v>
      </c>
      <c r="D9066" s="4">
        <v>2033</v>
      </c>
      <c r="E9066" s="4">
        <v>0</v>
      </c>
      <c r="F9066" s="4" t="s">
        <v>29</v>
      </c>
    </row>
    <row r="9067" spans="1:6" x14ac:dyDescent="0.25">
      <c r="A9067" s="4" t="s">
        <v>84</v>
      </c>
      <c r="B9067" s="4" t="s">
        <v>6</v>
      </c>
      <c r="C9067" s="4" t="s">
        <v>36</v>
      </c>
      <c r="D9067" s="4">
        <v>2034</v>
      </c>
      <c r="E9067" s="4">
        <v>0</v>
      </c>
      <c r="F9067" s="4" t="s">
        <v>29</v>
      </c>
    </row>
    <row r="9068" spans="1:6" x14ac:dyDescent="0.25">
      <c r="A9068" s="4" t="s">
        <v>84</v>
      </c>
      <c r="B9068" s="4" t="s">
        <v>6</v>
      </c>
      <c r="C9068" s="4" t="s">
        <v>36</v>
      </c>
      <c r="D9068" s="4">
        <v>2035</v>
      </c>
      <c r="E9068" s="4">
        <v>0</v>
      </c>
      <c r="F9068" s="4" t="s">
        <v>29</v>
      </c>
    </row>
    <row r="9069" spans="1:6" x14ac:dyDescent="0.25">
      <c r="A9069" s="4" t="s">
        <v>84</v>
      </c>
      <c r="B9069" s="4" t="s">
        <v>6</v>
      </c>
      <c r="C9069" s="4" t="s">
        <v>36</v>
      </c>
      <c r="D9069" s="4">
        <v>2036</v>
      </c>
      <c r="E9069" s="4">
        <v>0</v>
      </c>
      <c r="F9069" s="4" t="s">
        <v>29</v>
      </c>
    </row>
    <row r="9070" spans="1:6" x14ac:dyDescent="0.25">
      <c r="A9070" s="4" t="s">
        <v>84</v>
      </c>
      <c r="B9070" s="4" t="s">
        <v>6</v>
      </c>
      <c r="C9070" s="4" t="s">
        <v>36</v>
      </c>
      <c r="D9070" s="4">
        <v>2037</v>
      </c>
      <c r="E9070" s="4">
        <v>0</v>
      </c>
      <c r="F9070" s="4" t="s">
        <v>29</v>
      </c>
    </row>
    <row r="9071" spans="1:6" x14ac:dyDescent="0.25">
      <c r="A9071" s="4" t="s">
        <v>84</v>
      </c>
      <c r="B9071" s="4" t="s">
        <v>6</v>
      </c>
      <c r="C9071" s="4" t="s">
        <v>36</v>
      </c>
      <c r="D9071" s="4">
        <v>2038</v>
      </c>
      <c r="E9071" s="4">
        <v>0</v>
      </c>
      <c r="F9071" s="4" t="s">
        <v>29</v>
      </c>
    </row>
    <row r="9072" spans="1:6" x14ac:dyDescent="0.25">
      <c r="A9072" s="4" t="s">
        <v>84</v>
      </c>
      <c r="B9072" s="4" t="s">
        <v>6</v>
      </c>
      <c r="C9072" s="4" t="s">
        <v>36</v>
      </c>
      <c r="D9072" s="4">
        <v>2039</v>
      </c>
      <c r="E9072" s="4">
        <v>0</v>
      </c>
      <c r="F9072" s="4" t="s">
        <v>29</v>
      </c>
    </row>
    <row r="9073" spans="1:6" x14ac:dyDescent="0.25">
      <c r="A9073" s="4" t="s">
        <v>84</v>
      </c>
      <c r="B9073" s="4" t="s">
        <v>6</v>
      </c>
      <c r="C9073" s="4" t="s">
        <v>36</v>
      </c>
      <c r="D9073" s="4">
        <v>2040</v>
      </c>
      <c r="E9073" s="4">
        <v>0</v>
      </c>
      <c r="F9073" s="4" t="s">
        <v>29</v>
      </c>
    </row>
    <row r="9074" spans="1:6" x14ac:dyDescent="0.25">
      <c r="A9074" s="4" t="s">
        <v>84</v>
      </c>
      <c r="B9074" s="4" t="s">
        <v>23</v>
      </c>
      <c r="C9074" s="4" t="s">
        <v>36</v>
      </c>
      <c r="D9074" s="4">
        <v>2005</v>
      </c>
      <c r="E9074" s="4">
        <v>0</v>
      </c>
      <c r="F9074" s="4" t="s">
        <v>29</v>
      </c>
    </row>
    <row r="9075" spans="1:6" x14ac:dyDescent="0.25">
      <c r="A9075" s="4" t="s">
        <v>84</v>
      </c>
      <c r="B9075" s="4" t="s">
        <v>23</v>
      </c>
      <c r="C9075" s="4" t="s">
        <v>36</v>
      </c>
      <c r="D9075" s="4">
        <v>2006</v>
      </c>
      <c r="E9075" s="4">
        <v>0</v>
      </c>
      <c r="F9075" s="4" t="s">
        <v>29</v>
      </c>
    </row>
    <row r="9076" spans="1:6" x14ac:dyDescent="0.25">
      <c r="A9076" s="4" t="s">
        <v>84</v>
      </c>
      <c r="B9076" s="4" t="s">
        <v>23</v>
      </c>
      <c r="C9076" s="4" t="s">
        <v>36</v>
      </c>
      <c r="D9076" s="4">
        <v>2007</v>
      </c>
      <c r="E9076" s="4">
        <v>0</v>
      </c>
      <c r="F9076" s="4" t="s">
        <v>29</v>
      </c>
    </row>
    <row r="9077" spans="1:6" x14ac:dyDescent="0.25">
      <c r="A9077" s="4" t="s">
        <v>84</v>
      </c>
      <c r="B9077" s="4" t="s">
        <v>23</v>
      </c>
      <c r="C9077" s="4" t="s">
        <v>36</v>
      </c>
      <c r="D9077" s="4">
        <v>2008</v>
      </c>
      <c r="E9077" s="4">
        <v>0</v>
      </c>
      <c r="F9077" s="4" t="s">
        <v>29</v>
      </c>
    </row>
    <row r="9078" spans="1:6" x14ac:dyDescent="0.25">
      <c r="A9078" s="4" t="s">
        <v>84</v>
      </c>
      <c r="B9078" s="4" t="s">
        <v>23</v>
      </c>
      <c r="C9078" s="4" t="s">
        <v>36</v>
      </c>
      <c r="D9078" s="4">
        <v>2009</v>
      </c>
      <c r="E9078" s="4">
        <v>0</v>
      </c>
      <c r="F9078" s="4" t="s">
        <v>29</v>
      </c>
    </row>
    <row r="9079" spans="1:6" x14ac:dyDescent="0.25">
      <c r="A9079" s="4" t="s">
        <v>84</v>
      </c>
      <c r="B9079" s="4" t="s">
        <v>23</v>
      </c>
      <c r="C9079" s="4" t="s">
        <v>36</v>
      </c>
      <c r="D9079" s="4">
        <v>2010</v>
      </c>
      <c r="E9079" s="4">
        <v>0</v>
      </c>
      <c r="F9079" s="4" t="s">
        <v>29</v>
      </c>
    </row>
    <row r="9080" spans="1:6" x14ac:dyDescent="0.25">
      <c r="A9080" s="4" t="s">
        <v>84</v>
      </c>
      <c r="B9080" s="4" t="s">
        <v>23</v>
      </c>
      <c r="C9080" s="4" t="s">
        <v>36</v>
      </c>
      <c r="D9080" s="4">
        <v>2011</v>
      </c>
      <c r="E9080" s="4">
        <v>0</v>
      </c>
      <c r="F9080" s="4" t="s">
        <v>29</v>
      </c>
    </row>
    <row r="9081" spans="1:6" x14ac:dyDescent="0.25">
      <c r="A9081" s="4" t="s">
        <v>84</v>
      </c>
      <c r="B9081" s="4" t="s">
        <v>23</v>
      </c>
      <c r="C9081" s="4" t="s">
        <v>36</v>
      </c>
      <c r="D9081" s="4">
        <v>2012</v>
      </c>
      <c r="E9081" s="4">
        <v>0</v>
      </c>
      <c r="F9081" s="4" t="s">
        <v>29</v>
      </c>
    </row>
    <row r="9082" spans="1:6" x14ac:dyDescent="0.25">
      <c r="A9082" s="4" t="s">
        <v>84</v>
      </c>
      <c r="B9082" s="4" t="s">
        <v>23</v>
      </c>
      <c r="C9082" s="4" t="s">
        <v>36</v>
      </c>
      <c r="D9082" s="4">
        <v>2013</v>
      </c>
      <c r="E9082" s="4">
        <v>0</v>
      </c>
      <c r="F9082" s="4" t="s">
        <v>29</v>
      </c>
    </row>
    <row r="9083" spans="1:6" x14ac:dyDescent="0.25">
      <c r="A9083" s="4" t="s">
        <v>84</v>
      </c>
      <c r="B9083" s="4" t="s">
        <v>23</v>
      </c>
      <c r="C9083" s="4" t="s">
        <v>36</v>
      </c>
      <c r="D9083" s="4">
        <v>2014</v>
      </c>
      <c r="E9083" s="4">
        <v>0</v>
      </c>
      <c r="F9083" s="4" t="s">
        <v>29</v>
      </c>
    </row>
    <row r="9084" spans="1:6" x14ac:dyDescent="0.25">
      <c r="A9084" s="4" t="s">
        <v>84</v>
      </c>
      <c r="B9084" s="4" t="s">
        <v>23</v>
      </c>
      <c r="C9084" s="4" t="s">
        <v>36</v>
      </c>
      <c r="D9084" s="4">
        <v>2015</v>
      </c>
      <c r="E9084" s="4">
        <v>0</v>
      </c>
      <c r="F9084" s="4" t="s">
        <v>29</v>
      </c>
    </row>
    <row r="9085" spans="1:6" x14ac:dyDescent="0.25">
      <c r="A9085" s="4" t="s">
        <v>84</v>
      </c>
      <c r="B9085" s="4" t="s">
        <v>23</v>
      </c>
      <c r="C9085" s="4" t="s">
        <v>36</v>
      </c>
      <c r="D9085" s="4">
        <v>2016</v>
      </c>
      <c r="E9085" s="4">
        <v>0</v>
      </c>
      <c r="F9085" s="4" t="s">
        <v>29</v>
      </c>
    </row>
    <row r="9086" spans="1:6" x14ac:dyDescent="0.25">
      <c r="A9086" s="4" t="s">
        <v>84</v>
      </c>
      <c r="B9086" s="4" t="s">
        <v>23</v>
      </c>
      <c r="C9086" s="4" t="s">
        <v>36</v>
      </c>
      <c r="D9086" s="4">
        <v>2017</v>
      </c>
      <c r="E9086" s="4">
        <v>0</v>
      </c>
      <c r="F9086" s="4" t="s">
        <v>29</v>
      </c>
    </row>
    <row r="9087" spans="1:6" x14ac:dyDescent="0.25">
      <c r="A9087" s="4" t="s">
        <v>84</v>
      </c>
      <c r="B9087" s="4" t="s">
        <v>23</v>
      </c>
      <c r="C9087" s="4" t="s">
        <v>36</v>
      </c>
      <c r="D9087" s="4">
        <v>2018</v>
      </c>
      <c r="E9087" s="4">
        <v>0</v>
      </c>
      <c r="F9087" s="4" t="s">
        <v>29</v>
      </c>
    </row>
    <row r="9088" spans="1:6" x14ac:dyDescent="0.25">
      <c r="A9088" s="4" t="s">
        <v>84</v>
      </c>
      <c r="B9088" s="4" t="s">
        <v>23</v>
      </c>
      <c r="C9088" s="4" t="s">
        <v>36</v>
      </c>
      <c r="D9088" s="4">
        <v>2019</v>
      </c>
      <c r="E9088" s="4">
        <v>0</v>
      </c>
      <c r="F9088" s="4" t="s">
        <v>29</v>
      </c>
    </row>
    <row r="9089" spans="1:6" x14ac:dyDescent="0.25">
      <c r="A9089" s="4" t="s">
        <v>84</v>
      </c>
      <c r="B9089" s="4" t="s">
        <v>23</v>
      </c>
      <c r="C9089" s="4" t="s">
        <v>36</v>
      </c>
      <c r="D9089" s="4">
        <v>2020</v>
      </c>
      <c r="E9089" s="4">
        <v>0</v>
      </c>
      <c r="F9089" s="4" t="s">
        <v>29</v>
      </c>
    </row>
    <row r="9090" spans="1:6" x14ac:dyDescent="0.25">
      <c r="A9090" s="4" t="s">
        <v>84</v>
      </c>
      <c r="B9090" s="4" t="s">
        <v>23</v>
      </c>
      <c r="C9090" s="4" t="s">
        <v>36</v>
      </c>
      <c r="D9090" s="4">
        <v>2021</v>
      </c>
      <c r="E9090" s="4">
        <v>0</v>
      </c>
      <c r="F9090" s="4" t="s">
        <v>29</v>
      </c>
    </row>
    <row r="9091" spans="1:6" x14ac:dyDescent="0.25">
      <c r="A9091" s="4" t="s">
        <v>84</v>
      </c>
      <c r="B9091" s="4" t="s">
        <v>23</v>
      </c>
      <c r="C9091" s="4" t="s">
        <v>36</v>
      </c>
      <c r="D9091" s="4">
        <v>2022</v>
      </c>
      <c r="E9091" s="4">
        <v>0</v>
      </c>
      <c r="F9091" s="4" t="s">
        <v>29</v>
      </c>
    </row>
    <row r="9092" spans="1:6" x14ac:dyDescent="0.25">
      <c r="A9092" s="4" t="s">
        <v>84</v>
      </c>
      <c r="B9092" s="4" t="s">
        <v>23</v>
      </c>
      <c r="C9092" s="4" t="s">
        <v>36</v>
      </c>
      <c r="D9092" s="4">
        <v>2023</v>
      </c>
      <c r="E9092" s="4">
        <v>0</v>
      </c>
      <c r="F9092" s="4" t="s">
        <v>29</v>
      </c>
    </row>
    <row r="9093" spans="1:6" x14ac:dyDescent="0.25">
      <c r="A9093" s="4" t="s">
        <v>84</v>
      </c>
      <c r="B9093" s="4" t="s">
        <v>23</v>
      </c>
      <c r="C9093" s="4" t="s">
        <v>36</v>
      </c>
      <c r="D9093" s="4">
        <v>2024</v>
      </c>
      <c r="E9093" s="4">
        <v>0</v>
      </c>
      <c r="F9093" s="4" t="s">
        <v>29</v>
      </c>
    </row>
    <row r="9094" spans="1:6" x14ac:dyDescent="0.25">
      <c r="A9094" s="4" t="s">
        <v>84</v>
      </c>
      <c r="B9094" s="4" t="s">
        <v>23</v>
      </c>
      <c r="C9094" s="4" t="s">
        <v>36</v>
      </c>
      <c r="D9094" s="4">
        <v>2025</v>
      </c>
      <c r="E9094" s="4">
        <v>0</v>
      </c>
      <c r="F9094" s="4" t="s">
        <v>29</v>
      </c>
    </row>
    <row r="9095" spans="1:6" x14ac:dyDescent="0.25">
      <c r="A9095" s="4" t="s">
        <v>84</v>
      </c>
      <c r="B9095" s="4" t="s">
        <v>23</v>
      </c>
      <c r="C9095" s="4" t="s">
        <v>36</v>
      </c>
      <c r="D9095" s="4">
        <v>2026</v>
      </c>
      <c r="E9095" s="4">
        <v>0</v>
      </c>
      <c r="F9095" s="4" t="s">
        <v>29</v>
      </c>
    </row>
    <row r="9096" spans="1:6" x14ac:dyDescent="0.25">
      <c r="A9096" s="4" t="s">
        <v>84</v>
      </c>
      <c r="B9096" s="4" t="s">
        <v>23</v>
      </c>
      <c r="C9096" s="4" t="s">
        <v>36</v>
      </c>
      <c r="D9096" s="4">
        <v>2027</v>
      </c>
      <c r="E9096" s="4">
        <v>0</v>
      </c>
      <c r="F9096" s="4" t="s">
        <v>29</v>
      </c>
    </row>
    <row r="9097" spans="1:6" x14ac:dyDescent="0.25">
      <c r="A9097" s="4" t="s">
        <v>84</v>
      </c>
      <c r="B9097" s="4" t="s">
        <v>23</v>
      </c>
      <c r="C9097" s="4" t="s">
        <v>36</v>
      </c>
      <c r="D9097" s="4">
        <v>2028</v>
      </c>
      <c r="E9097" s="4">
        <v>0</v>
      </c>
      <c r="F9097" s="4" t="s">
        <v>29</v>
      </c>
    </row>
    <row r="9098" spans="1:6" x14ac:dyDescent="0.25">
      <c r="A9098" s="4" t="s">
        <v>84</v>
      </c>
      <c r="B9098" s="4" t="s">
        <v>23</v>
      </c>
      <c r="C9098" s="4" t="s">
        <v>36</v>
      </c>
      <c r="D9098" s="4">
        <v>2029</v>
      </c>
      <c r="E9098" s="4">
        <v>0</v>
      </c>
      <c r="F9098" s="4" t="s">
        <v>29</v>
      </c>
    </row>
    <row r="9099" spans="1:6" x14ac:dyDescent="0.25">
      <c r="A9099" s="4" t="s">
        <v>84</v>
      </c>
      <c r="B9099" s="4" t="s">
        <v>23</v>
      </c>
      <c r="C9099" s="4" t="s">
        <v>36</v>
      </c>
      <c r="D9099" s="4">
        <v>2030</v>
      </c>
      <c r="E9099" s="4">
        <v>0</v>
      </c>
      <c r="F9099" s="4" t="s">
        <v>29</v>
      </c>
    </row>
    <row r="9100" spans="1:6" x14ac:dyDescent="0.25">
      <c r="A9100" s="4" t="s">
        <v>84</v>
      </c>
      <c r="B9100" s="4" t="s">
        <v>23</v>
      </c>
      <c r="C9100" s="4" t="s">
        <v>36</v>
      </c>
      <c r="D9100" s="4">
        <v>2031</v>
      </c>
      <c r="E9100" s="4">
        <v>0</v>
      </c>
      <c r="F9100" s="4" t="s">
        <v>29</v>
      </c>
    </row>
    <row r="9101" spans="1:6" x14ac:dyDescent="0.25">
      <c r="A9101" s="4" t="s">
        <v>84</v>
      </c>
      <c r="B9101" s="4" t="s">
        <v>23</v>
      </c>
      <c r="C9101" s="4" t="s">
        <v>36</v>
      </c>
      <c r="D9101" s="4">
        <v>2032</v>
      </c>
      <c r="E9101" s="4">
        <v>0</v>
      </c>
      <c r="F9101" s="4" t="s">
        <v>29</v>
      </c>
    </row>
    <row r="9102" spans="1:6" x14ac:dyDescent="0.25">
      <c r="A9102" s="4" t="s">
        <v>84</v>
      </c>
      <c r="B9102" s="4" t="s">
        <v>23</v>
      </c>
      <c r="C9102" s="4" t="s">
        <v>36</v>
      </c>
      <c r="D9102" s="4">
        <v>2033</v>
      </c>
      <c r="E9102" s="4">
        <v>0</v>
      </c>
      <c r="F9102" s="4" t="s">
        <v>29</v>
      </c>
    </row>
    <row r="9103" spans="1:6" x14ac:dyDescent="0.25">
      <c r="A9103" s="4" t="s">
        <v>84</v>
      </c>
      <c r="B9103" s="4" t="s">
        <v>23</v>
      </c>
      <c r="C9103" s="4" t="s">
        <v>36</v>
      </c>
      <c r="D9103" s="4">
        <v>2034</v>
      </c>
      <c r="E9103" s="4">
        <v>0</v>
      </c>
      <c r="F9103" s="4" t="s">
        <v>29</v>
      </c>
    </row>
    <row r="9104" spans="1:6" x14ac:dyDescent="0.25">
      <c r="A9104" s="4" t="s">
        <v>84</v>
      </c>
      <c r="B9104" s="4" t="s">
        <v>23</v>
      </c>
      <c r="C9104" s="4" t="s">
        <v>36</v>
      </c>
      <c r="D9104" s="4">
        <v>2035</v>
      </c>
      <c r="E9104" s="4">
        <v>0</v>
      </c>
      <c r="F9104" s="4" t="s">
        <v>29</v>
      </c>
    </row>
    <row r="9105" spans="1:6" x14ac:dyDescent="0.25">
      <c r="A9105" s="4" t="s">
        <v>84</v>
      </c>
      <c r="B9105" s="4" t="s">
        <v>23</v>
      </c>
      <c r="C9105" s="4" t="s">
        <v>36</v>
      </c>
      <c r="D9105" s="4">
        <v>2036</v>
      </c>
      <c r="E9105" s="4">
        <v>0</v>
      </c>
      <c r="F9105" s="4" t="s">
        <v>29</v>
      </c>
    </row>
    <row r="9106" spans="1:6" x14ac:dyDescent="0.25">
      <c r="A9106" s="4" t="s">
        <v>84</v>
      </c>
      <c r="B9106" s="4" t="s">
        <v>23</v>
      </c>
      <c r="C9106" s="4" t="s">
        <v>36</v>
      </c>
      <c r="D9106" s="4">
        <v>2037</v>
      </c>
      <c r="E9106" s="4">
        <v>0</v>
      </c>
      <c r="F9106" s="4" t="s">
        <v>29</v>
      </c>
    </row>
    <row r="9107" spans="1:6" x14ac:dyDescent="0.25">
      <c r="A9107" s="4" t="s">
        <v>84</v>
      </c>
      <c r="B9107" s="4" t="s">
        <v>23</v>
      </c>
      <c r="C9107" s="4" t="s">
        <v>36</v>
      </c>
      <c r="D9107" s="4">
        <v>2038</v>
      </c>
      <c r="E9107" s="4">
        <v>0</v>
      </c>
      <c r="F9107" s="4" t="s">
        <v>29</v>
      </c>
    </row>
    <row r="9108" spans="1:6" x14ac:dyDescent="0.25">
      <c r="A9108" s="4" t="s">
        <v>84</v>
      </c>
      <c r="B9108" s="4" t="s">
        <v>23</v>
      </c>
      <c r="C9108" s="4" t="s">
        <v>36</v>
      </c>
      <c r="D9108" s="4">
        <v>2039</v>
      </c>
      <c r="E9108" s="4">
        <v>0</v>
      </c>
      <c r="F9108" s="4" t="s">
        <v>29</v>
      </c>
    </row>
    <row r="9109" spans="1:6" x14ac:dyDescent="0.25">
      <c r="A9109" s="4" t="s">
        <v>84</v>
      </c>
      <c r="B9109" s="4" t="s">
        <v>23</v>
      </c>
      <c r="C9109" s="4" t="s">
        <v>36</v>
      </c>
      <c r="D9109" s="4">
        <v>2040</v>
      </c>
      <c r="E9109" s="4">
        <v>0</v>
      </c>
      <c r="F9109" s="4" t="s">
        <v>29</v>
      </c>
    </row>
    <row r="9110" spans="1:6" x14ac:dyDescent="0.25">
      <c r="A9110" s="4" t="s">
        <v>85</v>
      </c>
      <c r="B9110" s="4" t="s">
        <v>1</v>
      </c>
      <c r="C9110" s="4" t="s">
        <v>36</v>
      </c>
      <c r="D9110" s="4">
        <v>2005</v>
      </c>
      <c r="E9110" s="4">
        <v>0</v>
      </c>
      <c r="F9110" s="4" t="s">
        <v>29</v>
      </c>
    </row>
    <row r="9111" spans="1:6" x14ac:dyDescent="0.25">
      <c r="A9111" s="4" t="s">
        <v>85</v>
      </c>
      <c r="B9111" s="4" t="s">
        <v>1</v>
      </c>
      <c r="C9111" s="4" t="s">
        <v>36</v>
      </c>
      <c r="D9111" s="4">
        <v>2006</v>
      </c>
      <c r="E9111" s="4">
        <v>0</v>
      </c>
      <c r="F9111" s="4" t="s">
        <v>29</v>
      </c>
    </row>
    <row r="9112" spans="1:6" x14ac:dyDescent="0.25">
      <c r="A9112" s="4" t="s">
        <v>85</v>
      </c>
      <c r="B9112" s="4" t="s">
        <v>1</v>
      </c>
      <c r="C9112" s="4" t="s">
        <v>36</v>
      </c>
      <c r="D9112" s="4">
        <v>2007</v>
      </c>
      <c r="E9112" s="4">
        <v>0</v>
      </c>
      <c r="F9112" s="4" t="s">
        <v>29</v>
      </c>
    </row>
    <row r="9113" spans="1:6" x14ac:dyDescent="0.25">
      <c r="A9113" s="4" t="s">
        <v>85</v>
      </c>
      <c r="B9113" s="4" t="s">
        <v>1</v>
      </c>
      <c r="C9113" s="4" t="s">
        <v>36</v>
      </c>
      <c r="D9113" s="4">
        <v>2008</v>
      </c>
      <c r="E9113" s="4">
        <v>0</v>
      </c>
      <c r="F9113" s="4" t="s">
        <v>29</v>
      </c>
    </row>
    <row r="9114" spans="1:6" x14ac:dyDescent="0.25">
      <c r="A9114" s="4" t="s">
        <v>85</v>
      </c>
      <c r="B9114" s="4" t="s">
        <v>1</v>
      </c>
      <c r="C9114" s="4" t="s">
        <v>36</v>
      </c>
      <c r="D9114" s="4">
        <v>2009</v>
      </c>
      <c r="E9114" s="4">
        <v>0</v>
      </c>
      <c r="F9114" s="4" t="s">
        <v>29</v>
      </c>
    </row>
    <row r="9115" spans="1:6" x14ac:dyDescent="0.25">
      <c r="A9115" s="4" t="s">
        <v>85</v>
      </c>
      <c r="B9115" s="4" t="s">
        <v>1</v>
      </c>
      <c r="C9115" s="4" t="s">
        <v>36</v>
      </c>
      <c r="D9115" s="4">
        <v>2010</v>
      </c>
      <c r="E9115" s="4">
        <v>0</v>
      </c>
      <c r="F9115" s="4" t="s">
        <v>29</v>
      </c>
    </row>
    <row r="9116" spans="1:6" x14ac:dyDescent="0.25">
      <c r="A9116" s="4" t="s">
        <v>85</v>
      </c>
      <c r="B9116" s="4" t="s">
        <v>1</v>
      </c>
      <c r="C9116" s="4" t="s">
        <v>36</v>
      </c>
      <c r="D9116" s="4">
        <v>2011</v>
      </c>
      <c r="E9116" s="4">
        <v>0</v>
      </c>
      <c r="F9116" s="4" t="s">
        <v>29</v>
      </c>
    </row>
    <row r="9117" spans="1:6" x14ac:dyDescent="0.25">
      <c r="A9117" s="4" t="s">
        <v>85</v>
      </c>
      <c r="B9117" s="4" t="s">
        <v>1</v>
      </c>
      <c r="C9117" s="4" t="s">
        <v>36</v>
      </c>
      <c r="D9117" s="4">
        <v>2012</v>
      </c>
      <c r="E9117" s="4">
        <v>0</v>
      </c>
      <c r="F9117" s="4" t="s">
        <v>29</v>
      </c>
    </row>
    <row r="9118" spans="1:6" x14ac:dyDescent="0.25">
      <c r="A9118" s="4" t="s">
        <v>85</v>
      </c>
      <c r="B9118" s="4" t="s">
        <v>1</v>
      </c>
      <c r="C9118" s="4" t="s">
        <v>36</v>
      </c>
      <c r="D9118" s="4">
        <v>2013</v>
      </c>
      <c r="E9118" s="4">
        <v>0</v>
      </c>
      <c r="F9118" s="4" t="s">
        <v>29</v>
      </c>
    </row>
    <row r="9119" spans="1:6" x14ac:dyDescent="0.25">
      <c r="A9119" s="4" t="s">
        <v>85</v>
      </c>
      <c r="B9119" s="4" t="s">
        <v>1</v>
      </c>
      <c r="C9119" s="4" t="s">
        <v>36</v>
      </c>
      <c r="D9119" s="4">
        <v>2014</v>
      </c>
      <c r="E9119" s="4">
        <v>0</v>
      </c>
      <c r="F9119" s="4" t="s">
        <v>29</v>
      </c>
    </row>
    <row r="9120" spans="1:6" x14ac:dyDescent="0.25">
      <c r="A9120" s="4" t="s">
        <v>85</v>
      </c>
      <c r="B9120" s="4" t="s">
        <v>1</v>
      </c>
      <c r="C9120" s="4" t="s">
        <v>36</v>
      </c>
      <c r="D9120" s="4">
        <v>2015</v>
      </c>
      <c r="E9120" s="4">
        <v>0</v>
      </c>
      <c r="F9120" s="4" t="s">
        <v>29</v>
      </c>
    </row>
    <row r="9121" spans="1:6" x14ac:dyDescent="0.25">
      <c r="A9121" s="4" t="s">
        <v>85</v>
      </c>
      <c r="B9121" s="4" t="s">
        <v>1</v>
      </c>
      <c r="C9121" s="4" t="s">
        <v>36</v>
      </c>
      <c r="D9121" s="4">
        <v>2016</v>
      </c>
      <c r="E9121" s="4">
        <v>0</v>
      </c>
      <c r="F9121" s="4" t="s">
        <v>29</v>
      </c>
    </row>
    <row r="9122" spans="1:6" x14ac:dyDescent="0.25">
      <c r="A9122" s="4" t="s">
        <v>85</v>
      </c>
      <c r="B9122" s="4" t="s">
        <v>1</v>
      </c>
      <c r="C9122" s="4" t="s">
        <v>36</v>
      </c>
      <c r="D9122" s="4">
        <v>2017</v>
      </c>
      <c r="E9122" s="4">
        <v>0</v>
      </c>
      <c r="F9122" s="4" t="s">
        <v>29</v>
      </c>
    </row>
    <row r="9123" spans="1:6" x14ac:dyDescent="0.25">
      <c r="A9123" s="4" t="s">
        <v>85</v>
      </c>
      <c r="B9123" s="4" t="s">
        <v>1</v>
      </c>
      <c r="C9123" s="4" t="s">
        <v>36</v>
      </c>
      <c r="D9123" s="4">
        <v>2018</v>
      </c>
      <c r="E9123" s="4">
        <v>0</v>
      </c>
      <c r="F9123" s="4" t="s">
        <v>29</v>
      </c>
    </row>
    <row r="9124" spans="1:6" x14ac:dyDescent="0.25">
      <c r="A9124" s="4" t="s">
        <v>85</v>
      </c>
      <c r="B9124" s="4" t="s">
        <v>1</v>
      </c>
      <c r="C9124" s="4" t="s">
        <v>36</v>
      </c>
      <c r="D9124" s="4">
        <v>2019</v>
      </c>
      <c r="E9124" s="4">
        <v>0</v>
      </c>
      <c r="F9124" s="4" t="s">
        <v>29</v>
      </c>
    </row>
    <row r="9125" spans="1:6" x14ac:dyDescent="0.25">
      <c r="A9125" s="4" t="s">
        <v>85</v>
      </c>
      <c r="B9125" s="4" t="s">
        <v>1</v>
      </c>
      <c r="C9125" s="4" t="s">
        <v>36</v>
      </c>
      <c r="D9125" s="4">
        <v>2020</v>
      </c>
      <c r="E9125" s="4">
        <v>0</v>
      </c>
      <c r="F9125" s="4" t="s">
        <v>29</v>
      </c>
    </row>
    <row r="9126" spans="1:6" x14ac:dyDescent="0.25">
      <c r="A9126" s="4" t="s">
        <v>85</v>
      </c>
      <c r="B9126" s="4" t="s">
        <v>1</v>
      </c>
      <c r="C9126" s="4" t="s">
        <v>36</v>
      </c>
      <c r="D9126" s="4">
        <v>2021</v>
      </c>
      <c r="E9126" s="4">
        <v>0</v>
      </c>
      <c r="F9126" s="4" t="s">
        <v>29</v>
      </c>
    </row>
    <row r="9127" spans="1:6" x14ac:dyDescent="0.25">
      <c r="A9127" s="4" t="s">
        <v>85</v>
      </c>
      <c r="B9127" s="4" t="s">
        <v>1</v>
      </c>
      <c r="C9127" s="4" t="s">
        <v>36</v>
      </c>
      <c r="D9127" s="4">
        <v>2022</v>
      </c>
      <c r="E9127" s="4">
        <v>0</v>
      </c>
      <c r="F9127" s="4" t="s">
        <v>29</v>
      </c>
    </row>
    <row r="9128" spans="1:6" x14ac:dyDescent="0.25">
      <c r="A9128" s="4" t="s">
        <v>85</v>
      </c>
      <c r="B9128" s="4" t="s">
        <v>1</v>
      </c>
      <c r="C9128" s="4" t="s">
        <v>36</v>
      </c>
      <c r="D9128" s="4">
        <v>2023</v>
      </c>
      <c r="E9128" s="4">
        <v>0</v>
      </c>
      <c r="F9128" s="4" t="s">
        <v>29</v>
      </c>
    </row>
    <row r="9129" spans="1:6" x14ac:dyDescent="0.25">
      <c r="A9129" s="4" t="s">
        <v>85</v>
      </c>
      <c r="B9129" s="4" t="s">
        <v>1</v>
      </c>
      <c r="C9129" s="4" t="s">
        <v>36</v>
      </c>
      <c r="D9129" s="4">
        <v>2024</v>
      </c>
      <c r="E9129" s="4">
        <v>0</v>
      </c>
      <c r="F9129" s="4" t="s">
        <v>29</v>
      </c>
    </row>
    <row r="9130" spans="1:6" x14ac:dyDescent="0.25">
      <c r="A9130" s="4" t="s">
        <v>85</v>
      </c>
      <c r="B9130" s="4" t="s">
        <v>1</v>
      </c>
      <c r="C9130" s="4" t="s">
        <v>36</v>
      </c>
      <c r="D9130" s="4">
        <v>2025</v>
      </c>
      <c r="E9130" s="4">
        <v>0</v>
      </c>
      <c r="F9130" s="4" t="s">
        <v>29</v>
      </c>
    </row>
    <row r="9131" spans="1:6" x14ac:dyDescent="0.25">
      <c r="A9131" s="4" t="s">
        <v>85</v>
      </c>
      <c r="B9131" s="4" t="s">
        <v>1</v>
      </c>
      <c r="C9131" s="4" t="s">
        <v>36</v>
      </c>
      <c r="D9131" s="4">
        <v>2026</v>
      </c>
      <c r="E9131" s="4">
        <v>0</v>
      </c>
      <c r="F9131" s="4" t="s">
        <v>29</v>
      </c>
    </row>
    <row r="9132" spans="1:6" x14ac:dyDescent="0.25">
      <c r="A9132" s="4" t="s">
        <v>85</v>
      </c>
      <c r="B9132" s="4" t="s">
        <v>1</v>
      </c>
      <c r="C9132" s="4" t="s">
        <v>36</v>
      </c>
      <c r="D9132" s="4">
        <v>2027</v>
      </c>
      <c r="E9132" s="4">
        <v>0</v>
      </c>
      <c r="F9132" s="4" t="s">
        <v>29</v>
      </c>
    </row>
    <row r="9133" spans="1:6" x14ac:dyDescent="0.25">
      <c r="A9133" s="4" t="s">
        <v>85</v>
      </c>
      <c r="B9133" s="4" t="s">
        <v>1</v>
      </c>
      <c r="C9133" s="4" t="s">
        <v>36</v>
      </c>
      <c r="D9133" s="4">
        <v>2028</v>
      </c>
      <c r="E9133" s="4">
        <v>0</v>
      </c>
      <c r="F9133" s="4" t="s">
        <v>29</v>
      </c>
    </row>
    <row r="9134" spans="1:6" x14ac:dyDescent="0.25">
      <c r="A9134" s="4" t="s">
        <v>85</v>
      </c>
      <c r="B9134" s="4" t="s">
        <v>1</v>
      </c>
      <c r="C9134" s="4" t="s">
        <v>36</v>
      </c>
      <c r="D9134" s="4">
        <v>2029</v>
      </c>
      <c r="E9134" s="4">
        <v>0</v>
      </c>
      <c r="F9134" s="4" t="s">
        <v>29</v>
      </c>
    </row>
    <row r="9135" spans="1:6" x14ac:dyDescent="0.25">
      <c r="A9135" s="4" t="s">
        <v>85</v>
      </c>
      <c r="B9135" s="4" t="s">
        <v>1</v>
      </c>
      <c r="C9135" s="4" t="s">
        <v>36</v>
      </c>
      <c r="D9135" s="4">
        <v>2030</v>
      </c>
      <c r="E9135" s="4">
        <v>0</v>
      </c>
      <c r="F9135" s="4" t="s">
        <v>29</v>
      </c>
    </row>
    <row r="9136" spans="1:6" x14ac:dyDescent="0.25">
      <c r="A9136" s="4" t="s">
        <v>85</v>
      </c>
      <c r="B9136" s="4" t="s">
        <v>1</v>
      </c>
      <c r="C9136" s="4" t="s">
        <v>36</v>
      </c>
      <c r="D9136" s="4">
        <v>2031</v>
      </c>
      <c r="E9136" s="4">
        <v>0</v>
      </c>
      <c r="F9136" s="4" t="s">
        <v>29</v>
      </c>
    </row>
    <row r="9137" spans="1:6" x14ac:dyDescent="0.25">
      <c r="A9137" s="4" t="s">
        <v>85</v>
      </c>
      <c r="B9137" s="4" t="s">
        <v>1</v>
      </c>
      <c r="C9137" s="4" t="s">
        <v>36</v>
      </c>
      <c r="D9137" s="4">
        <v>2032</v>
      </c>
      <c r="E9137" s="4">
        <v>0</v>
      </c>
      <c r="F9137" s="4" t="s">
        <v>29</v>
      </c>
    </row>
    <row r="9138" spans="1:6" x14ac:dyDescent="0.25">
      <c r="A9138" s="4" t="s">
        <v>85</v>
      </c>
      <c r="B9138" s="4" t="s">
        <v>1</v>
      </c>
      <c r="C9138" s="4" t="s">
        <v>36</v>
      </c>
      <c r="D9138" s="4">
        <v>2033</v>
      </c>
      <c r="E9138" s="4">
        <v>0</v>
      </c>
      <c r="F9138" s="4" t="s">
        <v>29</v>
      </c>
    </row>
    <row r="9139" spans="1:6" x14ac:dyDescent="0.25">
      <c r="A9139" s="4" t="s">
        <v>85</v>
      </c>
      <c r="B9139" s="4" t="s">
        <v>1</v>
      </c>
      <c r="C9139" s="4" t="s">
        <v>36</v>
      </c>
      <c r="D9139" s="4">
        <v>2034</v>
      </c>
      <c r="E9139" s="4">
        <v>0</v>
      </c>
      <c r="F9139" s="4" t="s">
        <v>29</v>
      </c>
    </row>
    <row r="9140" spans="1:6" x14ac:dyDescent="0.25">
      <c r="A9140" s="4" t="s">
        <v>85</v>
      </c>
      <c r="B9140" s="4" t="s">
        <v>1</v>
      </c>
      <c r="C9140" s="4" t="s">
        <v>36</v>
      </c>
      <c r="D9140" s="4">
        <v>2035</v>
      </c>
      <c r="E9140" s="4">
        <v>0</v>
      </c>
      <c r="F9140" s="4" t="s">
        <v>29</v>
      </c>
    </row>
    <row r="9141" spans="1:6" x14ac:dyDescent="0.25">
      <c r="A9141" s="4" t="s">
        <v>85</v>
      </c>
      <c r="B9141" s="4" t="s">
        <v>1</v>
      </c>
      <c r="C9141" s="4" t="s">
        <v>36</v>
      </c>
      <c r="D9141" s="4">
        <v>2036</v>
      </c>
      <c r="E9141" s="4">
        <v>0</v>
      </c>
      <c r="F9141" s="4" t="s">
        <v>29</v>
      </c>
    </row>
    <row r="9142" spans="1:6" x14ac:dyDescent="0.25">
      <c r="A9142" s="4" t="s">
        <v>85</v>
      </c>
      <c r="B9142" s="4" t="s">
        <v>1</v>
      </c>
      <c r="C9142" s="4" t="s">
        <v>36</v>
      </c>
      <c r="D9142" s="4">
        <v>2037</v>
      </c>
      <c r="E9142" s="4">
        <v>0</v>
      </c>
      <c r="F9142" s="4" t="s">
        <v>29</v>
      </c>
    </row>
    <row r="9143" spans="1:6" x14ac:dyDescent="0.25">
      <c r="A9143" s="4" t="s">
        <v>85</v>
      </c>
      <c r="B9143" s="4" t="s">
        <v>1</v>
      </c>
      <c r="C9143" s="4" t="s">
        <v>36</v>
      </c>
      <c r="D9143" s="4">
        <v>2038</v>
      </c>
      <c r="E9143" s="4">
        <v>0</v>
      </c>
      <c r="F9143" s="4" t="s">
        <v>29</v>
      </c>
    </row>
    <row r="9144" spans="1:6" x14ac:dyDescent="0.25">
      <c r="A9144" s="4" t="s">
        <v>85</v>
      </c>
      <c r="B9144" s="4" t="s">
        <v>1</v>
      </c>
      <c r="C9144" s="4" t="s">
        <v>36</v>
      </c>
      <c r="D9144" s="4">
        <v>2039</v>
      </c>
      <c r="E9144" s="4">
        <v>0</v>
      </c>
      <c r="F9144" s="4" t="s">
        <v>29</v>
      </c>
    </row>
    <row r="9145" spans="1:6" x14ac:dyDescent="0.25">
      <c r="A9145" s="4" t="s">
        <v>85</v>
      </c>
      <c r="B9145" s="4" t="s">
        <v>1</v>
      </c>
      <c r="C9145" s="4" t="s">
        <v>36</v>
      </c>
      <c r="D9145" s="4">
        <v>2040</v>
      </c>
      <c r="E9145" s="4">
        <v>0</v>
      </c>
      <c r="F9145" s="4" t="s">
        <v>29</v>
      </c>
    </row>
    <row r="9146" spans="1:6" x14ac:dyDescent="0.25">
      <c r="A9146" s="4" t="s">
        <v>85</v>
      </c>
      <c r="B9146" s="4" t="s">
        <v>2</v>
      </c>
      <c r="C9146" s="4" t="s">
        <v>36</v>
      </c>
      <c r="D9146" s="4">
        <v>2005</v>
      </c>
      <c r="E9146" s="4">
        <v>0</v>
      </c>
      <c r="F9146" s="4" t="s">
        <v>29</v>
      </c>
    </row>
    <row r="9147" spans="1:6" x14ac:dyDescent="0.25">
      <c r="A9147" s="4" t="s">
        <v>85</v>
      </c>
      <c r="B9147" s="4" t="s">
        <v>2</v>
      </c>
      <c r="C9147" s="4" t="s">
        <v>36</v>
      </c>
      <c r="D9147" s="4">
        <v>2006</v>
      </c>
      <c r="E9147" s="4">
        <v>0</v>
      </c>
      <c r="F9147" s="4" t="s">
        <v>29</v>
      </c>
    </row>
    <row r="9148" spans="1:6" x14ac:dyDescent="0.25">
      <c r="A9148" s="4" t="s">
        <v>85</v>
      </c>
      <c r="B9148" s="4" t="s">
        <v>2</v>
      </c>
      <c r="C9148" s="4" t="s">
        <v>36</v>
      </c>
      <c r="D9148" s="4">
        <v>2007</v>
      </c>
      <c r="E9148" s="4">
        <v>0</v>
      </c>
      <c r="F9148" s="4" t="s">
        <v>29</v>
      </c>
    </row>
    <row r="9149" spans="1:6" x14ac:dyDescent="0.25">
      <c r="A9149" s="4" t="s">
        <v>85</v>
      </c>
      <c r="B9149" s="4" t="s">
        <v>2</v>
      </c>
      <c r="C9149" s="4" t="s">
        <v>36</v>
      </c>
      <c r="D9149" s="4">
        <v>2008</v>
      </c>
      <c r="E9149" s="4">
        <v>0</v>
      </c>
      <c r="F9149" s="4" t="s">
        <v>29</v>
      </c>
    </row>
    <row r="9150" spans="1:6" x14ac:dyDescent="0.25">
      <c r="A9150" s="4" t="s">
        <v>85</v>
      </c>
      <c r="B9150" s="4" t="s">
        <v>2</v>
      </c>
      <c r="C9150" s="4" t="s">
        <v>36</v>
      </c>
      <c r="D9150" s="4">
        <v>2009</v>
      </c>
      <c r="E9150" s="4">
        <v>0</v>
      </c>
      <c r="F9150" s="4" t="s">
        <v>29</v>
      </c>
    </row>
    <row r="9151" spans="1:6" x14ac:dyDescent="0.25">
      <c r="A9151" s="4" t="s">
        <v>85</v>
      </c>
      <c r="B9151" s="4" t="s">
        <v>2</v>
      </c>
      <c r="C9151" s="4" t="s">
        <v>36</v>
      </c>
      <c r="D9151" s="4">
        <v>2010</v>
      </c>
      <c r="E9151" s="4">
        <v>0</v>
      </c>
      <c r="F9151" s="4" t="s">
        <v>29</v>
      </c>
    </row>
    <row r="9152" spans="1:6" x14ac:dyDescent="0.25">
      <c r="A9152" s="4" t="s">
        <v>85</v>
      </c>
      <c r="B9152" s="4" t="s">
        <v>2</v>
      </c>
      <c r="C9152" s="4" t="s">
        <v>36</v>
      </c>
      <c r="D9152" s="4">
        <v>2011</v>
      </c>
      <c r="E9152" s="4">
        <v>0</v>
      </c>
      <c r="F9152" s="4" t="s">
        <v>29</v>
      </c>
    </row>
    <row r="9153" spans="1:6" x14ac:dyDescent="0.25">
      <c r="A9153" s="4" t="s">
        <v>85</v>
      </c>
      <c r="B9153" s="4" t="s">
        <v>2</v>
      </c>
      <c r="C9153" s="4" t="s">
        <v>36</v>
      </c>
      <c r="D9153" s="4">
        <v>2012</v>
      </c>
      <c r="E9153" s="4">
        <v>0</v>
      </c>
      <c r="F9153" s="4" t="s">
        <v>29</v>
      </c>
    </row>
    <row r="9154" spans="1:6" x14ac:dyDescent="0.25">
      <c r="A9154" s="4" t="s">
        <v>85</v>
      </c>
      <c r="B9154" s="4" t="s">
        <v>2</v>
      </c>
      <c r="C9154" s="4" t="s">
        <v>36</v>
      </c>
      <c r="D9154" s="4">
        <v>2013</v>
      </c>
      <c r="E9154" s="4">
        <v>0</v>
      </c>
      <c r="F9154" s="4" t="s">
        <v>29</v>
      </c>
    </row>
    <row r="9155" spans="1:6" x14ac:dyDescent="0.25">
      <c r="A9155" s="4" t="s">
        <v>85</v>
      </c>
      <c r="B9155" s="4" t="s">
        <v>2</v>
      </c>
      <c r="C9155" s="4" t="s">
        <v>36</v>
      </c>
      <c r="D9155" s="4">
        <v>2014</v>
      </c>
      <c r="E9155" s="4">
        <v>0</v>
      </c>
      <c r="F9155" s="4" t="s">
        <v>29</v>
      </c>
    </row>
    <row r="9156" spans="1:6" x14ac:dyDescent="0.25">
      <c r="A9156" s="4" t="s">
        <v>85</v>
      </c>
      <c r="B9156" s="4" t="s">
        <v>2</v>
      </c>
      <c r="C9156" s="4" t="s">
        <v>36</v>
      </c>
      <c r="D9156" s="4">
        <v>2015</v>
      </c>
      <c r="E9156" s="4">
        <v>0</v>
      </c>
      <c r="F9156" s="4" t="s">
        <v>29</v>
      </c>
    </row>
    <row r="9157" spans="1:6" x14ac:dyDescent="0.25">
      <c r="A9157" s="4" t="s">
        <v>85</v>
      </c>
      <c r="B9157" s="4" t="s">
        <v>2</v>
      </c>
      <c r="C9157" s="4" t="s">
        <v>36</v>
      </c>
      <c r="D9157" s="4">
        <v>2016</v>
      </c>
      <c r="E9157" s="4">
        <v>0</v>
      </c>
      <c r="F9157" s="4" t="s">
        <v>29</v>
      </c>
    </row>
    <row r="9158" spans="1:6" x14ac:dyDescent="0.25">
      <c r="A9158" s="4" t="s">
        <v>85</v>
      </c>
      <c r="B9158" s="4" t="s">
        <v>2</v>
      </c>
      <c r="C9158" s="4" t="s">
        <v>36</v>
      </c>
      <c r="D9158" s="4">
        <v>2017</v>
      </c>
      <c r="E9158" s="4">
        <v>0</v>
      </c>
      <c r="F9158" s="4" t="s">
        <v>29</v>
      </c>
    </row>
    <row r="9159" spans="1:6" x14ac:dyDescent="0.25">
      <c r="A9159" s="4" t="s">
        <v>85</v>
      </c>
      <c r="B9159" s="4" t="s">
        <v>2</v>
      </c>
      <c r="C9159" s="4" t="s">
        <v>36</v>
      </c>
      <c r="D9159" s="4">
        <v>2018</v>
      </c>
      <c r="E9159" s="4">
        <v>0</v>
      </c>
      <c r="F9159" s="4" t="s">
        <v>29</v>
      </c>
    </row>
    <row r="9160" spans="1:6" x14ac:dyDescent="0.25">
      <c r="A9160" s="4" t="s">
        <v>85</v>
      </c>
      <c r="B9160" s="4" t="s">
        <v>2</v>
      </c>
      <c r="C9160" s="4" t="s">
        <v>36</v>
      </c>
      <c r="D9160" s="4">
        <v>2019</v>
      </c>
      <c r="E9160" s="4">
        <v>0</v>
      </c>
      <c r="F9160" s="4" t="s">
        <v>29</v>
      </c>
    </row>
    <row r="9161" spans="1:6" x14ac:dyDescent="0.25">
      <c r="A9161" s="4" t="s">
        <v>85</v>
      </c>
      <c r="B9161" s="4" t="s">
        <v>2</v>
      </c>
      <c r="C9161" s="4" t="s">
        <v>36</v>
      </c>
      <c r="D9161" s="4">
        <v>2020</v>
      </c>
      <c r="E9161" s="4">
        <v>0</v>
      </c>
      <c r="F9161" s="4" t="s">
        <v>29</v>
      </c>
    </row>
    <row r="9162" spans="1:6" x14ac:dyDescent="0.25">
      <c r="A9162" s="4" t="s">
        <v>85</v>
      </c>
      <c r="B9162" s="4" t="s">
        <v>2</v>
      </c>
      <c r="C9162" s="4" t="s">
        <v>36</v>
      </c>
      <c r="D9162" s="4">
        <v>2021</v>
      </c>
      <c r="E9162" s="4">
        <v>0</v>
      </c>
      <c r="F9162" s="4" t="s">
        <v>29</v>
      </c>
    </row>
    <row r="9163" spans="1:6" x14ac:dyDescent="0.25">
      <c r="A9163" s="4" t="s">
        <v>85</v>
      </c>
      <c r="B9163" s="4" t="s">
        <v>2</v>
      </c>
      <c r="C9163" s="4" t="s">
        <v>36</v>
      </c>
      <c r="D9163" s="4">
        <v>2022</v>
      </c>
      <c r="E9163" s="4">
        <v>0</v>
      </c>
      <c r="F9163" s="4" t="s">
        <v>29</v>
      </c>
    </row>
    <row r="9164" spans="1:6" x14ac:dyDescent="0.25">
      <c r="A9164" s="4" t="s">
        <v>85</v>
      </c>
      <c r="B9164" s="4" t="s">
        <v>2</v>
      </c>
      <c r="C9164" s="4" t="s">
        <v>36</v>
      </c>
      <c r="D9164" s="4">
        <v>2023</v>
      </c>
      <c r="E9164" s="4">
        <v>0</v>
      </c>
      <c r="F9164" s="4" t="s">
        <v>29</v>
      </c>
    </row>
    <row r="9165" spans="1:6" x14ac:dyDescent="0.25">
      <c r="A9165" s="4" t="s">
        <v>85</v>
      </c>
      <c r="B9165" s="4" t="s">
        <v>2</v>
      </c>
      <c r="C9165" s="4" t="s">
        <v>36</v>
      </c>
      <c r="D9165" s="4">
        <v>2024</v>
      </c>
      <c r="E9165" s="4">
        <v>0</v>
      </c>
      <c r="F9165" s="4" t="s">
        <v>29</v>
      </c>
    </row>
    <row r="9166" spans="1:6" x14ac:dyDescent="0.25">
      <c r="A9166" s="4" t="s">
        <v>85</v>
      </c>
      <c r="B9166" s="4" t="s">
        <v>2</v>
      </c>
      <c r="C9166" s="4" t="s">
        <v>36</v>
      </c>
      <c r="D9166" s="4">
        <v>2025</v>
      </c>
      <c r="E9166" s="4">
        <v>0</v>
      </c>
      <c r="F9166" s="4" t="s">
        <v>29</v>
      </c>
    </row>
    <row r="9167" spans="1:6" x14ac:dyDescent="0.25">
      <c r="A9167" s="4" t="s">
        <v>85</v>
      </c>
      <c r="B9167" s="4" t="s">
        <v>2</v>
      </c>
      <c r="C9167" s="4" t="s">
        <v>36</v>
      </c>
      <c r="D9167" s="4">
        <v>2026</v>
      </c>
      <c r="E9167" s="4">
        <v>0</v>
      </c>
      <c r="F9167" s="4" t="s">
        <v>29</v>
      </c>
    </row>
    <row r="9168" spans="1:6" x14ac:dyDescent="0.25">
      <c r="A9168" s="4" t="s">
        <v>85</v>
      </c>
      <c r="B9168" s="4" t="s">
        <v>2</v>
      </c>
      <c r="C9168" s="4" t="s">
        <v>36</v>
      </c>
      <c r="D9168" s="4">
        <v>2027</v>
      </c>
      <c r="E9168" s="4">
        <v>0</v>
      </c>
      <c r="F9168" s="4" t="s">
        <v>29</v>
      </c>
    </row>
    <row r="9169" spans="1:6" x14ac:dyDescent="0.25">
      <c r="A9169" s="4" t="s">
        <v>85</v>
      </c>
      <c r="B9169" s="4" t="s">
        <v>2</v>
      </c>
      <c r="C9169" s="4" t="s">
        <v>36</v>
      </c>
      <c r="D9169" s="4">
        <v>2028</v>
      </c>
      <c r="E9169" s="4">
        <v>0</v>
      </c>
      <c r="F9169" s="4" t="s">
        <v>29</v>
      </c>
    </row>
    <row r="9170" spans="1:6" x14ac:dyDescent="0.25">
      <c r="A9170" s="4" t="s">
        <v>85</v>
      </c>
      <c r="B9170" s="4" t="s">
        <v>2</v>
      </c>
      <c r="C9170" s="4" t="s">
        <v>36</v>
      </c>
      <c r="D9170" s="4">
        <v>2029</v>
      </c>
      <c r="E9170" s="4">
        <v>0</v>
      </c>
      <c r="F9170" s="4" t="s">
        <v>29</v>
      </c>
    </row>
    <row r="9171" spans="1:6" x14ac:dyDescent="0.25">
      <c r="A9171" s="4" t="s">
        <v>85</v>
      </c>
      <c r="B9171" s="4" t="s">
        <v>2</v>
      </c>
      <c r="C9171" s="4" t="s">
        <v>36</v>
      </c>
      <c r="D9171" s="4">
        <v>2030</v>
      </c>
      <c r="E9171" s="4">
        <v>0</v>
      </c>
      <c r="F9171" s="4" t="s">
        <v>29</v>
      </c>
    </row>
    <row r="9172" spans="1:6" x14ac:dyDescent="0.25">
      <c r="A9172" s="4" t="s">
        <v>85</v>
      </c>
      <c r="B9172" s="4" t="s">
        <v>2</v>
      </c>
      <c r="C9172" s="4" t="s">
        <v>36</v>
      </c>
      <c r="D9172" s="4">
        <v>2031</v>
      </c>
      <c r="E9172" s="4">
        <v>0</v>
      </c>
      <c r="F9172" s="4" t="s">
        <v>29</v>
      </c>
    </row>
    <row r="9173" spans="1:6" x14ac:dyDescent="0.25">
      <c r="A9173" s="4" t="s">
        <v>85</v>
      </c>
      <c r="B9173" s="4" t="s">
        <v>2</v>
      </c>
      <c r="C9173" s="4" t="s">
        <v>36</v>
      </c>
      <c r="D9173" s="4">
        <v>2032</v>
      </c>
      <c r="E9173" s="4">
        <v>0</v>
      </c>
      <c r="F9173" s="4" t="s">
        <v>29</v>
      </c>
    </row>
    <row r="9174" spans="1:6" x14ac:dyDescent="0.25">
      <c r="A9174" s="4" t="s">
        <v>85</v>
      </c>
      <c r="B9174" s="4" t="s">
        <v>2</v>
      </c>
      <c r="C9174" s="4" t="s">
        <v>36</v>
      </c>
      <c r="D9174" s="4">
        <v>2033</v>
      </c>
      <c r="E9174" s="4">
        <v>0</v>
      </c>
      <c r="F9174" s="4" t="s">
        <v>29</v>
      </c>
    </row>
    <row r="9175" spans="1:6" x14ac:dyDescent="0.25">
      <c r="A9175" s="4" t="s">
        <v>85</v>
      </c>
      <c r="B9175" s="4" t="s">
        <v>2</v>
      </c>
      <c r="C9175" s="4" t="s">
        <v>36</v>
      </c>
      <c r="D9175" s="4">
        <v>2034</v>
      </c>
      <c r="E9175" s="4">
        <v>0</v>
      </c>
      <c r="F9175" s="4" t="s">
        <v>29</v>
      </c>
    </row>
    <row r="9176" spans="1:6" x14ac:dyDescent="0.25">
      <c r="A9176" s="4" t="s">
        <v>85</v>
      </c>
      <c r="B9176" s="4" t="s">
        <v>2</v>
      </c>
      <c r="C9176" s="4" t="s">
        <v>36</v>
      </c>
      <c r="D9176" s="4">
        <v>2035</v>
      </c>
      <c r="E9176" s="4">
        <v>0</v>
      </c>
      <c r="F9176" s="4" t="s">
        <v>29</v>
      </c>
    </row>
    <row r="9177" spans="1:6" x14ac:dyDescent="0.25">
      <c r="A9177" s="4" t="s">
        <v>85</v>
      </c>
      <c r="B9177" s="4" t="s">
        <v>2</v>
      </c>
      <c r="C9177" s="4" t="s">
        <v>36</v>
      </c>
      <c r="D9177" s="4">
        <v>2036</v>
      </c>
      <c r="E9177" s="4">
        <v>0</v>
      </c>
      <c r="F9177" s="4" t="s">
        <v>29</v>
      </c>
    </row>
    <row r="9178" spans="1:6" x14ac:dyDescent="0.25">
      <c r="A9178" s="4" t="s">
        <v>85</v>
      </c>
      <c r="B9178" s="4" t="s">
        <v>2</v>
      </c>
      <c r="C9178" s="4" t="s">
        <v>36</v>
      </c>
      <c r="D9178" s="4">
        <v>2037</v>
      </c>
      <c r="E9178" s="4">
        <v>0</v>
      </c>
      <c r="F9178" s="4" t="s">
        <v>29</v>
      </c>
    </row>
    <row r="9179" spans="1:6" x14ac:dyDescent="0.25">
      <c r="A9179" s="4" t="s">
        <v>85</v>
      </c>
      <c r="B9179" s="4" t="s">
        <v>2</v>
      </c>
      <c r="C9179" s="4" t="s">
        <v>36</v>
      </c>
      <c r="D9179" s="4">
        <v>2038</v>
      </c>
      <c r="E9179" s="4">
        <v>0</v>
      </c>
      <c r="F9179" s="4" t="s">
        <v>29</v>
      </c>
    </row>
    <row r="9180" spans="1:6" x14ac:dyDescent="0.25">
      <c r="A9180" s="4" t="s">
        <v>85</v>
      </c>
      <c r="B9180" s="4" t="s">
        <v>2</v>
      </c>
      <c r="C9180" s="4" t="s">
        <v>36</v>
      </c>
      <c r="D9180" s="4">
        <v>2039</v>
      </c>
      <c r="E9180" s="4">
        <v>0</v>
      </c>
      <c r="F9180" s="4" t="s">
        <v>29</v>
      </c>
    </row>
    <row r="9181" spans="1:6" x14ac:dyDescent="0.25">
      <c r="A9181" s="4" t="s">
        <v>85</v>
      </c>
      <c r="B9181" s="4" t="s">
        <v>2</v>
      </c>
      <c r="C9181" s="4" t="s">
        <v>36</v>
      </c>
      <c r="D9181" s="4">
        <v>2040</v>
      </c>
      <c r="E9181" s="4">
        <v>0</v>
      </c>
      <c r="F9181" s="4" t="s">
        <v>29</v>
      </c>
    </row>
    <row r="9182" spans="1:6" x14ac:dyDescent="0.25">
      <c r="A9182" s="4" t="s">
        <v>85</v>
      </c>
      <c r="B9182" s="4" t="s">
        <v>3</v>
      </c>
      <c r="C9182" s="4" t="s">
        <v>36</v>
      </c>
      <c r="D9182" s="4">
        <v>2005</v>
      </c>
      <c r="E9182" s="4">
        <v>0</v>
      </c>
      <c r="F9182" s="4" t="s">
        <v>29</v>
      </c>
    </row>
    <row r="9183" spans="1:6" x14ac:dyDescent="0.25">
      <c r="A9183" s="4" t="s">
        <v>85</v>
      </c>
      <c r="B9183" s="4" t="s">
        <v>3</v>
      </c>
      <c r="C9183" s="4" t="s">
        <v>36</v>
      </c>
      <c r="D9183" s="4">
        <v>2006</v>
      </c>
      <c r="E9183" s="4">
        <v>0</v>
      </c>
      <c r="F9183" s="4" t="s">
        <v>29</v>
      </c>
    </row>
    <row r="9184" spans="1:6" x14ac:dyDescent="0.25">
      <c r="A9184" s="4" t="s">
        <v>85</v>
      </c>
      <c r="B9184" s="4" t="s">
        <v>3</v>
      </c>
      <c r="C9184" s="4" t="s">
        <v>36</v>
      </c>
      <c r="D9184" s="4">
        <v>2007</v>
      </c>
      <c r="E9184" s="4">
        <v>0</v>
      </c>
      <c r="F9184" s="4" t="s">
        <v>29</v>
      </c>
    </row>
    <row r="9185" spans="1:6" x14ac:dyDescent="0.25">
      <c r="A9185" s="4" t="s">
        <v>85</v>
      </c>
      <c r="B9185" s="4" t="s">
        <v>3</v>
      </c>
      <c r="C9185" s="4" t="s">
        <v>36</v>
      </c>
      <c r="D9185" s="4">
        <v>2008</v>
      </c>
      <c r="E9185" s="4">
        <v>0</v>
      </c>
      <c r="F9185" s="4" t="s">
        <v>29</v>
      </c>
    </row>
    <row r="9186" spans="1:6" x14ac:dyDescent="0.25">
      <c r="A9186" s="4" t="s">
        <v>85</v>
      </c>
      <c r="B9186" s="4" t="s">
        <v>3</v>
      </c>
      <c r="C9186" s="4" t="s">
        <v>36</v>
      </c>
      <c r="D9186" s="4">
        <v>2009</v>
      </c>
      <c r="E9186" s="4">
        <v>0</v>
      </c>
      <c r="F9186" s="4" t="s">
        <v>29</v>
      </c>
    </row>
    <row r="9187" spans="1:6" x14ac:dyDescent="0.25">
      <c r="A9187" s="4" t="s">
        <v>85</v>
      </c>
      <c r="B9187" s="4" t="s">
        <v>3</v>
      </c>
      <c r="C9187" s="4" t="s">
        <v>36</v>
      </c>
      <c r="D9187" s="4">
        <v>2010</v>
      </c>
      <c r="E9187" s="4">
        <v>0</v>
      </c>
      <c r="F9187" s="4" t="s">
        <v>29</v>
      </c>
    </row>
    <row r="9188" spans="1:6" x14ac:dyDescent="0.25">
      <c r="A9188" s="4" t="s">
        <v>85</v>
      </c>
      <c r="B9188" s="4" t="s">
        <v>3</v>
      </c>
      <c r="C9188" s="4" t="s">
        <v>36</v>
      </c>
      <c r="D9188" s="4">
        <v>2011</v>
      </c>
      <c r="E9188" s="4">
        <v>0</v>
      </c>
      <c r="F9188" s="4" t="s">
        <v>29</v>
      </c>
    </row>
    <row r="9189" spans="1:6" x14ac:dyDescent="0.25">
      <c r="A9189" s="4" t="s">
        <v>85</v>
      </c>
      <c r="B9189" s="4" t="s">
        <v>3</v>
      </c>
      <c r="C9189" s="4" t="s">
        <v>36</v>
      </c>
      <c r="D9189" s="4">
        <v>2012</v>
      </c>
      <c r="E9189" s="4">
        <v>0</v>
      </c>
      <c r="F9189" s="4" t="s">
        <v>29</v>
      </c>
    </row>
    <row r="9190" spans="1:6" x14ac:dyDescent="0.25">
      <c r="A9190" s="4" t="s">
        <v>85</v>
      </c>
      <c r="B9190" s="4" t="s">
        <v>3</v>
      </c>
      <c r="C9190" s="4" t="s">
        <v>36</v>
      </c>
      <c r="D9190" s="4">
        <v>2013</v>
      </c>
      <c r="E9190" s="4">
        <v>0</v>
      </c>
      <c r="F9190" s="4" t="s">
        <v>29</v>
      </c>
    </row>
    <row r="9191" spans="1:6" x14ac:dyDescent="0.25">
      <c r="A9191" s="4" t="s">
        <v>85</v>
      </c>
      <c r="B9191" s="4" t="s">
        <v>3</v>
      </c>
      <c r="C9191" s="4" t="s">
        <v>36</v>
      </c>
      <c r="D9191" s="4">
        <v>2014</v>
      </c>
      <c r="E9191" s="4">
        <v>0</v>
      </c>
      <c r="F9191" s="4" t="s">
        <v>29</v>
      </c>
    </row>
    <row r="9192" spans="1:6" x14ac:dyDescent="0.25">
      <c r="A9192" s="4" t="s">
        <v>85</v>
      </c>
      <c r="B9192" s="4" t="s">
        <v>3</v>
      </c>
      <c r="C9192" s="4" t="s">
        <v>36</v>
      </c>
      <c r="D9192" s="4">
        <v>2015</v>
      </c>
      <c r="E9192" s="4">
        <v>0</v>
      </c>
      <c r="F9192" s="4" t="s">
        <v>29</v>
      </c>
    </row>
    <row r="9193" spans="1:6" x14ac:dyDescent="0.25">
      <c r="A9193" s="4" t="s">
        <v>85</v>
      </c>
      <c r="B9193" s="4" t="s">
        <v>3</v>
      </c>
      <c r="C9193" s="4" t="s">
        <v>36</v>
      </c>
      <c r="D9193" s="4">
        <v>2016</v>
      </c>
      <c r="E9193" s="4">
        <v>0</v>
      </c>
      <c r="F9193" s="4" t="s">
        <v>29</v>
      </c>
    </row>
    <row r="9194" spans="1:6" x14ac:dyDescent="0.25">
      <c r="A9194" s="4" t="s">
        <v>85</v>
      </c>
      <c r="B9194" s="4" t="s">
        <v>3</v>
      </c>
      <c r="C9194" s="4" t="s">
        <v>36</v>
      </c>
      <c r="D9194" s="4">
        <v>2017</v>
      </c>
      <c r="E9194" s="4">
        <v>0</v>
      </c>
      <c r="F9194" s="4" t="s">
        <v>29</v>
      </c>
    </row>
    <row r="9195" spans="1:6" x14ac:dyDescent="0.25">
      <c r="A9195" s="4" t="s">
        <v>85</v>
      </c>
      <c r="B9195" s="4" t="s">
        <v>3</v>
      </c>
      <c r="C9195" s="4" t="s">
        <v>36</v>
      </c>
      <c r="D9195" s="4">
        <v>2018</v>
      </c>
      <c r="E9195" s="4">
        <v>0</v>
      </c>
      <c r="F9195" s="4" t="s">
        <v>29</v>
      </c>
    </row>
    <row r="9196" spans="1:6" x14ac:dyDescent="0.25">
      <c r="A9196" s="4" t="s">
        <v>85</v>
      </c>
      <c r="B9196" s="4" t="s">
        <v>3</v>
      </c>
      <c r="C9196" s="4" t="s">
        <v>36</v>
      </c>
      <c r="D9196" s="4">
        <v>2019</v>
      </c>
      <c r="E9196" s="4">
        <v>0</v>
      </c>
      <c r="F9196" s="4" t="s">
        <v>29</v>
      </c>
    </row>
    <row r="9197" spans="1:6" x14ac:dyDescent="0.25">
      <c r="A9197" s="4" t="s">
        <v>85</v>
      </c>
      <c r="B9197" s="4" t="s">
        <v>3</v>
      </c>
      <c r="C9197" s="4" t="s">
        <v>36</v>
      </c>
      <c r="D9197" s="4">
        <v>2020</v>
      </c>
      <c r="E9197" s="4">
        <v>0</v>
      </c>
      <c r="F9197" s="4" t="s">
        <v>29</v>
      </c>
    </row>
    <row r="9198" spans="1:6" x14ac:dyDescent="0.25">
      <c r="A9198" s="4" t="s">
        <v>85</v>
      </c>
      <c r="B9198" s="4" t="s">
        <v>3</v>
      </c>
      <c r="C9198" s="4" t="s">
        <v>36</v>
      </c>
      <c r="D9198" s="4">
        <v>2021</v>
      </c>
      <c r="E9198" s="4">
        <v>0</v>
      </c>
      <c r="F9198" s="4" t="s">
        <v>29</v>
      </c>
    </row>
    <row r="9199" spans="1:6" x14ac:dyDescent="0.25">
      <c r="A9199" s="4" t="s">
        <v>85</v>
      </c>
      <c r="B9199" s="4" t="s">
        <v>3</v>
      </c>
      <c r="C9199" s="4" t="s">
        <v>36</v>
      </c>
      <c r="D9199" s="4">
        <v>2022</v>
      </c>
      <c r="E9199" s="4">
        <v>0</v>
      </c>
      <c r="F9199" s="4" t="s">
        <v>29</v>
      </c>
    </row>
    <row r="9200" spans="1:6" x14ac:dyDescent="0.25">
      <c r="A9200" s="4" t="s">
        <v>85</v>
      </c>
      <c r="B9200" s="4" t="s">
        <v>3</v>
      </c>
      <c r="C9200" s="4" t="s">
        <v>36</v>
      </c>
      <c r="D9200" s="4">
        <v>2023</v>
      </c>
      <c r="E9200" s="4">
        <v>0</v>
      </c>
      <c r="F9200" s="4" t="s">
        <v>29</v>
      </c>
    </row>
    <row r="9201" spans="1:6" x14ac:dyDescent="0.25">
      <c r="A9201" s="4" t="s">
        <v>85</v>
      </c>
      <c r="B9201" s="4" t="s">
        <v>3</v>
      </c>
      <c r="C9201" s="4" t="s">
        <v>36</v>
      </c>
      <c r="D9201" s="4">
        <v>2024</v>
      </c>
      <c r="E9201" s="4">
        <v>0</v>
      </c>
      <c r="F9201" s="4" t="s">
        <v>29</v>
      </c>
    </row>
    <row r="9202" spans="1:6" x14ac:dyDescent="0.25">
      <c r="A9202" s="4" t="s">
        <v>85</v>
      </c>
      <c r="B9202" s="4" t="s">
        <v>3</v>
      </c>
      <c r="C9202" s="4" t="s">
        <v>36</v>
      </c>
      <c r="D9202" s="4">
        <v>2025</v>
      </c>
      <c r="E9202" s="4">
        <v>0</v>
      </c>
      <c r="F9202" s="4" t="s">
        <v>29</v>
      </c>
    </row>
    <row r="9203" spans="1:6" x14ac:dyDescent="0.25">
      <c r="A9203" s="4" t="s">
        <v>85</v>
      </c>
      <c r="B9203" s="4" t="s">
        <v>3</v>
      </c>
      <c r="C9203" s="4" t="s">
        <v>36</v>
      </c>
      <c r="D9203" s="4">
        <v>2026</v>
      </c>
      <c r="E9203" s="4">
        <v>0</v>
      </c>
      <c r="F9203" s="4" t="s">
        <v>29</v>
      </c>
    </row>
    <row r="9204" spans="1:6" x14ac:dyDescent="0.25">
      <c r="A9204" s="4" t="s">
        <v>85</v>
      </c>
      <c r="B9204" s="4" t="s">
        <v>3</v>
      </c>
      <c r="C9204" s="4" t="s">
        <v>36</v>
      </c>
      <c r="D9204" s="4">
        <v>2027</v>
      </c>
      <c r="E9204" s="4">
        <v>0</v>
      </c>
      <c r="F9204" s="4" t="s">
        <v>29</v>
      </c>
    </row>
    <row r="9205" spans="1:6" x14ac:dyDescent="0.25">
      <c r="A9205" s="4" t="s">
        <v>85</v>
      </c>
      <c r="B9205" s="4" t="s">
        <v>3</v>
      </c>
      <c r="C9205" s="4" t="s">
        <v>36</v>
      </c>
      <c r="D9205" s="4">
        <v>2028</v>
      </c>
      <c r="E9205" s="4">
        <v>0</v>
      </c>
      <c r="F9205" s="4" t="s">
        <v>29</v>
      </c>
    </row>
    <row r="9206" spans="1:6" x14ac:dyDescent="0.25">
      <c r="A9206" s="4" t="s">
        <v>85</v>
      </c>
      <c r="B9206" s="4" t="s">
        <v>3</v>
      </c>
      <c r="C9206" s="4" t="s">
        <v>36</v>
      </c>
      <c r="D9206" s="4">
        <v>2029</v>
      </c>
      <c r="E9206" s="4">
        <v>0</v>
      </c>
      <c r="F9206" s="4" t="s">
        <v>29</v>
      </c>
    </row>
    <row r="9207" spans="1:6" x14ac:dyDescent="0.25">
      <c r="A9207" s="4" t="s">
        <v>85</v>
      </c>
      <c r="B9207" s="4" t="s">
        <v>3</v>
      </c>
      <c r="C9207" s="4" t="s">
        <v>36</v>
      </c>
      <c r="D9207" s="4">
        <v>2030</v>
      </c>
      <c r="E9207" s="4">
        <v>0</v>
      </c>
      <c r="F9207" s="4" t="s">
        <v>29</v>
      </c>
    </row>
    <row r="9208" spans="1:6" x14ac:dyDescent="0.25">
      <c r="A9208" s="4" t="s">
        <v>85</v>
      </c>
      <c r="B9208" s="4" t="s">
        <v>3</v>
      </c>
      <c r="C9208" s="4" t="s">
        <v>36</v>
      </c>
      <c r="D9208" s="4">
        <v>2031</v>
      </c>
      <c r="E9208" s="4">
        <v>0</v>
      </c>
      <c r="F9208" s="4" t="s">
        <v>29</v>
      </c>
    </row>
    <row r="9209" spans="1:6" x14ac:dyDescent="0.25">
      <c r="A9209" s="4" t="s">
        <v>85</v>
      </c>
      <c r="B9209" s="4" t="s">
        <v>3</v>
      </c>
      <c r="C9209" s="4" t="s">
        <v>36</v>
      </c>
      <c r="D9209" s="4">
        <v>2032</v>
      </c>
      <c r="E9209" s="4">
        <v>0</v>
      </c>
      <c r="F9209" s="4" t="s">
        <v>29</v>
      </c>
    </row>
    <row r="9210" spans="1:6" x14ac:dyDescent="0.25">
      <c r="A9210" s="4" t="s">
        <v>85</v>
      </c>
      <c r="B9210" s="4" t="s">
        <v>3</v>
      </c>
      <c r="C9210" s="4" t="s">
        <v>36</v>
      </c>
      <c r="D9210" s="4">
        <v>2033</v>
      </c>
      <c r="E9210" s="4">
        <v>0</v>
      </c>
      <c r="F9210" s="4" t="s">
        <v>29</v>
      </c>
    </row>
    <row r="9211" spans="1:6" x14ac:dyDescent="0.25">
      <c r="A9211" s="4" t="s">
        <v>85</v>
      </c>
      <c r="B9211" s="4" t="s">
        <v>3</v>
      </c>
      <c r="C9211" s="4" t="s">
        <v>36</v>
      </c>
      <c r="D9211" s="4">
        <v>2034</v>
      </c>
      <c r="E9211" s="4">
        <v>0</v>
      </c>
      <c r="F9211" s="4" t="s">
        <v>29</v>
      </c>
    </row>
    <row r="9212" spans="1:6" x14ac:dyDescent="0.25">
      <c r="A9212" s="4" t="s">
        <v>85</v>
      </c>
      <c r="B9212" s="4" t="s">
        <v>3</v>
      </c>
      <c r="C9212" s="4" t="s">
        <v>36</v>
      </c>
      <c r="D9212" s="4">
        <v>2035</v>
      </c>
      <c r="E9212" s="4">
        <v>0</v>
      </c>
      <c r="F9212" s="4" t="s">
        <v>29</v>
      </c>
    </row>
    <row r="9213" spans="1:6" x14ac:dyDescent="0.25">
      <c r="A9213" s="4" t="s">
        <v>85</v>
      </c>
      <c r="B9213" s="4" t="s">
        <v>3</v>
      </c>
      <c r="C9213" s="4" t="s">
        <v>36</v>
      </c>
      <c r="D9213" s="4">
        <v>2036</v>
      </c>
      <c r="E9213" s="4">
        <v>0</v>
      </c>
      <c r="F9213" s="4" t="s">
        <v>29</v>
      </c>
    </row>
    <row r="9214" spans="1:6" x14ac:dyDescent="0.25">
      <c r="A9214" s="4" t="s">
        <v>85</v>
      </c>
      <c r="B9214" s="4" t="s">
        <v>3</v>
      </c>
      <c r="C9214" s="4" t="s">
        <v>36</v>
      </c>
      <c r="D9214" s="4">
        <v>2037</v>
      </c>
      <c r="E9214" s="4">
        <v>0</v>
      </c>
      <c r="F9214" s="4" t="s">
        <v>29</v>
      </c>
    </row>
    <row r="9215" spans="1:6" x14ac:dyDescent="0.25">
      <c r="A9215" s="4" t="s">
        <v>85</v>
      </c>
      <c r="B9215" s="4" t="s">
        <v>3</v>
      </c>
      <c r="C9215" s="4" t="s">
        <v>36</v>
      </c>
      <c r="D9215" s="4">
        <v>2038</v>
      </c>
      <c r="E9215" s="4">
        <v>0</v>
      </c>
      <c r="F9215" s="4" t="s">
        <v>29</v>
      </c>
    </row>
    <row r="9216" spans="1:6" x14ac:dyDescent="0.25">
      <c r="A9216" s="4" t="s">
        <v>85</v>
      </c>
      <c r="B9216" s="4" t="s">
        <v>3</v>
      </c>
      <c r="C9216" s="4" t="s">
        <v>36</v>
      </c>
      <c r="D9216" s="4">
        <v>2039</v>
      </c>
      <c r="E9216" s="4">
        <v>0</v>
      </c>
      <c r="F9216" s="4" t="s">
        <v>29</v>
      </c>
    </row>
    <row r="9217" spans="1:6" x14ac:dyDescent="0.25">
      <c r="A9217" s="4" t="s">
        <v>85</v>
      </c>
      <c r="B9217" s="4" t="s">
        <v>3</v>
      </c>
      <c r="C9217" s="4" t="s">
        <v>36</v>
      </c>
      <c r="D9217" s="4">
        <v>2040</v>
      </c>
      <c r="E9217" s="4">
        <v>0</v>
      </c>
      <c r="F9217" s="4" t="s">
        <v>29</v>
      </c>
    </row>
    <row r="9218" spans="1:6" x14ac:dyDescent="0.25">
      <c r="A9218" s="4" t="s">
        <v>85</v>
      </c>
      <c r="B9218" s="4" t="s">
        <v>4</v>
      </c>
      <c r="C9218" s="4" t="s">
        <v>36</v>
      </c>
      <c r="D9218" s="4">
        <v>2005</v>
      </c>
      <c r="E9218" s="4">
        <v>0</v>
      </c>
      <c r="F9218" s="4" t="s">
        <v>29</v>
      </c>
    </row>
    <row r="9219" spans="1:6" x14ac:dyDescent="0.25">
      <c r="A9219" s="4" t="s">
        <v>85</v>
      </c>
      <c r="B9219" s="4" t="s">
        <v>4</v>
      </c>
      <c r="C9219" s="4" t="s">
        <v>36</v>
      </c>
      <c r="D9219" s="4">
        <v>2006</v>
      </c>
      <c r="E9219" s="4">
        <v>0</v>
      </c>
      <c r="F9219" s="4" t="s">
        <v>29</v>
      </c>
    </row>
    <row r="9220" spans="1:6" x14ac:dyDescent="0.25">
      <c r="A9220" s="4" t="s">
        <v>85</v>
      </c>
      <c r="B9220" s="4" t="s">
        <v>4</v>
      </c>
      <c r="C9220" s="4" t="s">
        <v>36</v>
      </c>
      <c r="D9220" s="4">
        <v>2007</v>
      </c>
      <c r="E9220" s="4">
        <v>0</v>
      </c>
      <c r="F9220" s="4" t="s">
        <v>29</v>
      </c>
    </row>
    <row r="9221" spans="1:6" x14ac:dyDescent="0.25">
      <c r="A9221" s="4" t="s">
        <v>85</v>
      </c>
      <c r="B9221" s="4" t="s">
        <v>4</v>
      </c>
      <c r="C9221" s="4" t="s">
        <v>36</v>
      </c>
      <c r="D9221" s="4">
        <v>2008</v>
      </c>
      <c r="E9221" s="4">
        <v>0</v>
      </c>
      <c r="F9221" s="4" t="s">
        <v>29</v>
      </c>
    </row>
    <row r="9222" spans="1:6" x14ac:dyDescent="0.25">
      <c r="A9222" s="4" t="s">
        <v>85</v>
      </c>
      <c r="B9222" s="4" t="s">
        <v>4</v>
      </c>
      <c r="C9222" s="4" t="s">
        <v>36</v>
      </c>
      <c r="D9222" s="4">
        <v>2009</v>
      </c>
      <c r="E9222" s="4">
        <v>0</v>
      </c>
      <c r="F9222" s="4" t="s">
        <v>29</v>
      </c>
    </row>
    <row r="9223" spans="1:6" x14ac:dyDescent="0.25">
      <c r="A9223" s="4" t="s">
        <v>85</v>
      </c>
      <c r="B9223" s="4" t="s">
        <v>4</v>
      </c>
      <c r="C9223" s="4" t="s">
        <v>36</v>
      </c>
      <c r="D9223" s="4">
        <v>2010</v>
      </c>
      <c r="E9223" s="4">
        <v>0</v>
      </c>
      <c r="F9223" s="4" t="s">
        <v>29</v>
      </c>
    </row>
    <row r="9224" spans="1:6" x14ac:dyDescent="0.25">
      <c r="A9224" s="4" t="s">
        <v>85</v>
      </c>
      <c r="B9224" s="4" t="s">
        <v>4</v>
      </c>
      <c r="C9224" s="4" t="s">
        <v>36</v>
      </c>
      <c r="D9224" s="4">
        <v>2011</v>
      </c>
      <c r="E9224" s="4">
        <v>0</v>
      </c>
      <c r="F9224" s="4" t="s">
        <v>29</v>
      </c>
    </row>
    <row r="9225" spans="1:6" x14ac:dyDescent="0.25">
      <c r="A9225" s="4" t="s">
        <v>85</v>
      </c>
      <c r="B9225" s="4" t="s">
        <v>4</v>
      </c>
      <c r="C9225" s="4" t="s">
        <v>36</v>
      </c>
      <c r="D9225" s="4">
        <v>2012</v>
      </c>
      <c r="E9225" s="4">
        <v>0</v>
      </c>
      <c r="F9225" s="4" t="s">
        <v>29</v>
      </c>
    </row>
    <row r="9226" spans="1:6" x14ac:dyDescent="0.25">
      <c r="A9226" s="4" t="s">
        <v>85</v>
      </c>
      <c r="B9226" s="4" t="s">
        <v>4</v>
      </c>
      <c r="C9226" s="4" t="s">
        <v>36</v>
      </c>
      <c r="D9226" s="4">
        <v>2013</v>
      </c>
      <c r="E9226" s="4">
        <v>0</v>
      </c>
      <c r="F9226" s="4" t="s">
        <v>29</v>
      </c>
    </row>
    <row r="9227" spans="1:6" x14ac:dyDescent="0.25">
      <c r="A9227" s="4" t="s">
        <v>85</v>
      </c>
      <c r="B9227" s="4" t="s">
        <v>4</v>
      </c>
      <c r="C9227" s="4" t="s">
        <v>36</v>
      </c>
      <c r="D9227" s="4">
        <v>2014</v>
      </c>
      <c r="E9227" s="4">
        <v>0</v>
      </c>
      <c r="F9227" s="4" t="s">
        <v>29</v>
      </c>
    </row>
    <row r="9228" spans="1:6" x14ac:dyDescent="0.25">
      <c r="A9228" s="4" t="s">
        <v>85</v>
      </c>
      <c r="B9228" s="4" t="s">
        <v>4</v>
      </c>
      <c r="C9228" s="4" t="s">
        <v>36</v>
      </c>
      <c r="D9228" s="4">
        <v>2015</v>
      </c>
      <c r="E9228" s="4">
        <v>0</v>
      </c>
      <c r="F9228" s="4" t="s">
        <v>29</v>
      </c>
    </row>
    <row r="9229" spans="1:6" x14ac:dyDescent="0.25">
      <c r="A9229" s="4" t="s">
        <v>85</v>
      </c>
      <c r="B9229" s="4" t="s">
        <v>4</v>
      </c>
      <c r="C9229" s="4" t="s">
        <v>36</v>
      </c>
      <c r="D9229" s="4">
        <v>2016</v>
      </c>
      <c r="E9229" s="4">
        <v>0</v>
      </c>
      <c r="F9229" s="4" t="s">
        <v>29</v>
      </c>
    </row>
    <row r="9230" spans="1:6" x14ac:dyDescent="0.25">
      <c r="A9230" s="4" t="s">
        <v>85</v>
      </c>
      <c r="B9230" s="4" t="s">
        <v>4</v>
      </c>
      <c r="C9230" s="4" t="s">
        <v>36</v>
      </c>
      <c r="D9230" s="4">
        <v>2017</v>
      </c>
      <c r="E9230" s="4">
        <v>0</v>
      </c>
      <c r="F9230" s="4" t="s">
        <v>29</v>
      </c>
    </row>
    <row r="9231" spans="1:6" x14ac:dyDescent="0.25">
      <c r="A9231" s="4" t="s">
        <v>85</v>
      </c>
      <c r="B9231" s="4" t="s">
        <v>4</v>
      </c>
      <c r="C9231" s="4" t="s">
        <v>36</v>
      </c>
      <c r="D9231" s="4">
        <v>2018</v>
      </c>
      <c r="E9231" s="4">
        <v>0</v>
      </c>
      <c r="F9231" s="4" t="s">
        <v>29</v>
      </c>
    </row>
    <row r="9232" spans="1:6" x14ac:dyDescent="0.25">
      <c r="A9232" s="4" t="s">
        <v>85</v>
      </c>
      <c r="B9232" s="4" t="s">
        <v>4</v>
      </c>
      <c r="C9232" s="4" t="s">
        <v>36</v>
      </c>
      <c r="D9232" s="4">
        <v>2019</v>
      </c>
      <c r="E9232" s="4">
        <v>0</v>
      </c>
      <c r="F9232" s="4" t="s">
        <v>29</v>
      </c>
    </row>
    <row r="9233" spans="1:6" x14ac:dyDescent="0.25">
      <c r="A9233" s="4" t="s">
        <v>85</v>
      </c>
      <c r="B9233" s="4" t="s">
        <v>4</v>
      </c>
      <c r="C9233" s="4" t="s">
        <v>36</v>
      </c>
      <c r="D9233" s="4">
        <v>2020</v>
      </c>
      <c r="E9233" s="4">
        <v>0</v>
      </c>
      <c r="F9233" s="4" t="s">
        <v>29</v>
      </c>
    </row>
    <row r="9234" spans="1:6" x14ac:dyDescent="0.25">
      <c r="A9234" s="4" t="s">
        <v>85</v>
      </c>
      <c r="B9234" s="4" t="s">
        <v>4</v>
      </c>
      <c r="C9234" s="4" t="s">
        <v>36</v>
      </c>
      <c r="D9234" s="4">
        <v>2021</v>
      </c>
      <c r="E9234" s="4">
        <v>0</v>
      </c>
      <c r="F9234" s="4" t="s">
        <v>29</v>
      </c>
    </row>
    <row r="9235" spans="1:6" x14ac:dyDescent="0.25">
      <c r="A9235" s="4" t="s">
        <v>85</v>
      </c>
      <c r="B9235" s="4" t="s">
        <v>4</v>
      </c>
      <c r="C9235" s="4" t="s">
        <v>36</v>
      </c>
      <c r="D9235" s="4">
        <v>2022</v>
      </c>
      <c r="E9235" s="4">
        <v>0</v>
      </c>
      <c r="F9235" s="4" t="s">
        <v>29</v>
      </c>
    </row>
    <row r="9236" spans="1:6" x14ac:dyDescent="0.25">
      <c r="A9236" s="4" t="s">
        <v>85</v>
      </c>
      <c r="B9236" s="4" t="s">
        <v>4</v>
      </c>
      <c r="C9236" s="4" t="s">
        <v>36</v>
      </c>
      <c r="D9236" s="4">
        <v>2023</v>
      </c>
      <c r="E9236" s="4">
        <v>0</v>
      </c>
      <c r="F9236" s="4" t="s">
        <v>29</v>
      </c>
    </row>
    <row r="9237" spans="1:6" x14ac:dyDescent="0.25">
      <c r="A9237" s="4" t="s">
        <v>85</v>
      </c>
      <c r="B9237" s="4" t="s">
        <v>4</v>
      </c>
      <c r="C9237" s="4" t="s">
        <v>36</v>
      </c>
      <c r="D9237" s="4">
        <v>2024</v>
      </c>
      <c r="E9237" s="4">
        <v>0</v>
      </c>
      <c r="F9237" s="4" t="s">
        <v>29</v>
      </c>
    </row>
    <row r="9238" spans="1:6" x14ac:dyDescent="0.25">
      <c r="A9238" s="4" t="s">
        <v>85</v>
      </c>
      <c r="B9238" s="4" t="s">
        <v>4</v>
      </c>
      <c r="C9238" s="4" t="s">
        <v>36</v>
      </c>
      <c r="D9238" s="4">
        <v>2025</v>
      </c>
      <c r="E9238" s="4">
        <v>0</v>
      </c>
      <c r="F9238" s="4" t="s">
        <v>29</v>
      </c>
    </row>
    <row r="9239" spans="1:6" x14ac:dyDescent="0.25">
      <c r="A9239" s="4" t="s">
        <v>85</v>
      </c>
      <c r="B9239" s="4" t="s">
        <v>4</v>
      </c>
      <c r="C9239" s="4" t="s">
        <v>36</v>
      </c>
      <c r="D9239" s="4">
        <v>2026</v>
      </c>
      <c r="E9239" s="4">
        <v>0</v>
      </c>
      <c r="F9239" s="4" t="s">
        <v>29</v>
      </c>
    </row>
    <row r="9240" spans="1:6" x14ac:dyDescent="0.25">
      <c r="A9240" s="4" t="s">
        <v>85</v>
      </c>
      <c r="B9240" s="4" t="s">
        <v>4</v>
      </c>
      <c r="C9240" s="4" t="s">
        <v>36</v>
      </c>
      <c r="D9240" s="4">
        <v>2027</v>
      </c>
      <c r="E9240" s="4">
        <v>0</v>
      </c>
      <c r="F9240" s="4" t="s">
        <v>29</v>
      </c>
    </row>
    <row r="9241" spans="1:6" x14ac:dyDescent="0.25">
      <c r="A9241" s="4" t="s">
        <v>85</v>
      </c>
      <c r="B9241" s="4" t="s">
        <v>4</v>
      </c>
      <c r="C9241" s="4" t="s">
        <v>36</v>
      </c>
      <c r="D9241" s="4">
        <v>2028</v>
      </c>
      <c r="E9241" s="4">
        <v>0</v>
      </c>
      <c r="F9241" s="4" t="s">
        <v>29</v>
      </c>
    </row>
    <row r="9242" spans="1:6" x14ac:dyDescent="0.25">
      <c r="A9242" s="4" t="s">
        <v>85</v>
      </c>
      <c r="B9242" s="4" t="s">
        <v>4</v>
      </c>
      <c r="C9242" s="4" t="s">
        <v>36</v>
      </c>
      <c r="D9242" s="4">
        <v>2029</v>
      </c>
      <c r="E9242" s="4">
        <v>0</v>
      </c>
      <c r="F9242" s="4" t="s">
        <v>29</v>
      </c>
    </row>
    <row r="9243" spans="1:6" x14ac:dyDescent="0.25">
      <c r="A9243" s="4" t="s">
        <v>85</v>
      </c>
      <c r="B9243" s="4" t="s">
        <v>4</v>
      </c>
      <c r="C9243" s="4" t="s">
        <v>36</v>
      </c>
      <c r="D9243" s="4">
        <v>2030</v>
      </c>
      <c r="E9243" s="4">
        <v>0</v>
      </c>
      <c r="F9243" s="4" t="s">
        <v>29</v>
      </c>
    </row>
    <row r="9244" spans="1:6" x14ac:dyDescent="0.25">
      <c r="A9244" s="4" t="s">
        <v>85</v>
      </c>
      <c r="B9244" s="4" t="s">
        <v>4</v>
      </c>
      <c r="C9244" s="4" t="s">
        <v>36</v>
      </c>
      <c r="D9244" s="4">
        <v>2031</v>
      </c>
      <c r="E9244" s="4">
        <v>0</v>
      </c>
      <c r="F9244" s="4" t="s">
        <v>29</v>
      </c>
    </row>
    <row r="9245" spans="1:6" x14ac:dyDescent="0.25">
      <c r="A9245" s="4" t="s">
        <v>85</v>
      </c>
      <c r="B9245" s="4" t="s">
        <v>4</v>
      </c>
      <c r="C9245" s="4" t="s">
        <v>36</v>
      </c>
      <c r="D9245" s="4">
        <v>2032</v>
      </c>
      <c r="E9245" s="4">
        <v>0</v>
      </c>
      <c r="F9245" s="4" t="s">
        <v>29</v>
      </c>
    </row>
    <row r="9246" spans="1:6" x14ac:dyDescent="0.25">
      <c r="A9246" s="4" t="s">
        <v>85</v>
      </c>
      <c r="B9246" s="4" t="s">
        <v>4</v>
      </c>
      <c r="C9246" s="4" t="s">
        <v>36</v>
      </c>
      <c r="D9246" s="4">
        <v>2033</v>
      </c>
      <c r="E9246" s="4">
        <v>0</v>
      </c>
      <c r="F9246" s="4" t="s">
        <v>29</v>
      </c>
    </row>
    <row r="9247" spans="1:6" x14ac:dyDescent="0.25">
      <c r="A9247" s="4" t="s">
        <v>85</v>
      </c>
      <c r="B9247" s="4" t="s">
        <v>4</v>
      </c>
      <c r="C9247" s="4" t="s">
        <v>36</v>
      </c>
      <c r="D9247" s="4">
        <v>2034</v>
      </c>
      <c r="E9247" s="4">
        <v>0</v>
      </c>
      <c r="F9247" s="4" t="s">
        <v>29</v>
      </c>
    </row>
    <row r="9248" spans="1:6" x14ac:dyDescent="0.25">
      <c r="A9248" s="4" t="s">
        <v>85</v>
      </c>
      <c r="B9248" s="4" t="s">
        <v>4</v>
      </c>
      <c r="C9248" s="4" t="s">
        <v>36</v>
      </c>
      <c r="D9248" s="4">
        <v>2035</v>
      </c>
      <c r="E9248" s="4">
        <v>0</v>
      </c>
      <c r="F9248" s="4" t="s">
        <v>29</v>
      </c>
    </row>
    <row r="9249" spans="1:6" x14ac:dyDescent="0.25">
      <c r="A9249" s="4" t="s">
        <v>85</v>
      </c>
      <c r="B9249" s="4" t="s">
        <v>4</v>
      </c>
      <c r="C9249" s="4" t="s">
        <v>36</v>
      </c>
      <c r="D9249" s="4">
        <v>2036</v>
      </c>
      <c r="E9249" s="4">
        <v>0</v>
      </c>
      <c r="F9249" s="4" t="s">
        <v>29</v>
      </c>
    </row>
    <row r="9250" spans="1:6" x14ac:dyDescent="0.25">
      <c r="A9250" s="4" t="s">
        <v>85</v>
      </c>
      <c r="B9250" s="4" t="s">
        <v>4</v>
      </c>
      <c r="C9250" s="4" t="s">
        <v>36</v>
      </c>
      <c r="D9250" s="4">
        <v>2037</v>
      </c>
      <c r="E9250" s="4">
        <v>0</v>
      </c>
      <c r="F9250" s="4" t="s">
        <v>29</v>
      </c>
    </row>
    <row r="9251" spans="1:6" x14ac:dyDescent="0.25">
      <c r="A9251" s="4" t="s">
        <v>85</v>
      </c>
      <c r="B9251" s="4" t="s">
        <v>4</v>
      </c>
      <c r="C9251" s="4" t="s">
        <v>36</v>
      </c>
      <c r="D9251" s="4">
        <v>2038</v>
      </c>
      <c r="E9251" s="4">
        <v>0</v>
      </c>
      <c r="F9251" s="4" t="s">
        <v>29</v>
      </c>
    </row>
    <row r="9252" spans="1:6" x14ac:dyDescent="0.25">
      <c r="A9252" s="4" t="s">
        <v>85</v>
      </c>
      <c r="B9252" s="4" t="s">
        <v>4</v>
      </c>
      <c r="C9252" s="4" t="s">
        <v>36</v>
      </c>
      <c r="D9252" s="4">
        <v>2039</v>
      </c>
      <c r="E9252" s="4">
        <v>0</v>
      </c>
      <c r="F9252" s="4" t="s">
        <v>29</v>
      </c>
    </row>
    <row r="9253" spans="1:6" x14ac:dyDescent="0.25">
      <c r="A9253" s="4" t="s">
        <v>85</v>
      </c>
      <c r="B9253" s="4" t="s">
        <v>4</v>
      </c>
      <c r="C9253" s="4" t="s">
        <v>36</v>
      </c>
      <c r="D9253" s="4">
        <v>2040</v>
      </c>
      <c r="E9253" s="4">
        <v>0</v>
      </c>
      <c r="F9253" s="4" t="s">
        <v>29</v>
      </c>
    </row>
    <row r="9254" spans="1:6" x14ac:dyDescent="0.25">
      <c r="A9254" s="4" t="s">
        <v>85</v>
      </c>
      <c r="B9254" s="4" t="s">
        <v>5</v>
      </c>
      <c r="C9254" s="4" t="s">
        <v>36</v>
      </c>
      <c r="D9254" s="4">
        <v>2005</v>
      </c>
      <c r="E9254" s="4">
        <v>0</v>
      </c>
      <c r="F9254" s="4" t="s">
        <v>29</v>
      </c>
    </row>
    <row r="9255" spans="1:6" x14ac:dyDescent="0.25">
      <c r="A9255" s="4" t="s">
        <v>85</v>
      </c>
      <c r="B9255" s="4" t="s">
        <v>5</v>
      </c>
      <c r="C9255" s="4" t="s">
        <v>36</v>
      </c>
      <c r="D9255" s="4">
        <v>2006</v>
      </c>
      <c r="E9255" s="4">
        <v>0</v>
      </c>
      <c r="F9255" s="4" t="s">
        <v>29</v>
      </c>
    </row>
    <row r="9256" spans="1:6" x14ac:dyDescent="0.25">
      <c r="A9256" s="4" t="s">
        <v>85</v>
      </c>
      <c r="B9256" s="4" t="s">
        <v>5</v>
      </c>
      <c r="C9256" s="4" t="s">
        <v>36</v>
      </c>
      <c r="D9256" s="4">
        <v>2007</v>
      </c>
      <c r="E9256" s="4">
        <v>0</v>
      </c>
      <c r="F9256" s="4" t="s">
        <v>29</v>
      </c>
    </row>
    <row r="9257" spans="1:6" x14ac:dyDescent="0.25">
      <c r="A9257" s="4" t="s">
        <v>85</v>
      </c>
      <c r="B9257" s="4" t="s">
        <v>5</v>
      </c>
      <c r="C9257" s="4" t="s">
        <v>36</v>
      </c>
      <c r="D9257" s="4">
        <v>2008</v>
      </c>
      <c r="E9257" s="4">
        <v>0</v>
      </c>
      <c r="F9257" s="4" t="s">
        <v>29</v>
      </c>
    </row>
    <row r="9258" spans="1:6" x14ac:dyDescent="0.25">
      <c r="A9258" s="4" t="s">
        <v>85</v>
      </c>
      <c r="B9258" s="4" t="s">
        <v>5</v>
      </c>
      <c r="C9258" s="4" t="s">
        <v>36</v>
      </c>
      <c r="D9258" s="4">
        <v>2009</v>
      </c>
      <c r="E9258" s="4">
        <v>0</v>
      </c>
      <c r="F9258" s="4" t="s">
        <v>29</v>
      </c>
    </row>
    <row r="9259" spans="1:6" x14ac:dyDescent="0.25">
      <c r="A9259" s="4" t="s">
        <v>85</v>
      </c>
      <c r="B9259" s="4" t="s">
        <v>5</v>
      </c>
      <c r="C9259" s="4" t="s">
        <v>36</v>
      </c>
      <c r="D9259" s="4">
        <v>2010</v>
      </c>
      <c r="E9259" s="4">
        <v>0</v>
      </c>
      <c r="F9259" s="4" t="s">
        <v>29</v>
      </c>
    </row>
    <row r="9260" spans="1:6" x14ac:dyDescent="0.25">
      <c r="A9260" s="4" t="s">
        <v>85</v>
      </c>
      <c r="B9260" s="4" t="s">
        <v>5</v>
      </c>
      <c r="C9260" s="4" t="s">
        <v>36</v>
      </c>
      <c r="D9260" s="4">
        <v>2011</v>
      </c>
      <c r="E9260" s="4">
        <v>0</v>
      </c>
      <c r="F9260" s="4" t="s">
        <v>29</v>
      </c>
    </row>
    <row r="9261" spans="1:6" x14ac:dyDescent="0.25">
      <c r="A9261" s="4" t="s">
        <v>85</v>
      </c>
      <c r="B9261" s="4" t="s">
        <v>5</v>
      </c>
      <c r="C9261" s="4" t="s">
        <v>36</v>
      </c>
      <c r="D9261" s="4">
        <v>2012</v>
      </c>
      <c r="E9261" s="4">
        <v>0</v>
      </c>
      <c r="F9261" s="4" t="s">
        <v>29</v>
      </c>
    </row>
    <row r="9262" spans="1:6" x14ac:dyDescent="0.25">
      <c r="A9262" s="4" t="s">
        <v>85</v>
      </c>
      <c r="B9262" s="4" t="s">
        <v>5</v>
      </c>
      <c r="C9262" s="4" t="s">
        <v>36</v>
      </c>
      <c r="D9262" s="4">
        <v>2013</v>
      </c>
      <c r="E9262" s="4">
        <v>0</v>
      </c>
      <c r="F9262" s="4" t="s">
        <v>29</v>
      </c>
    </row>
    <row r="9263" spans="1:6" x14ac:dyDescent="0.25">
      <c r="A9263" s="4" t="s">
        <v>85</v>
      </c>
      <c r="B9263" s="4" t="s">
        <v>5</v>
      </c>
      <c r="C9263" s="4" t="s">
        <v>36</v>
      </c>
      <c r="D9263" s="4">
        <v>2014</v>
      </c>
      <c r="E9263" s="4">
        <v>0</v>
      </c>
      <c r="F9263" s="4" t="s">
        <v>29</v>
      </c>
    </row>
    <row r="9264" spans="1:6" x14ac:dyDescent="0.25">
      <c r="A9264" s="4" t="s">
        <v>85</v>
      </c>
      <c r="B9264" s="4" t="s">
        <v>5</v>
      </c>
      <c r="C9264" s="4" t="s">
        <v>36</v>
      </c>
      <c r="D9264" s="4">
        <v>2015</v>
      </c>
      <c r="E9264" s="4">
        <v>0</v>
      </c>
      <c r="F9264" s="4" t="s">
        <v>29</v>
      </c>
    </row>
    <row r="9265" spans="1:6" x14ac:dyDescent="0.25">
      <c r="A9265" s="4" t="s">
        <v>85</v>
      </c>
      <c r="B9265" s="4" t="s">
        <v>5</v>
      </c>
      <c r="C9265" s="4" t="s">
        <v>36</v>
      </c>
      <c r="D9265" s="4">
        <v>2016</v>
      </c>
      <c r="E9265" s="4">
        <v>0</v>
      </c>
      <c r="F9265" s="4" t="s">
        <v>29</v>
      </c>
    </row>
    <row r="9266" spans="1:6" x14ac:dyDescent="0.25">
      <c r="A9266" s="4" t="s">
        <v>85</v>
      </c>
      <c r="B9266" s="4" t="s">
        <v>5</v>
      </c>
      <c r="C9266" s="4" t="s">
        <v>36</v>
      </c>
      <c r="D9266" s="4">
        <v>2017</v>
      </c>
      <c r="E9266" s="4">
        <v>0</v>
      </c>
      <c r="F9266" s="4" t="s">
        <v>29</v>
      </c>
    </row>
    <row r="9267" spans="1:6" x14ac:dyDescent="0.25">
      <c r="A9267" s="4" t="s">
        <v>85</v>
      </c>
      <c r="B9267" s="4" t="s">
        <v>5</v>
      </c>
      <c r="C9267" s="4" t="s">
        <v>36</v>
      </c>
      <c r="D9267" s="4">
        <v>2018</v>
      </c>
      <c r="E9267" s="4">
        <v>0</v>
      </c>
      <c r="F9267" s="4" t="s">
        <v>29</v>
      </c>
    </row>
    <row r="9268" spans="1:6" x14ac:dyDescent="0.25">
      <c r="A9268" s="4" t="s">
        <v>85</v>
      </c>
      <c r="B9268" s="4" t="s">
        <v>5</v>
      </c>
      <c r="C9268" s="4" t="s">
        <v>36</v>
      </c>
      <c r="D9268" s="4">
        <v>2019</v>
      </c>
      <c r="E9268" s="4">
        <v>0</v>
      </c>
      <c r="F9268" s="4" t="s">
        <v>29</v>
      </c>
    </row>
    <row r="9269" spans="1:6" x14ac:dyDescent="0.25">
      <c r="A9269" s="4" t="s">
        <v>85</v>
      </c>
      <c r="B9269" s="4" t="s">
        <v>5</v>
      </c>
      <c r="C9269" s="4" t="s">
        <v>36</v>
      </c>
      <c r="D9269" s="4">
        <v>2020</v>
      </c>
      <c r="E9269" s="4">
        <v>0</v>
      </c>
      <c r="F9269" s="4" t="s">
        <v>29</v>
      </c>
    </row>
    <row r="9270" spans="1:6" x14ac:dyDescent="0.25">
      <c r="A9270" s="4" t="s">
        <v>85</v>
      </c>
      <c r="B9270" s="4" t="s">
        <v>5</v>
      </c>
      <c r="C9270" s="4" t="s">
        <v>36</v>
      </c>
      <c r="D9270" s="4">
        <v>2021</v>
      </c>
      <c r="E9270" s="4">
        <v>0</v>
      </c>
      <c r="F9270" s="4" t="s">
        <v>29</v>
      </c>
    </row>
    <row r="9271" spans="1:6" x14ac:dyDescent="0.25">
      <c r="A9271" s="4" t="s">
        <v>85</v>
      </c>
      <c r="B9271" s="4" t="s">
        <v>5</v>
      </c>
      <c r="C9271" s="4" t="s">
        <v>36</v>
      </c>
      <c r="D9271" s="4">
        <v>2022</v>
      </c>
      <c r="E9271" s="4">
        <v>0</v>
      </c>
      <c r="F9271" s="4" t="s">
        <v>29</v>
      </c>
    </row>
    <row r="9272" spans="1:6" x14ac:dyDescent="0.25">
      <c r="A9272" s="4" t="s">
        <v>85</v>
      </c>
      <c r="B9272" s="4" t="s">
        <v>5</v>
      </c>
      <c r="C9272" s="4" t="s">
        <v>36</v>
      </c>
      <c r="D9272" s="4">
        <v>2023</v>
      </c>
      <c r="E9272" s="4">
        <v>0</v>
      </c>
      <c r="F9272" s="4" t="s">
        <v>29</v>
      </c>
    </row>
    <row r="9273" spans="1:6" x14ac:dyDescent="0.25">
      <c r="A9273" s="4" t="s">
        <v>85</v>
      </c>
      <c r="B9273" s="4" t="s">
        <v>5</v>
      </c>
      <c r="C9273" s="4" t="s">
        <v>36</v>
      </c>
      <c r="D9273" s="4">
        <v>2024</v>
      </c>
      <c r="E9273" s="4">
        <v>0</v>
      </c>
      <c r="F9273" s="4" t="s">
        <v>29</v>
      </c>
    </row>
    <row r="9274" spans="1:6" x14ac:dyDescent="0.25">
      <c r="A9274" s="4" t="s">
        <v>85</v>
      </c>
      <c r="B9274" s="4" t="s">
        <v>5</v>
      </c>
      <c r="C9274" s="4" t="s">
        <v>36</v>
      </c>
      <c r="D9274" s="4">
        <v>2025</v>
      </c>
      <c r="E9274" s="4">
        <v>0</v>
      </c>
      <c r="F9274" s="4" t="s">
        <v>29</v>
      </c>
    </row>
    <row r="9275" spans="1:6" x14ac:dyDescent="0.25">
      <c r="A9275" s="4" t="s">
        <v>85</v>
      </c>
      <c r="B9275" s="4" t="s">
        <v>5</v>
      </c>
      <c r="C9275" s="4" t="s">
        <v>36</v>
      </c>
      <c r="D9275" s="4">
        <v>2026</v>
      </c>
      <c r="E9275" s="4">
        <v>0</v>
      </c>
      <c r="F9275" s="4" t="s">
        <v>29</v>
      </c>
    </row>
    <row r="9276" spans="1:6" x14ac:dyDescent="0.25">
      <c r="A9276" s="4" t="s">
        <v>85</v>
      </c>
      <c r="B9276" s="4" t="s">
        <v>5</v>
      </c>
      <c r="C9276" s="4" t="s">
        <v>36</v>
      </c>
      <c r="D9276" s="4">
        <v>2027</v>
      </c>
      <c r="E9276" s="4">
        <v>0</v>
      </c>
      <c r="F9276" s="4" t="s">
        <v>29</v>
      </c>
    </row>
    <row r="9277" spans="1:6" x14ac:dyDescent="0.25">
      <c r="A9277" s="4" t="s">
        <v>85</v>
      </c>
      <c r="B9277" s="4" t="s">
        <v>5</v>
      </c>
      <c r="C9277" s="4" t="s">
        <v>36</v>
      </c>
      <c r="D9277" s="4">
        <v>2028</v>
      </c>
      <c r="E9277" s="4">
        <v>0</v>
      </c>
      <c r="F9277" s="4" t="s">
        <v>29</v>
      </c>
    </row>
    <row r="9278" spans="1:6" x14ac:dyDescent="0.25">
      <c r="A9278" s="4" t="s">
        <v>85</v>
      </c>
      <c r="B9278" s="4" t="s">
        <v>5</v>
      </c>
      <c r="C9278" s="4" t="s">
        <v>36</v>
      </c>
      <c r="D9278" s="4">
        <v>2029</v>
      </c>
      <c r="E9278" s="4">
        <v>0</v>
      </c>
      <c r="F9278" s="4" t="s">
        <v>29</v>
      </c>
    </row>
    <row r="9279" spans="1:6" x14ac:dyDescent="0.25">
      <c r="A9279" s="4" t="s">
        <v>85</v>
      </c>
      <c r="B9279" s="4" t="s">
        <v>5</v>
      </c>
      <c r="C9279" s="4" t="s">
        <v>36</v>
      </c>
      <c r="D9279" s="4">
        <v>2030</v>
      </c>
      <c r="E9279" s="4">
        <v>0</v>
      </c>
      <c r="F9279" s="4" t="s">
        <v>29</v>
      </c>
    </row>
    <row r="9280" spans="1:6" x14ac:dyDescent="0.25">
      <c r="A9280" s="4" t="s">
        <v>85</v>
      </c>
      <c r="B9280" s="4" t="s">
        <v>5</v>
      </c>
      <c r="C9280" s="4" t="s">
        <v>36</v>
      </c>
      <c r="D9280" s="4">
        <v>2031</v>
      </c>
      <c r="E9280" s="4">
        <v>0</v>
      </c>
      <c r="F9280" s="4" t="s">
        <v>29</v>
      </c>
    </row>
    <row r="9281" spans="1:6" x14ac:dyDescent="0.25">
      <c r="A9281" s="4" t="s">
        <v>85</v>
      </c>
      <c r="B9281" s="4" t="s">
        <v>5</v>
      </c>
      <c r="C9281" s="4" t="s">
        <v>36</v>
      </c>
      <c r="D9281" s="4">
        <v>2032</v>
      </c>
      <c r="E9281" s="4">
        <v>0</v>
      </c>
      <c r="F9281" s="4" t="s">
        <v>29</v>
      </c>
    </row>
    <row r="9282" spans="1:6" x14ac:dyDescent="0.25">
      <c r="A9282" s="4" t="s">
        <v>85</v>
      </c>
      <c r="B9282" s="4" t="s">
        <v>5</v>
      </c>
      <c r="C9282" s="4" t="s">
        <v>36</v>
      </c>
      <c r="D9282" s="4">
        <v>2033</v>
      </c>
      <c r="E9282" s="4">
        <v>0</v>
      </c>
      <c r="F9282" s="4" t="s">
        <v>29</v>
      </c>
    </row>
    <row r="9283" spans="1:6" x14ac:dyDescent="0.25">
      <c r="A9283" s="4" t="s">
        <v>85</v>
      </c>
      <c r="B9283" s="4" t="s">
        <v>5</v>
      </c>
      <c r="C9283" s="4" t="s">
        <v>36</v>
      </c>
      <c r="D9283" s="4">
        <v>2034</v>
      </c>
      <c r="E9283" s="4">
        <v>0</v>
      </c>
      <c r="F9283" s="4" t="s">
        <v>29</v>
      </c>
    </row>
    <row r="9284" spans="1:6" x14ac:dyDescent="0.25">
      <c r="A9284" s="4" t="s">
        <v>85</v>
      </c>
      <c r="B9284" s="4" t="s">
        <v>5</v>
      </c>
      <c r="C9284" s="4" t="s">
        <v>36</v>
      </c>
      <c r="D9284" s="4">
        <v>2035</v>
      </c>
      <c r="E9284" s="4">
        <v>0</v>
      </c>
      <c r="F9284" s="4" t="s">
        <v>29</v>
      </c>
    </row>
    <row r="9285" spans="1:6" x14ac:dyDescent="0.25">
      <c r="A9285" s="4" t="s">
        <v>85</v>
      </c>
      <c r="B9285" s="4" t="s">
        <v>5</v>
      </c>
      <c r="C9285" s="4" t="s">
        <v>36</v>
      </c>
      <c r="D9285" s="4">
        <v>2036</v>
      </c>
      <c r="E9285" s="4">
        <v>0</v>
      </c>
      <c r="F9285" s="4" t="s">
        <v>29</v>
      </c>
    </row>
    <row r="9286" spans="1:6" x14ac:dyDescent="0.25">
      <c r="A9286" s="4" t="s">
        <v>85</v>
      </c>
      <c r="B9286" s="4" t="s">
        <v>5</v>
      </c>
      <c r="C9286" s="4" t="s">
        <v>36</v>
      </c>
      <c r="D9286" s="4">
        <v>2037</v>
      </c>
      <c r="E9286" s="4">
        <v>0</v>
      </c>
      <c r="F9286" s="4" t="s">
        <v>29</v>
      </c>
    </row>
    <row r="9287" spans="1:6" x14ac:dyDescent="0.25">
      <c r="A9287" s="4" t="s">
        <v>85</v>
      </c>
      <c r="B9287" s="4" t="s">
        <v>5</v>
      </c>
      <c r="C9287" s="4" t="s">
        <v>36</v>
      </c>
      <c r="D9287" s="4">
        <v>2038</v>
      </c>
      <c r="E9287" s="4">
        <v>0</v>
      </c>
      <c r="F9287" s="4" t="s">
        <v>29</v>
      </c>
    </row>
    <row r="9288" spans="1:6" x14ac:dyDescent="0.25">
      <c r="A9288" s="4" t="s">
        <v>85</v>
      </c>
      <c r="B9288" s="4" t="s">
        <v>5</v>
      </c>
      <c r="C9288" s="4" t="s">
        <v>36</v>
      </c>
      <c r="D9288" s="4">
        <v>2039</v>
      </c>
      <c r="E9288" s="4">
        <v>0</v>
      </c>
      <c r="F9288" s="4" t="s">
        <v>29</v>
      </c>
    </row>
    <row r="9289" spans="1:6" x14ac:dyDescent="0.25">
      <c r="A9289" s="4" t="s">
        <v>85</v>
      </c>
      <c r="B9289" s="4" t="s">
        <v>5</v>
      </c>
      <c r="C9289" s="4" t="s">
        <v>36</v>
      </c>
      <c r="D9289" s="4">
        <v>2040</v>
      </c>
      <c r="E9289" s="4">
        <v>0</v>
      </c>
      <c r="F9289" s="4" t="s">
        <v>29</v>
      </c>
    </row>
    <row r="9290" spans="1:6" x14ac:dyDescent="0.25">
      <c r="A9290" s="4" t="s">
        <v>85</v>
      </c>
      <c r="B9290" s="4" t="s">
        <v>6</v>
      </c>
      <c r="C9290" s="4" t="s">
        <v>36</v>
      </c>
      <c r="D9290" s="4">
        <v>2005</v>
      </c>
      <c r="E9290" s="4">
        <v>0</v>
      </c>
      <c r="F9290" s="4" t="s">
        <v>29</v>
      </c>
    </row>
    <row r="9291" spans="1:6" x14ac:dyDescent="0.25">
      <c r="A9291" s="4" t="s">
        <v>85</v>
      </c>
      <c r="B9291" s="4" t="s">
        <v>6</v>
      </c>
      <c r="C9291" s="4" t="s">
        <v>36</v>
      </c>
      <c r="D9291" s="4">
        <v>2006</v>
      </c>
      <c r="E9291" s="4">
        <v>0</v>
      </c>
      <c r="F9291" s="4" t="s">
        <v>29</v>
      </c>
    </row>
    <row r="9292" spans="1:6" x14ac:dyDescent="0.25">
      <c r="A9292" s="4" t="s">
        <v>85</v>
      </c>
      <c r="B9292" s="4" t="s">
        <v>6</v>
      </c>
      <c r="C9292" s="4" t="s">
        <v>36</v>
      </c>
      <c r="D9292" s="4">
        <v>2007</v>
      </c>
      <c r="E9292" s="4">
        <v>0</v>
      </c>
      <c r="F9292" s="4" t="s">
        <v>29</v>
      </c>
    </row>
    <row r="9293" spans="1:6" x14ac:dyDescent="0.25">
      <c r="A9293" s="4" t="s">
        <v>85</v>
      </c>
      <c r="B9293" s="4" t="s">
        <v>6</v>
      </c>
      <c r="C9293" s="4" t="s">
        <v>36</v>
      </c>
      <c r="D9293" s="4">
        <v>2008</v>
      </c>
      <c r="E9293" s="4">
        <v>0</v>
      </c>
      <c r="F9293" s="4" t="s">
        <v>29</v>
      </c>
    </row>
    <row r="9294" spans="1:6" x14ac:dyDescent="0.25">
      <c r="A9294" s="4" t="s">
        <v>85</v>
      </c>
      <c r="B9294" s="4" t="s">
        <v>6</v>
      </c>
      <c r="C9294" s="4" t="s">
        <v>36</v>
      </c>
      <c r="D9294" s="4">
        <v>2009</v>
      </c>
      <c r="E9294" s="4">
        <v>0</v>
      </c>
      <c r="F9294" s="4" t="s">
        <v>29</v>
      </c>
    </row>
    <row r="9295" spans="1:6" x14ac:dyDescent="0.25">
      <c r="A9295" s="4" t="s">
        <v>85</v>
      </c>
      <c r="B9295" s="4" t="s">
        <v>6</v>
      </c>
      <c r="C9295" s="4" t="s">
        <v>36</v>
      </c>
      <c r="D9295" s="4">
        <v>2010</v>
      </c>
      <c r="E9295" s="4">
        <v>0</v>
      </c>
      <c r="F9295" s="4" t="s">
        <v>29</v>
      </c>
    </row>
    <row r="9296" spans="1:6" x14ac:dyDescent="0.25">
      <c r="A9296" s="4" t="s">
        <v>85</v>
      </c>
      <c r="B9296" s="4" t="s">
        <v>6</v>
      </c>
      <c r="C9296" s="4" t="s">
        <v>36</v>
      </c>
      <c r="D9296" s="4">
        <v>2011</v>
      </c>
      <c r="E9296" s="4">
        <v>0</v>
      </c>
      <c r="F9296" s="4" t="s">
        <v>29</v>
      </c>
    </row>
    <row r="9297" spans="1:6" x14ac:dyDescent="0.25">
      <c r="A9297" s="4" t="s">
        <v>85</v>
      </c>
      <c r="B9297" s="4" t="s">
        <v>6</v>
      </c>
      <c r="C9297" s="4" t="s">
        <v>36</v>
      </c>
      <c r="D9297" s="4">
        <v>2012</v>
      </c>
      <c r="E9297" s="4">
        <v>0</v>
      </c>
      <c r="F9297" s="4" t="s">
        <v>29</v>
      </c>
    </row>
    <row r="9298" spans="1:6" x14ac:dyDescent="0.25">
      <c r="A9298" s="4" t="s">
        <v>85</v>
      </c>
      <c r="B9298" s="4" t="s">
        <v>6</v>
      </c>
      <c r="C9298" s="4" t="s">
        <v>36</v>
      </c>
      <c r="D9298" s="4">
        <v>2013</v>
      </c>
      <c r="E9298" s="4">
        <v>0</v>
      </c>
      <c r="F9298" s="4" t="s">
        <v>29</v>
      </c>
    </row>
    <row r="9299" spans="1:6" x14ac:dyDescent="0.25">
      <c r="A9299" s="4" t="s">
        <v>85</v>
      </c>
      <c r="B9299" s="4" t="s">
        <v>6</v>
      </c>
      <c r="C9299" s="4" t="s">
        <v>36</v>
      </c>
      <c r="D9299" s="4">
        <v>2014</v>
      </c>
      <c r="E9299" s="4">
        <v>0</v>
      </c>
      <c r="F9299" s="4" t="s">
        <v>29</v>
      </c>
    </row>
    <row r="9300" spans="1:6" x14ac:dyDescent="0.25">
      <c r="A9300" s="4" t="s">
        <v>85</v>
      </c>
      <c r="B9300" s="4" t="s">
        <v>6</v>
      </c>
      <c r="C9300" s="4" t="s">
        <v>36</v>
      </c>
      <c r="D9300" s="4">
        <v>2015</v>
      </c>
      <c r="E9300" s="4">
        <v>0</v>
      </c>
      <c r="F9300" s="4" t="s">
        <v>29</v>
      </c>
    </row>
    <row r="9301" spans="1:6" x14ac:dyDescent="0.25">
      <c r="A9301" s="4" t="s">
        <v>85</v>
      </c>
      <c r="B9301" s="4" t="s">
        <v>6</v>
      </c>
      <c r="C9301" s="4" t="s">
        <v>36</v>
      </c>
      <c r="D9301" s="4">
        <v>2016</v>
      </c>
      <c r="E9301" s="4">
        <v>0</v>
      </c>
      <c r="F9301" s="4" t="s">
        <v>29</v>
      </c>
    </row>
    <row r="9302" spans="1:6" x14ac:dyDescent="0.25">
      <c r="A9302" s="4" t="s">
        <v>85</v>
      </c>
      <c r="B9302" s="4" t="s">
        <v>6</v>
      </c>
      <c r="C9302" s="4" t="s">
        <v>36</v>
      </c>
      <c r="D9302" s="4">
        <v>2017</v>
      </c>
      <c r="E9302" s="4">
        <v>0</v>
      </c>
      <c r="F9302" s="4" t="s">
        <v>29</v>
      </c>
    </row>
    <row r="9303" spans="1:6" x14ac:dyDescent="0.25">
      <c r="A9303" s="4" t="s">
        <v>85</v>
      </c>
      <c r="B9303" s="4" t="s">
        <v>6</v>
      </c>
      <c r="C9303" s="4" t="s">
        <v>36</v>
      </c>
      <c r="D9303" s="4">
        <v>2018</v>
      </c>
      <c r="E9303" s="4">
        <v>0</v>
      </c>
      <c r="F9303" s="4" t="s">
        <v>29</v>
      </c>
    </row>
    <row r="9304" spans="1:6" x14ac:dyDescent="0.25">
      <c r="A9304" s="4" t="s">
        <v>85</v>
      </c>
      <c r="B9304" s="4" t="s">
        <v>6</v>
      </c>
      <c r="C9304" s="4" t="s">
        <v>36</v>
      </c>
      <c r="D9304" s="4">
        <v>2019</v>
      </c>
      <c r="E9304" s="4">
        <v>0</v>
      </c>
      <c r="F9304" s="4" t="s">
        <v>29</v>
      </c>
    </row>
    <row r="9305" spans="1:6" x14ac:dyDescent="0.25">
      <c r="A9305" s="4" t="s">
        <v>85</v>
      </c>
      <c r="B9305" s="4" t="s">
        <v>6</v>
      </c>
      <c r="C9305" s="4" t="s">
        <v>36</v>
      </c>
      <c r="D9305" s="4">
        <v>2020</v>
      </c>
      <c r="E9305" s="4">
        <v>0</v>
      </c>
      <c r="F9305" s="4" t="s">
        <v>29</v>
      </c>
    </row>
    <row r="9306" spans="1:6" x14ac:dyDescent="0.25">
      <c r="A9306" s="4" t="s">
        <v>85</v>
      </c>
      <c r="B9306" s="4" t="s">
        <v>6</v>
      </c>
      <c r="C9306" s="4" t="s">
        <v>36</v>
      </c>
      <c r="D9306" s="4">
        <v>2021</v>
      </c>
      <c r="E9306" s="4">
        <v>0</v>
      </c>
      <c r="F9306" s="4" t="s">
        <v>29</v>
      </c>
    </row>
    <row r="9307" spans="1:6" x14ac:dyDescent="0.25">
      <c r="A9307" s="4" t="s">
        <v>85</v>
      </c>
      <c r="B9307" s="4" t="s">
        <v>6</v>
      </c>
      <c r="C9307" s="4" t="s">
        <v>36</v>
      </c>
      <c r="D9307" s="4">
        <v>2022</v>
      </c>
      <c r="E9307" s="4">
        <v>0</v>
      </c>
      <c r="F9307" s="4" t="s">
        <v>29</v>
      </c>
    </row>
    <row r="9308" spans="1:6" x14ac:dyDescent="0.25">
      <c r="A9308" s="4" t="s">
        <v>85</v>
      </c>
      <c r="B9308" s="4" t="s">
        <v>6</v>
      </c>
      <c r="C9308" s="4" t="s">
        <v>36</v>
      </c>
      <c r="D9308" s="4">
        <v>2023</v>
      </c>
      <c r="E9308" s="4">
        <v>0</v>
      </c>
      <c r="F9308" s="4" t="s">
        <v>29</v>
      </c>
    </row>
    <row r="9309" spans="1:6" x14ac:dyDescent="0.25">
      <c r="A9309" s="4" t="s">
        <v>85</v>
      </c>
      <c r="B9309" s="4" t="s">
        <v>6</v>
      </c>
      <c r="C9309" s="4" t="s">
        <v>36</v>
      </c>
      <c r="D9309" s="4">
        <v>2024</v>
      </c>
      <c r="E9309" s="4">
        <v>0</v>
      </c>
      <c r="F9309" s="4" t="s">
        <v>29</v>
      </c>
    </row>
    <row r="9310" spans="1:6" x14ac:dyDescent="0.25">
      <c r="A9310" s="4" t="s">
        <v>85</v>
      </c>
      <c r="B9310" s="4" t="s">
        <v>6</v>
      </c>
      <c r="C9310" s="4" t="s">
        <v>36</v>
      </c>
      <c r="D9310" s="4">
        <v>2025</v>
      </c>
      <c r="E9310" s="4">
        <v>0</v>
      </c>
      <c r="F9310" s="4" t="s">
        <v>29</v>
      </c>
    </row>
    <row r="9311" spans="1:6" x14ac:dyDescent="0.25">
      <c r="A9311" s="4" t="s">
        <v>85</v>
      </c>
      <c r="B9311" s="4" t="s">
        <v>6</v>
      </c>
      <c r="C9311" s="4" t="s">
        <v>36</v>
      </c>
      <c r="D9311" s="4">
        <v>2026</v>
      </c>
      <c r="E9311" s="4">
        <v>0</v>
      </c>
      <c r="F9311" s="4" t="s">
        <v>29</v>
      </c>
    </row>
    <row r="9312" spans="1:6" x14ac:dyDescent="0.25">
      <c r="A9312" s="4" t="s">
        <v>85</v>
      </c>
      <c r="B9312" s="4" t="s">
        <v>6</v>
      </c>
      <c r="C9312" s="4" t="s">
        <v>36</v>
      </c>
      <c r="D9312" s="4">
        <v>2027</v>
      </c>
      <c r="E9312" s="4">
        <v>0</v>
      </c>
      <c r="F9312" s="4" t="s">
        <v>29</v>
      </c>
    </row>
    <row r="9313" spans="1:6" x14ac:dyDescent="0.25">
      <c r="A9313" s="4" t="s">
        <v>85</v>
      </c>
      <c r="B9313" s="4" t="s">
        <v>6</v>
      </c>
      <c r="C9313" s="4" t="s">
        <v>36</v>
      </c>
      <c r="D9313" s="4">
        <v>2028</v>
      </c>
      <c r="E9313" s="4">
        <v>0</v>
      </c>
      <c r="F9313" s="4" t="s">
        <v>29</v>
      </c>
    </row>
    <row r="9314" spans="1:6" x14ac:dyDescent="0.25">
      <c r="A9314" s="4" t="s">
        <v>85</v>
      </c>
      <c r="B9314" s="4" t="s">
        <v>6</v>
      </c>
      <c r="C9314" s="4" t="s">
        <v>36</v>
      </c>
      <c r="D9314" s="4">
        <v>2029</v>
      </c>
      <c r="E9314" s="4">
        <v>0</v>
      </c>
      <c r="F9314" s="4" t="s">
        <v>29</v>
      </c>
    </row>
    <row r="9315" spans="1:6" x14ac:dyDescent="0.25">
      <c r="A9315" s="4" t="s">
        <v>85</v>
      </c>
      <c r="B9315" s="4" t="s">
        <v>6</v>
      </c>
      <c r="C9315" s="4" t="s">
        <v>36</v>
      </c>
      <c r="D9315" s="4">
        <v>2030</v>
      </c>
      <c r="E9315" s="4">
        <v>0</v>
      </c>
      <c r="F9315" s="4" t="s">
        <v>29</v>
      </c>
    </row>
    <row r="9316" spans="1:6" x14ac:dyDescent="0.25">
      <c r="A9316" s="4" t="s">
        <v>85</v>
      </c>
      <c r="B9316" s="4" t="s">
        <v>6</v>
      </c>
      <c r="C9316" s="4" t="s">
        <v>36</v>
      </c>
      <c r="D9316" s="4">
        <v>2031</v>
      </c>
      <c r="E9316" s="4">
        <v>0</v>
      </c>
      <c r="F9316" s="4" t="s">
        <v>29</v>
      </c>
    </row>
    <row r="9317" spans="1:6" x14ac:dyDescent="0.25">
      <c r="A9317" s="4" t="s">
        <v>85</v>
      </c>
      <c r="B9317" s="4" t="s">
        <v>6</v>
      </c>
      <c r="C9317" s="4" t="s">
        <v>36</v>
      </c>
      <c r="D9317" s="4">
        <v>2032</v>
      </c>
      <c r="E9317" s="4">
        <v>0</v>
      </c>
      <c r="F9317" s="4" t="s">
        <v>29</v>
      </c>
    </row>
    <row r="9318" spans="1:6" x14ac:dyDescent="0.25">
      <c r="A9318" s="4" t="s">
        <v>85</v>
      </c>
      <c r="B9318" s="4" t="s">
        <v>6</v>
      </c>
      <c r="C9318" s="4" t="s">
        <v>36</v>
      </c>
      <c r="D9318" s="4">
        <v>2033</v>
      </c>
      <c r="E9318" s="4">
        <v>0</v>
      </c>
      <c r="F9318" s="4" t="s">
        <v>29</v>
      </c>
    </row>
    <row r="9319" spans="1:6" x14ac:dyDescent="0.25">
      <c r="A9319" s="4" t="s">
        <v>85</v>
      </c>
      <c r="B9319" s="4" t="s">
        <v>6</v>
      </c>
      <c r="C9319" s="4" t="s">
        <v>36</v>
      </c>
      <c r="D9319" s="4">
        <v>2034</v>
      </c>
      <c r="E9319" s="4">
        <v>0</v>
      </c>
      <c r="F9319" s="4" t="s">
        <v>29</v>
      </c>
    </row>
    <row r="9320" spans="1:6" x14ac:dyDescent="0.25">
      <c r="A9320" s="4" t="s">
        <v>85</v>
      </c>
      <c r="B9320" s="4" t="s">
        <v>6</v>
      </c>
      <c r="C9320" s="4" t="s">
        <v>36</v>
      </c>
      <c r="D9320" s="4">
        <v>2035</v>
      </c>
      <c r="E9320" s="4">
        <v>0</v>
      </c>
      <c r="F9320" s="4" t="s">
        <v>29</v>
      </c>
    </row>
    <row r="9321" spans="1:6" x14ac:dyDescent="0.25">
      <c r="A9321" s="4" t="s">
        <v>85</v>
      </c>
      <c r="B9321" s="4" t="s">
        <v>6</v>
      </c>
      <c r="C9321" s="4" t="s">
        <v>36</v>
      </c>
      <c r="D9321" s="4">
        <v>2036</v>
      </c>
      <c r="E9321" s="4">
        <v>0</v>
      </c>
      <c r="F9321" s="4" t="s">
        <v>29</v>
      </c>
    </row>
    <row r="9322" spans="1:6" x14ac:dyDescent="0.25">
      <c r="A9322" s="4" t="s">
        <v>85</v>
      </c>
      <c r="B9322" s="4" t="s">
        <v>6</v>
      </c>
      <c r="C9322" s="4" t="s">
        <v>36</v>
      </c>
      <c r="D9322" s="4">
        <v>2037</v>
      </c>
      <c r="E9322" s="4">
        <v>0</v>
      </c>
      <c r="F9322" s="4" t="s">
        <v>29</v>
      </c>
    </row>
    <row r="9323" spans="1:6" x14ac:dyDescent="0.25">
      <c r="A9323" s="4" t="s">
        <v>85</v>
      </c>
      <c r="B9323" s="4" t="s">
        <v>6</v>
      </c>
      <c r="C9323" s="4" t="s">
        <v>36</v>
      </c>
      <c r="D9323" s="4">
        <v>2038</v>
      </c>
      <c r="E9323" s="4">
        <v>0</v>
      </c>
      <c r="F9323" s="4" t="s">
        <v>29</v>
      </c>
    </row>
    <row r="9324" spans="1:6" x14ac:dyDescent="0.25">
      <c r="A9324" s="4" t="s">
        <v>85</v>
      </c>
      <c r="B9324" s="4" t="s">
        <v>6</v>
      </c>
      <c r="C9324" s="4" t="s">
        <v>36</v>
      </c>
      <c r="D9324" s="4">
        <v>2039</v>
      </c>
      <c r="E9324" s="4">
        <v>0</v>
      </c>
      <c r="F9324" s="4" t="s">
        <v>29</v>
      </c>
    </row>
    <row r="9325" spans="1:6" x14ac:dyDescent="0.25">
      <c r="A9325" s="4" t="s">
        <v>85</v>
      </c>
      <c r="B9325" s="4" t="s">
        <v>6</v>
      </c>
      <c r="C9325" s="4" t="s">
        <v>36</v>
      </c>
      <c r="D9325" s="4">
        <v>2040</v>
      </c>
      <c r="E9325" s="4">
        <v>0</v>
      </c>
      <c r="F9325" s="4" t="s">
        <v>29</v>
      </c>
    </row>
    <row r="9326" spans="1:6" x14ac:dyDescent="0.25">
      <c r="A9326" s="4" t="s">
        <v>85</v>
      </c>
      <c r="B9326" s="4" t="s">
        <v>23</v>
      </c>
      <c r="C9326" s="4" t="s">
        <v>36</v>
      </c>
      <c r="D9326" s="4">
        <v>2005</v>
      </c>
      <c r="E9326" s="4">
        <v>0</v>
      </c>
      <c r="F9326" s="4" t="s">
        <v>29</v>
      </c>
    </row>
    <row r="9327" spans="1:6" x14ac:dyDescent="0.25">
      <c r="A9327" s="4" t="s">
        <v>85</v>
      </c>
      <c r="B9327" s="4" t="s">
        <v>23</v>
      </c>
      <c r="C9327" s="4" t="s">
        <v>36</v>
      </c>
      <c r="D9327" s="4">
        <v>2006</v>
      </c>
      <c r="E9327" s="4">
        <v>0</v>
      </c>
      <c r="F9327" s="4" t="s">
        <v>29</v>
      </c>
    </row>
    <row r="9328" spans="1:6" x14ac:dyDescent="0.25">
      <c r="A9328" s="4" t="s">
        <v>85</v>
      </c>
      <c r="B9328" s="4" t="s">
        <v>23</v>
      </c>
      <c r="C9328" s="4" t="s">
        <v>36</v>
      </c>
      <c r="D9328" s="4">
        <v>2007</v>
      </c>
      <c r="E9328" s="4">
        <v>0</v>
      </c>
      <c r="F9328" s="4" t="s">
        <v>29</v>
      </c>
    </row>
    <row r="9329" spans="1:6" x14ac:dyDescent="0.25">
      <c r="A9329" s="4" t="s">
        <v>85</v>
      </c>
      <c r="B9329" s="4" t="s">
        <v>23</v>
      </c>
      <c r="C9329" s="4" t="s">
        <v>36</v>
      </c>
      <c r="D9329" s="4">
        <v>2008</v>
      </c>
      <c r="E9329" s="4">
        <v>0</v>
      </c>
      <c r="F9329" s="4" t="s">
        <v>29</v>
      </c>
    </row>
    <row r="9330" spans="1:6" x14ac:dyDescent="0.25">
      <c r="A9330" s="4" t="s">
        <v>85</v>
      </c>
      <c r="B9330" s="4" t="s">
        <v>23</v>
      </c>
      <c r="C9330" s="4" t="s">
        <v>36</v>
      </c>
      <c r="D9330" s="4">
        <v>2009</v>
      </c>
      <c r="E9330" s="4">
        <v>0</v>
      </c>
      <c r="F9330" s="4" t="s">
        <v>29</v>
      </c>
    </row>
    <row r="9331" spans="1:6" x14ac:dyDescent="0.25">
      <c r="A9331" s="4" t="s">
        <v>85</v>
      </c>
      <c r="B9331" s="4" t="s">
        <v>23</v>
      </c>
      <c r="C9331" s="4" t="s">
        <v>36</v>
      </c>
      <c r="D9331" s="4">
        <v>2010</v>
      </c>
      <c r="E9331" s="4">
        <v>0</v>
      </c>
      <c r="F9331" s="4" t="s">
        <v>29</v>
      </c>
    </row>
    <row r="9332" spans="1:6" x14ac:dyDescent="0.25">
      <c r="A9332" s="4" t="s">
        <v>85</v>
      </c>
      <c r="B9332" s="4" t="s">
        <v>23</v>
      </c>
      <c r="C9332" s="4" t="s">
        <v>36</v>
      </c>
      <c r="D9332" s="4">
        <v>2011</v>
      </c>
      <c r="E9332" s="4">
        <v>0</v>
      </c>
      <c r="F9332" s="4" t="s">
        <v>29</v>
      </c>
    </row>
    <row r="9333" spans="1:6" x14ac:dyDescent="0.25">
      <c r="A9333" s="4" t="s">
        <v>85</v>
      </c>
      <c r="B9333" s="4" t="s">
        <v>23</v>
      </c>
      <c r="C9333" s="4" t="s">
        <v>36</v>
      </c>
      <c r="D9333" s="4">
        <v>2012</v>
      </c>
      <c r="E9333" s="4">
        <v>0</v>
      </c>
      <c r="F9333" s="4" t="s">
        <v>29</v>
      </c>
    </row>
    <row r="9334" spans="1:6" x14ac:dyDescent="0.25">
      <c r="A9334" s="4" t="s">
        <v>85</v>
      </c>
      <c r="B9334" s="4" t="s">
        <v>23</v>
      </c>
      <c r="C9334" s="4" t="s">
        <v>36</v>
      </c>
      <c r="D9334" s="4">
        <v>2013</v>
      </c>
      <c r="E9334" s="4">
        <v>0</v>
      </c>
      <c r="F9334" s="4" t="s">
        <v>29</v>
      </c>
    </row>
    <row r="9335" spans="1:6" x14ac:dyDescent="0.25">
      <c r="A9335" s="4" t="s">
        <v>85</v>
      </c>
      <c r="B9335" s="4" t="s">
        <v>23</v>
      </c>
      <c r="C9335" s="4" t="s">
        <v>36</v>
      </c>
      <c r="D9335" s="4">
        <v>2014</v>
      </c>
      <c r="E9335" s="4">
        <v>0</v>
      </c>
      <c r="F9335" s="4" t="s">
        <v>29</v>
      </c>
    </row>
    <row r="9336" spans="1:6" x14ac:dyDescent="0.25">
      <c r="A9336" s="4" t="s">
        <v>85</v>
      </c>
      <c r="B9336" s="4" t="s">
        <v>23</v>
      </c>
      <c r="C9336" s="4" t="s">
        <v>36</v>
      </c>
      <c r="D9336" s="4">
        <v>2015</v>
      </c>
      <c r="E9336" s="4">
        <v>0</v>
      </c>
      <c r="F9336" s="4" t="s">
        <v>29</v>
      </c>
    </row>
    <row r="9337" spans="1:6" x14ac:dyDescent="0.25">
      <c r="A9337" s="4" t="s">
        <v>85</v>
      </c>
      <c r="B9337" s="4" t="s">
        <v>23</v>
      </c>
      <c r="C9337" s="4" t="s">
        <v>36</v>
      </c>
      <c r="D9337" s="4">
        <v>2016</v>
      </c>
      <c r="E9337" s="4">
        <v>0</v>
      </c>
      <c r="F9337" s="4" t="s">
        <v>29</v>
      </c>
    </row>
    <row r="9338" spans="1:6" x14ac:dyDescent="0.25">
      <c r="A9338" s="4" t="s">
        <v>85</v>
      </c>
      <c r="B9338" s="4" t="s">
        <v>23</v>
      </c>
      <c r="C9338" s="4" t="s">
        <v>36</v>
      </c>
      <c r="D9338" s="4">
        <v>2017</v>
      </c>
      <c r="E9338" s="4">
        <v>0</v>
      </c>
      <c r="F9338" s="4" t="s">
        <v>29</v>
      </c>
    </row>
    <row r="9339" spans="1:6" x14ac:dyDescent="0.25">
      <c r="A9339" s="4" t="s">
        <v>85</v>
      </c>
      <c r="B9339" s="4" t="s">
        <v>23</v>
      </c>
      <c r="C9339" s="4" t="s">
        <v>36</v>
      </c>
      <c r="D9339" s="4">
        <v>2018</v>
      </c>
      <c r="E9339" s="4">
        <v>0</v>
      </c>
      <c r="F9339" s="4" t="s">
        <v>29</v>
      </c>
    </row>
    <row r="9340" spans="1:6" x14ac:dyDescent="0.25">
      <c r="A9340" s="4" t="s">
        <v>85</v>
      </c>
      <c r="B9340" s="4" t="s">
        <v>23</v>
      </c>
      <c r="C9340" s="4" t="s">
        <v>36</v>
      </c>
      <c r="D9340" s="4">
        <v>2019</v>
      </c>
      <c r="E9340" s="4">
        <v>0</v>
      </c>
      <c r="F9340" s="4" t="s">
        <v>29</v>
      </c>
    </row>
    <row r="9341" spans="1:6" x14ac:dyDescent="0.25">
      <c r="A9341" s="4" t="s">
        <v>85</v>
      </c>
      <c r="B9341" s="4" t="s">
        <v>23</v>
      </c>
      <c r="C9341" s="4" t="s">
        <v>36</v>
      </c>
      <c r="D9341" s="4">
        <v>2020</v>
      </c>
      <c r="E9341" s="4">
        <v>0</v>
      </c>
      <c r="F9341" s="4" t="s">
        <v>29</v>
      </c>
    </row>
    <row r="9342" spans="1:6" x14ac:dyDescent="0.25">
      <c r="A9342" s="4" t="s">
        <v>85</v>
      </c>
      <c r="B9342" s="4" t="s">
        <v>23</v>
      </c>
      <c r="C9342" s="4" t="s">
        <v>36</v>
      </c>
      <c r="D9342" s="4">
        <v>2021</v>
      </c>
      <c r="E9342" s="4">
        <v>0</v>
      </c>
      <c r="F9342" s="4" t="s">
        <v>29</v>
      </c>
    </row>
    <row r="9343" spans="1:6" x14ac:dyDescent="0.25">
      <c r="A9343" s="4" t="s">
        <v>85</v>
      </c>
      <c r="B9343" s="4" t="s">
        <v>23</v>
      </c>
      <c r="C9343" s="4" t="s">
        <v>36</v>
      </c>
      <c r="D9343" s="4">
        <v>2022</v>
      </c>
      <c r="E9343" s="4">
        <v>0</v>
      </c>
      <c r="F9343" s="4" t="s">
        <v>29</v>
      </c>
    </row>
    <row r="9344" spans="1:6" x14ac:dyDescent="0.25">
      <c r="A9344" s="4" t="s">
        <v>85</v>
      </c>
      <c r="B9344" s="4" t="s">
        <v>23</v>
      </c>
      <c r="C9344" s="4" t="s">
        <v>36</v>
      </c>
      <c r="D9344" s="4">
        <v>2023</v>
      </c>
      <c r="E9344" s="4">
        <v>0</v>
      </c>
      <c r="F9344" s="4" t="s">
        <v>29</v>
      </c>
    </row>
    <row r="9345" spans="1:6" x14ac:dyDescent="0.25">
      <c r="A9345" s="4" t="s">
        <v>85</v>
      </c>
      <c r="B9345" s="4" t="s">
        <v>23</v>
      </c>
      <c r="C9345" s="4" t="s">
        <v>36</v>
      </c>
      <c r="D9345" s="4">
        <v>2024</v>
      </c>
      <c r="E9345" s="4">
        <v>0</v>
      </c>
      <c r="F9345" s="4" t="s">
        <v>29</v>
      </c>
    </row>
    <row r="9346" spans="1:6" x14ac:dyDescent="0.25">
      <c r="A9346" s="4" t="s">
        <v>85</v>
      </c>
      <c r="B9346" s="4" t="s">
        <v>23</v>
      </c>
      <c r="C9346" s="4" t="s">
        <v>36</v>
      </c>
      <c r="D9346" s="4">
        <v>2025</v>
      </c>
      <c r="E9346" s="4">
        <v>0</v>
      </c>
      <c r="F9346" s="4" t="s">
        <v>29</v>
      </c>
    </row>
    <row r="9347" spans="1:6" x14ac:dyDescent="0.25">
      <c r="A9347" s="4" t="s">
        <v>85</v>
      </c>
      <c r="B9347" s="4" t="s">
        <v>23</v>
      </c>
      <c r="C9347" s="4" t="s">
        <v>36</v>
      </c>
      <c r="D9347" s="4">
        <v>2026</v>
      </c>
      <c r="E9347" s="4">
        <v>0</v>
      </c>
      <c r="F9347" s="4" t="s">
        <v>29</v>
      </c>
    </row>
    <row r="9348" spans="1:6" x14ac:dyDescent="0.25">
      <c r="A9348" s="4" t="s">
        <v>85</v>
      </c>
      <c r="B9348" s="4" t="s">
        <v>23</v>
      </c>
      <c r="C9348" s="4" t="s">
        <v>36</v>
      </c>
      <c r="D9348" s="4">
        <v>2027</v>
      </c>
      <c r="E9348" s="4">
        <v>0</v>
      </c>
      <c r="F9348" s="4" t="s">
        <v>29</v>
      </c>
    </row>
    <row r="9349" spans="1:6" x14ac:dyDescent="0.25">
      <c r="A9349" s="4" t="s">
        <v>85</v>
      </c>
      <c r="B9349" s="4" t="s">
        <v>23</v>
      </c>
      <c r="C9349" s="4" t="s">
        <v>36</v>
      </c>
      <c r="D9349" s="4">
        <v>2028</v>
      </c>
      <c r="E9349" s="4">
        <v>0</v>
      </c>
      <c r="F9349" s="4" t="s">
        <v>29</v>
      </c>
    </row>
    <row r="9350" spans="1:6" x14ac:dyDescent="0.25">
      <c r="A9350" s="4" t="s">
        <v>85</v>
      </c>
      <c r="B9350" s="4" t="s">
        <v>23</v>
      </c>
      <c r="C9350" s="4" t="s">
        <v>36</v>
      </c>
      <c r="D9350" s="4">
        <v>2029</v>
      </c>
      <c r="E9350" s="4">
        <v>0</v>
      </c>
      <c r="F9350" s="4" t="s">
        <v>29</v>
      </c>
    </row>
    <row r="9351" spans="1:6" x14ac:dyDescent="0.25">
      <c r="A9351" s="4" t="s">
        <v>85</v>
      </c>
      <c r="B9351" s="4" t="s">
        <v>23</v>
      </c>
      <c r="C9351" s="4" t="s">
        <v>36</v>
      </c>
      <c r="D9351" s="4">
        <v>2030</v>
      </c>
      <c r="E9351" s="4">
        <v>0</v>
      </c>
      <c r="F9351" s="4" t="s">
        <v>29</v>
      </c>
    </row>
    <row r="9352" spans="1:6" x14ac:dyDescent="0.25">
      <c r="A9352" s="4" t="s">
        <v>85</v>
      </c>
      <c r="B9352" s="4" t="s">
        <v>23</v>
      </c>
      <c r="C9352" s="4" t="s">
        <v>36</v>
      </c>
      <c r="D9352" s="4">
        <v>2031</v>
      </c>
      <c r="E9352" s="4">
        <v>0</v>
      </c>
      <c r="F9352" s="4" t="s">
        <v>29</v>
      </c>
    </row>
    <row r="9353" spans="1:6" x14ac:dyDescent="0.25">
      <c r="A9353" s="4" t="s">
        <v>85</v>
      </c>
      <c r="B9353" s="4" t="s">
        <v>23</v>
      </c>
      <c r="C9353" s="4" t="s">
        <v>36</v>
      </c>
      <c r="D9353" s="4">
        <v>2032</v>
      </c>
      <c r="E9353" s="4">
        <v>0</v>
      </c>
      <c r="F9353" s="4" t="s">
        <v>29</v>
      </c>
    </row>
    <row r="9354" spans="1:6" x14ac:dyDescent="0.25">
      <c r="A9354" s="4" t="s">
        <v>85</v>
      </c>
      <c r="B9354" s="4" t="s">
        <v>23</v>
      </c>
      <c r="C9354" s="4" t="s">
        <v>36</v>
      </c>
      <c r="D9354" s="4">
        <v>2033</v>
      </c>
      <c r="E9354" s="4">
        <v>0</v>
      </c>
      <c r="F9354" s="4" t="s">
        <v>29</v>
      </c>
    </row>
    <row r="9355" spans="1:6" x14ac:dyDescent="0.25">
      <c r="A9355" s="4" t="s">
        <v>85</v>
      </c>
      <c r="B9355" s="4" t="s">
        <v>23</v>
      </c>
      <c r="C9355" s="4" t="s">
        <v>36</v>
      </c>
      <c r="D9355" s="4">
        <v>2034</v>
      </c>
      <c r="E9355" s="4">
        <v>0</v>
      </c>
      <c r="F9355" s="4" t="s">
        <v>29</v>
      </c>
    </row>
    <row r="9356" spans="1:6" x14ac:dyDescent="0.25">
      <c r="A9356" s="4" t="s">
        <v>85</v>
      </c>
      <c r="B9356" s="4" t="s">
        <v>23</v>
      </c>
      <c r="C9356" s="4" t="s">
        <v>36</v>
      </c>
      <c r="D9356" s="4">
        <v>2035</v>
      </c>
      <c r="E9356" s="4">
        <v>0</v>
      </c>
      <c r="F9356" s="4" t="s">
        <v>29</v>
      </c>
    </row>
    <row r="9357" spans="1:6" x14ac:dyDescent="0.25">
      <c r="A9357" s="4" t="s">
        <v>85</v>
      </c>
      <c r="B9357" s="4" t="s">
        <v>23</v>
      </c>
      <c r="C9357" s="4" t="s">
        <v>36</v>
      </c>
      <c r="D9357" s="4">
        <v>2036</v>
      </c>
      <c r="E9357" s="4">
        <v>0</v>
      </c>
      <c r="F9357" s="4" t="s">
        <v>29</v>
      </c>
    </row>
    <row r="9358" spans="1:6" x14ac:dyDescent="0.25">
      <c r="A9358" s="4" t="s">
        <v>85</v>
      </c>
      <c r="B9358" s="4" t="s">
        <v>23</v>
      </c>
      <c r="C9358" s="4" t="s">
        <v>36</v>
      </c>
      <c r="D9358" s="4">
        <v>2037</v>
      </c>
      <c r="E9358" s="4">
        <v>0</v>
      </c>
      <c r="F9358" s="4" t="s">
        <v>29</v>
      </c>
    </row>
    <row r="9359" spans="1:6" x14ac:dyDescent="0.25">
      <c r="A9359" s="4" t="s">
        <v>85</v>
      </c>
      <c r="B9359" s="4" t="s">
        <v>23</v>
      </c>
      <c r="C9359" s="4" t="s">
        <v>36</v>
      </c>
      <c r="D9359" s="4">
        <v>2038</v>
      </c>
      <c r="E9359" s="4">
        <v>0</v>
      </c>
      <c r="F9359" s="4" t="s">
        <v>29</v>
      </c>
    </row>
    <row r="9360" spans="1:6" x14ac:dyDescent="0.25">
      <c r="A9360" s="4" t="s">
        <v>85</v>
      </c>
      <c r="B9360" s="4" t="s">
        <v>23</v>
      </c>
      <c r="C9360" s="4" t="s">
        <v>36</v>
      </c>
      <c r="D9360" s="4">
        <v>2039</v>
      </c>
      <c r="E9360" s="4">
        <v>0</v>
      </c>
      <c r="F9360" s="4" t="s">
        <v>29</v>
      </c>
    </row>
    <row r="9361" spans="1:6" x14ac:dyDescent="0.25">
      <c r="A9361" s="4" t="s">
        <v>85</v>
      </c>
      <c r="B9361" s="4" t="s">
        <v>23</v>
      </c>
      <c r="C9361" s="4" t="s">
        <v>36</v>
      </c>
      <c r="D9361" s="4">
        <v>2040</v>
      </c>
      <c r="E9361" s="4">
        <v>0</v>
      </c>
      <c r="F9361" s="4" t="s">
        <v>29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7A9287-55FE-41A7-ABC8-52FE9F90D7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Master Data</vt:lpstr>
      <vt:lpstr>FlatData</vt:lpstr>
    </vt:vector>
  </TitlesOfParts>
  <Company>National Energy Board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Software_Install1</dc:creator>
  <cp:lastModifiedBy>Michael Nadew</cp:lastModifiedBy>
  <dcterms:created xsi:type="dcterms:W3CDTF">2015-06-18T19:02:50Z</dcterms:created>
  <dcterms:modified xsi:type="dcterms:W3CDTF">2018-10-23T18:50:02Z</dcterms:modified>
</cp:coreProperties>
</file>